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nalysis\QL_Dataset\"/>
    </mc:Choice>
  </mc:AlternateContent>
  <xr:revisionPtr revIDLastSave="0" documentId="13_ncr:1_{EDE9AD5C-ED4F-4C8B-8786-D406AC93529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vents" sheetId="1" r:id="rId1"/>
    <sheet name="Orders" sheetId="2" r:id="rId2"/>
    <sheet name="KPI Cards" sheetId="8" r:id="rId3"/>
  </sheets>
  <definedNames>
    <definedName name="_xlnm._FilterDatabase" localSheetId="0" hidden="1">Events!$A$1:$O$721</definedName>
    <definedName name="_xlnm._FilterDatabase" localSheetId="1" hidden="1">Orders!$A$1:$Q$2501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8" l="1"/>
  <c r="C13" i="8"/>
  <c r="C11" i="8"/>
  <c r="C10" i="8"/>
  <c r="C9" i="8"/>
  <c r="C8" i="8" a="1"/>
  <c r="C8" i="8" s="1"/>
  <c r="C7" i="8" a="1"/>
  <c r="C7" i="8" s="1"/>
  <c r="C6" i="8"/>
  <c r="C5" i="8"/>
  <c r="C4" i="8"/>
  <c r="C3" i="8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2" i="1"/>
  <c r="D5" i="8"/>
  <c r="D6" i="8"/>
  <c r="D3" i="8"/>
  <c r="D11" i="8"/>
  <c r="D13" i="8"/>
  <c r="D8" i="8"/>
  <c r="D9" i="8"/>
  <c r="D10" i="8"/>
  <c r="D4" i="8"/>
  <c r="D12" i="8"/>
  <c r="D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<sst xmlns="http://schemas.openxmlformats.org/spreadsheetml/2006/main" count="32966" uniqueCount="2982">
  <si>
    <t>session_id</t>
  </si>
  <si>
    <t>customer_id</t>
  </si>
  <si>
    <t>event_time</t>
  </si>
  <si>
    <t>event_type</t>
  </si>
  <si>
    <t>traffic_source</t>
  </si>
  <si>
    <t>device_type</t>
  </si>
  <si>
    <t>product_id</t>
  </si>
  <si>
    <t>product_name</t>
  </si>
  <si>
    <t>category</t>
  </si>
  <si>
    <t>order_id</t>
  </si>
  <si>
    <t>region</t>
  </si>
  <si>
    <t>event_date</t>
  </si>
  <si>
    <t>event_month</t>
  </si>
  <si>
    <t>SES001188</t>
  </si>
  <si>
    <t>CUST00778</t>
  </si>
  <si>
    <t>purchase</t>
  </si>
  <si>
    <t>Search</t>
  </si>
  <si>
    <t>Mobile</t>
  </si>
  <si>
    <t>P015</t>
  </si>
  <si>
    <t>Dumbbell Set</t>
  </si>
  <si>
    <t>Sports &amp; Fitness</t>
  </si>
  <si>
    <t>ORD000212</t>
  </si>
  <si>
    <t>Central</t>
  </si>
  <si>
    <t>2026-01</t>
  </si>
  <si>
    <t>SES000660</t>
  </si>
  <si>
    <t>CUST00218</t>
  </si>
  <si>
    <t>Social</t>
  </si>
  <si>
    <t>P017</t>
  </si>
  <si>
    <t>Hair Dryer</t>
  </si>
  <si>
    <t>Beauty &amp; Personal Care</t>
  </si>
  <si>
    <t>ORD000068</t>
  </si>
  <si>
    <t>South</t>
  </si>
  <si>
    <t>SES002311</t>
  </si>
  <si>
    <t>CUST01275</t>
  </si>
  <si>
    <t>Direct</t>
  </si>
  <si>
    <t>P006</t>
  </si>
  <si>
    <t>Cotton T-Shirt</t>
  </si>
  <si>
    <t>Fashion</t>
  </si>
  <si>
    <t>ORD000668</t>
  </si>
  <si>
    <t>SES002415</t>
  </si>
  <si>
    <t>CUST00915</t>
  </si>
  <si>
    <t>Email</t>
  </si>
  <si>
    <t>Tablet</t>
  </si>
  <si>
    <t>P003</t>
  </si>
  <si>
    <t>Bluetooth Speaker</t>
  </si>
  <si>
    <t>Electronics</t>
  </si>
  <si>
    <t>ORD000265</t>
  </si>
  <si>
    <t>North</t>
  </si>
  <si>
    <t>SES001316</t>
  </si>
  <si>
    <t>CUST01701</t>
  </si>
  <si>
    <t>Desktop</t>
  </si>
  <si>
    <t>P014</t>
  </si>
  <si>
    <t>Yoga Mat</t>
  </si>
  <si>
    <t>ORD000336</t>
  </si>
  <si>
    <t>SES000922</t>
  </si>
  <si>
    <t>CUST00130</t>
  </si>
  <si>
    <t>P013</t>
  </si>
  <si>
    <t>Study Table</t>
  </si>
  <si>
    <t>Furniture</t>
  </si>
  <si>
    <t>ORD000046</t>
  </si>
  <si>
    <t>East</t>
  </si>
  <si>
    <t>SES002794</t>
  </si>
  <si>
    <t>CUST01666</t>
  </si>
  <si>
    <t>Referral</t>
  </si>
  <si>
    <t>ORD001164</t>
  </si>
  <si>
    <t>SES001712</t>
  </si>
  <si>
    <t>CUST00775</t>
  </si>
  <si>
    <t>ORD000258</t>
  </si>
  <si>
    <t>SES003357</t>
  </si>
  <si>
    <t>CUST01063</t>
  </si>
  <si>
    <t>ORD000537</t>
  </si>
  <si>
    <t>SES002569</t>
  </si>
  <si>
    <t>CUST01502</t>
  </si>
  <si>
    <t>ORD000428</t>
  </si>
  <si>
    <t>West</t>
  </si>
  <si>
    <t>SES001807</t>
  </si>
  <si>
    <t>CUST00237</t>
  </si>
  <si>
    <t>ORD000310</t>
  </si>
  <si>
    <t>SES002350</t>
  </si>
  <si>
    <t>CUST01655</t>
  </si>
  <si>
    <t>P008</t>
  </si>
  <si>
    <t>Mixer Grinder</t>
  </si>
  <si>
    <t>Home &amp; Kitchen</t>
  </si>
  <si>
    <t>ORD001015</t>
  </si>
  <si>
    <t>SES001272</t>
  </si>
  <si>
    <t>CUST01009</t>
  </si>
  <si>
    <t>P007</t>
  </si>
  <si>
    <t>Coffee Maker</t>
  </si>
  <si>
    <t>ORD001180</t>
  </si>
  <si>
    <t>SES001796</t>
  </si>
  <si>
    <t>CUST00055</t>
  </si>
  <si>
    <t>P004</t>
  </si>
  <si>
    <t>Laptop Backpack</t>
  </si>
  <si>
    <t>ORD000217</t>
  </si>
  <si>
    <t>SES003331</t>
  </si>
  <si>
    <t>CUST01325</t>
  </si>
  <si>
    <t>P012</t>
  </si>
  <si>
    <t>Office Chair</t>
  </si>
  <si>
    <t>ORD000682</t>
  </si>
  <si>
    <t>SES002485</t>
  </si>
  <si>
    <t>CUST01131</t>
  </si>
  <si>
    <t>P002</t>
  </si>
  <si>
    <t>Smart Watch</t>
  </si>
  <si>
    <t>ORD000604</t>
  </si>
  <si>
    <t>SES001950</t>
  </si>
  <si>
    <t>CUST00051</t>
  </si>
  <si>
    <t>P010</t>
  </si>
  <si>
    <t>Notebook Set</t>
  </si>
  <si>
    <t>Books &amp; Stationery</t>
  </si>
  <si>
    <t>ORD000092</t>
  </si>
  <si>
    <t>SES001822</t>
  </si>
  <si>
    <t>CUST01406</t>
  </si>
  <si>
    <t>P019</t>
  </si>
  <si>
    <t>Sunglasses</t>
  </si>
  <si>
    <t>ORD001050</t>
  </si>
  <si>
    <t>SES001588</t>
  </si>
  <si>
    <t>CUST01297</t>
  </si>
  <si>
    <t>ORD000888</t>
  </si>
  <si>
    <t>SES002244</t>
  </si>
  <si>
    <t>CUST01148</t>
  </si>
  <si>
    <t>ORD001344</t>
  </si>
  <si>
    <t>SES000075</t>
  </si>
  <si>
    <t>CUST01672</t>
  </si>
  <si>
    <t>ORD001232</t>
  </si>
  <si>
    <t>SES003507</t>
  </si>
  <si>
    <t>CUST01312</t>
  </si>
  <si>
    <t>P001</t>
  </si>
  <si>
    <t>Wireless Earbuds</t>
  </si>
  <si>
    <t>ORD000243</t>
  </si>
  <si>
    <t>SES001658</t>
  </si>
  <si>
    <t>CUST01405</t>
  </si>
  <si>
    <t>ORD001267</t>
  </si>
  <si>
    <t>SES002762</t>
  </si>
  <si>
    <t>CUST00293</t>
  </si>
  <si>
    <t>ORD000566</t>
  </si>
  <si>
    <t>SES002459</t>
  </si>
  <si>
    <t>CUST00986</t>
  </si>
  <si>
    <t>ORD000505</t>
  </si>
  <si>
    <t>SES002637</t>
  </si>
  <si>
    <t>CUST00098</t>
  </si>
  <si>
    <t>ORD000385</t>
  </si>
  <si>
    <t>SES001126</t>
  </si>
  <si>
    <t>CUST01725</t>
  </si>
  <si>
    <t>ORD000168</t>
  </si>
  <si>
    <t>SES000070</t>
  </si>
  <si>
    <t>CUST01683</t>
  </si>
  <si>
    <t>ORD000843</t>
  </si>
  <si>
    <t>SES002667</t>
  </si>
  <si>
    <t>CUST01231</t>
  </si>
  <si>
    <t>P005</t>
  </si>
  <si>
    <t>Running Shoes</t>
  </si>
  <si>
    <t>ORD001036</t>
  </si>
  <si>
    <t>SES002651</t>
  </si>
  <si>
    <t>CUST00935</t>
  </si>
  <si>
    <t>ORD000487</t>
  </si>
  <si>
    <t>SES002430</t>
  </si>
  <si>
    <t>CUST00349</t>
  </si>
  <si>
    <t>ORD000685</t>
  </si>
  <si>
    <t>SES002999</t>
  </si>
  <si>
    <t>CUST01646</t>
  </si>
  <si>
    <t>P020</t>
  </si>
  <si>
    <t>Kitchen Storage Box</t>
  </si>
  <si>
    <t>ORD000105</t>
  </si>
  <si>
    <t>SES000013</t>
  </si>
  <si>
    <t>CUST00133</t>
  </si>
  <si>
    <t>P016</t>
  </si>
  <si>
    <t>Face Wash</t>
  </si>
  <si>
    <t>ORD000717</t>
  </si>
  <si>
    <t>SES001600</t>
  </si>
  <si>
    <t>CUST01791</t>
  </si>
  <si>
    <t>ORD000227</t>
  </si>
  <si>
    <t>SES003257</t>
  </si>
  <si>
    <t>CUST00381</t>
  </si>
  <si>
    <t>ORD000796</t>
  </si>
  <si>
    <t>SES000251</t>
  </si>
  <si>
    <t>CUST01291</t>
  </si>
  <si>
    <t>ORD001303</t>
  </si>
  <si>
    <t>SES000405</t>
  </si>
  <si>
    <t>CUST01390</t>
  </si>
  <si>
    <t>ORD000602</t>
  </si>
  <si>
    <t>SES002336</t>
  </si>
  <si>
    <t>CUST00194</t>
  </si>
  <si>
    <t>ORD000951</t>
  </si>
  <si>
    <t>SES002335</t>
  </si>
  <si>
    <t>CUST00610</t>
  </si>
  <si>
    <t>ORD000349</t>
  </si>
  <si>
    <t>SES000973</t>
  </si>
  <si>
    <t>CUST00947</t>
  </si>
  <si>
    <t>ORD001056</t>
  </si>
  <si>
    <t>SES003213</t>
  </si>
  <si>
    <t>CUST01440</t>
  </si>
  <si>
    <t>P018</t>
  </si>
  <si>
    <t>Phone Charger</t>
  </si>
  <si>
    <t>ORD000534</t>
  </si>
  <si>
    <t>SES003021</t>
  </si>
  <si>
    <t>CUST01257</t>
  </si>
  <si>
    <t>ORD000743</t>
  </si>
  <si>
    <t>SES002748</t>
  </si>
  <si>
    <t>CUST01501</t>
  </si>
  <si>
    <t>ORD000482</t>
  </si>
  <si>
    <t>SES001451</t>
  </si>
  <si>
    <t>CUST01500</t>
  </si>
  <si>
    <t>ORD000359</t>
  </si>
  <si>
    <t>SES000624</t>
  </si>
  <si>
    <t>CUST01448</t>
  </si>
  <si>
    <t>ORD000189</t>
  </si>
  <si>
    <t>SES000241</t>
  </si>
  <si>
    <t>CUST01113</t>
  </si>
  <si>
    <t>ORD000637</t>
  </si>
  <si>
    <t>SES001849</t>
  </si>
  <si>
    <t>CUST01591</t>
  </si>
  <si>
    <t>ORD001010</t>
  </si>
  <si>
    <t>SES003156</t>
  </si>
  <si>
    <t>CUST00711</t>
  </si>
  <si>
    <t>ORD001291</t>
  </si>
  <si>
    <t>SES002129</t>
  </si>
  <si>
    <t>CUST00471</t>
  </si>
  <si>
    <t>ORD000278</t>
  </si>
  <si>
    <t>SES002126</t>
  </si>
  <si>
    <t>CUST00589</t>
  </si>
  <si>
    <t>ORD001372</t>
  </si>
  <si>
    <t>SES001535</t>
  </si>
  <si>
    <t>CUST00693</t>
  </si>
  <si>
    <t>ORD000877</t>
  </si>
  <si>
    <t>SES002825</t>
  </si>
  <si>
    <t>CUST01334</t>
  </si>
  <si>
    <t>ORD000384</t>
  </si>
  <si>
    <t>SES001107</t>
  </si>
  <si>
    <t>CUST01599</t>
  </si>
  <si>
    <t>ORD000597</t>
  </si>
  <si>
    <t>SES001304</t>
  </si>
  <si>
    <t>CUST01010</t>
  </si>
  <si>
    <t>ORD000196</t>
  </si>
  <si>
    <t>SES002787</t>
  </si>
  <si>
    <t>CUST00075</t>
  </si>
  <si>
    <t>ORD000326</t>
  </si>
  <si>
    <t>SES001574</t>
  </si>
  <si>
    <t>CUST00448</t>
  </si>
  <si>
    <t>ORD000749</t>
  </si>
  <si>
    <t>SES002538</t>
  </si>
  <si>
    <t>CUST01609</t>
  </si>
  <si>
    <t>ORD001253</t>
  </si>
  <si>
    <t>SES003353</t>
  </si>
  <si>
    <t>CUST01108</t>
  </si>
  <si>
    <t>ORD001393</t>
  </si>
  <si>
    <t>SES002153</t>
  </si>
  <si>
    <t>CUST01165</t>
  </si>
  <si>
    <t>ORD000532</t>
  </si>
  <si>
    <t>SES001616</t>
  </si>
  <si>
    <t>CUST00825</t>
  </si>
  <si>
    <t>P011</t>
  </si>
  <si>
    <t>Programming Book</t>
  </si>
  <si>
    <t>ORD000109</t>
  </si>
  <si>
    <t>SES001942</t>
  </si>
  <si>
    <t>CUST01668</t>
  </si>
  <si>
    <t>ORD001270</t>
  </si>
  <si>
    <t>SES002382</t>
  </si>
  <si>
    <t>CUST00115</t>
  </si>
  <si>
    <t>ORD000686</t>
  </si>
  <si>
    <t>SES003132</t>
  </si>
  <si>
    <t>CUST00885</t>
  </si>
  <si>
    <t>ORD000599</t>
  </si>
  <si>
    <t>SES002619</t>
  </si>
  <si>
    <t>CUST00814</t>
  </si>
  <si>
    <t>ORD000101</t>
  </si>
  <si>
    <t>SES001095</t>
  </si>
  <si>
    <t>CUST00952</t>
  </si>
  <si>
    <t>ORD000644</t>
  </si>
  <si>
    <t>SES002431</t>
  </si>
  <si>
    <t>CUST01464</t>
  </si>
  <si>
    <t>ORD000547</t>
  </si>
  <si>
    <t>SES001365</t>
  </si>
  <si>
    <t>CUST00635</t>
  </si>
  <si>
    <t>ORD000964</t>
  </si>
  <si>
    <t>SES002730</t>
  </si>
  <si>
    <t>CUST00714</t>
  </si>
  <si>
    <t>ORD000297</t>
  </si>
  <si>
    <t>SES002518</t>
  </si>
  <si>
    <t>CUST01561</t>
  </si>
  <si>
    <t>ORD001005</t>
  </si>
  <si>
    <t>SES000834</t>
  </si>
  <si>
    <t>CUST00844</t>
  </si>
  <si>
    <t>ORD001134</t>
  </si>
  <si>
    <t>SES000162</t>
  </si>
  <si>
    <t>CUST00871</t>
  </si>
  <si>
    <t>ORD000953</t>
  </si>
  <si>
    <t>SES002714</t>
  </si>
  <si>
    <t>CUST00443</t>
  </si>
  <si>
    <t>ORD000226</t>
  </si>
  <si>
    <t>SES002265</t>
  </si>
  <si>
    <t>CUST00414</t>
  </si>
  <si>
    <t>ORD000529</t>
  </si>
  <si>
    <t>SES000853</t>
  </si>
  <si>
    <t>CUST01625</t>
  </si>
  <si>
    <t>ORD001286</t>
  </si>
  <si>
    <t>SES000641</t>
  </si>
  <si>
    <t>CUST01300</t>
  </si>
  <si>
    <t>ORD001139</t>
  </si>
  <si>
    <t>SES000934</t>
  </si>
  <si>
    <t>CUST00705</t>
  </si>
  <si>
    <t>ORD000569</t>
  </si>
  <si>
    <t>SES001481</t>
  </si>
  <si>
    <t>CUST00276</t>
  </si>
  <si>
    <t>ORD001185</t>
  </si>
  <si>
    <t>SES002254</t>
  </si>
  <si>
    <t>CUST01414</t>
  </si>
  <si>
    <t>ORD000987</t>
  </si>
  <si>
    <t>SES001447</t>
  </si>
  <si>
    <t>CUST01764</t>
  </si>
  <si>
    <t>ORD001064</t>
  </si>
  <si>
    <t>SES002842</t>
  </si>
  <si>
    <t>CUST01691</t>
  </si>
  <si>
    <t>ORD000741</t>
  </si>
  <si>
    <t>SES001920</t>
  </si>
  <si>
    <t>CUST01025</t>
  </si>
  <si>
    <t>ORD001171</t>
  </si>
  <si>
    <t>SES003351</t>
  </si>
  <si>
    <t>CUST00755</t>
  </si>
  <si>
    <t>ORD001071</t>
  </si>
  <si>
    <t>SES003414</t>
  </si>
  <si>
    <t>ORD000583</t>
  </si>
  <si>
    <t>SES001992</t>
  </si>
  <si>
    <t>CUST01342</t>
  </si>
  <si>
    <t>ORD000442</t>
  </si>
  <si>
    <t>SES000414</t>
  </si>
  <si>
    <t>CUST00792</t>
  </si>
  <si>
    <t>ORD000855</t>
  </si>
  <si>
    <t>SES002972</t>
  </si>
  <si>
    <t>CUST00291</t>
  </si>
  <si>
    <t>ORD001301</t>
  </si>
  <si>
    <t>SES001911</t>
  </si>
  <si>
    <t>CUST00372</t>
  </si>
  <si>
    <t>ORD000486</t>
  </si>
  <si>
    <t>SES000777</t>
  </si>
  <si>
    <t>CUST00418</t>
  </si>
  <si>
    <t>ORD000133</t>
  </si>
  <si>
    <t>SES000638</t>
  </si>
  <si>
    <t>CUST00102</t>
  </si>
  <si>
    <t>ORD000429</t>
  </si>
  <si>
    <t>SES003438</t>
  </si>
  <si>
    <t>CUST00147</t>
  </si>
  <si>
    <t>ORD000262</t>
  </si>
  <si>
    <t>SES003269</t>
  </si>
  <si>
    <t>CUST01169</t>
  </si>
  <si>
    <t>ORD001112</t>
  </si>
  <si>
    <t>SES000761</t>
  </si>
  <si>
    <t>CUST00553</t>
  </si>
  <si>
    <t>ORD001100</t>
  </si>
  <si>
    <t>SES001623</t>
  </si>
  <si>
    <t>CUST01320</t>
  </si>
  <si>
    <t>ORD000375</t>
  </si>
  <si>
    <t>SES003450</t>
  </si>
  <si>
    <t>CUST00002</t>
  </si>
  <si>
    <t>ORD000942</t>
  </si>
  <si>
    <t>SES003518</t>
  </si>
  <si>
    <t>P009</t>
  </si>
  <si>
    <t>Water Bottle</t>
  </si>
  <si>
    <t>ORD000970</t>
  </si>
  <si>
    <t>SES003130</t>
  </si>
  <si>
    <t>CUST01338</t>
  </si>
  <si>
    <t>ORD000988</t>
  </si>
  <si>
    <t>SES000456</t>
  </si>
  <si>
    <t>CUST00296</t>
  </si>
  <si>
    <t>ORD000412</t>
  </si>
  <si>
    <t>SES001341</t>
  </si>
  <si>
    <t>CUST00021</t>
  </si>
  <si>
    <t>ORD001338</t>
  </si>
  <si>
    <t>SES001028</t>
  </si>
  <si>
    <t>CUST00939</t>
  </si>
  <si>
    <t>ORD000579</t>
  </si>
  <si>
    <t>SES000175</t>
  </si>
  <si>
    <t>CUST00521</t>
  </si>
  <si>
    <t>ORD000308</t>
  </si>
  <si>
    <t>SES002953</t>
  </si>
  <si>
    <t>CUST01278</t>
  </si>
  <si>
    <t>ORD000022</t>
  </si>
  <si>
    <t>SES001513</t>
  </si>
  <si>
    <t>ORD000629</t>
  </si>
  <si>
    <t>SES000654</t>
  </si>
  <si>
    <t>CUST00763</t>
  </si>
  <si>
    <t>ORD000140</t>
  </si>
  <si>
    <t>SES001935</t>
  </si>
  <si>
    <t>CUST00003</t>
  </si>
  <si>
    <t>ORD000559</t>
  </si>
  <si>
    <t>SES001108</t>
  </si>
  <si>
    <t>CUST00199</t>
  </si>
  <si>
    <t>ORD000873</t>
  </si>
  <si>
    <t>SES001721</t>
  </si>
  <si>
    <t>CUST00141</t>
  </si>
  <si>
    <t>ORD000069</t>
  </si>
  <si>
    <t>SES000808</t>
  </si>
  <si>
    <t>CUST01761</t>
  </si>
  <si>
    <t>ORD001083</t>
  </si>
  <si>
    <t>SES001049</t>
  </si>
  <si>
    <t>CUST01281</t>
  </si>
  <si>
    <t>ORD000847</t>
  </si>
  <si>
    <t>SES002227</t>
  </si>
  <si>
    <t>CUST00899</t>
  </si>
  <si>
    <t>ORD000880</t>
  </si>
  <si>
    <t>SES001150</t>
  </si>
  <si>
    <t>CUST00095</t>
  </si>
  <si>
    <t>ORD000048</t>
  </si>
  <si>
    <t>SES001844</t>
  </si>
  <si>
    <t>CUST00172</t>
  </si>
  <si>
    <t>ORD000426</t>
  </si>
  <si>
    <t>SES000953</t>
  </si>
  <si>
    <t>CUST00389</t>
  </si>
  <si>
    <t>ORD000556</t>
  </si>
  <si>
    <t>SES000821</t>
  </si>
  <si>
    <t>CUST01064</t>
  </si>
  <si>
    <t>ORD000690</t>
  </si>
  <si>
    <t>SES000268</t>
  </si>
  <si>
    <t>CUST00759</t>
  </si>
  <si>
    <t>ORD000225</t>
  </si>
  <si>
    <t>SES000433</t>
  </si>
  <si>
    <t>CUST00675</t>
  </si>
  <si>
    <t>ORD000752</t>
  </si>
  <si>
    <t>SES000607</t>
  </si>
  <si>
    <t>CUST00004</t>
  </si>
  <si>
    <t>ORD000318</t>
  </si>
  <si>
    <t>SES003167</t>
  </si>
  <si>
    <t>CUST01358</t>
  </si>
  <si>
    <t>ORD001354</t>
  </si>
  <si>
    <t>SES001620</t>
  </si>
  <si>
    <t>CUST00342</t>
  </si>
  <si>
    <t>ORD000165</t>
  </si>
  <si>
    <t>SES001854</t>
  </si>
  <si>
    <t>CUST00025</t>
  </si>
  <si>
    <t>ORD000144</t>
  </si>
  <si>
    <t>SES001579</t>
  </si>
  <si>
    <t>CUST00906</t>
  </si>
  <si>
    <t>ORD000354</t>
  </si>
  <si>
    <t>SES002057</t>
  </si>
  <si>
    <t>CUST00287</t>
  </si>
  <si>
    <t>ORD001126</t>
  </si>
  <si>
    <t>SES002378</t>
  </si>
  <si>
    <t>CUST01123</t>
  </si>
  <si>
    <t>ORD000620</t>
  </si>
  <si>
    <t>SES003419</t>
  </si>
  <si>
    <t>CUST01247</t>
  </si>
  <si>
    <t>ORD001195</t>
  </si>
  <si>
    <t>SES001650</t>
  </si>
  <si>
    <t>CUST01313</t>
  </si>
  <si>
    <t>ORD000008</t>
  </si>
  <si>
    <t>SES001296</t>
  </si>
  <si>
    <t>CUST00378</t>
  </si>
  <si>
    <t>ORD000879</t>
  </si>
  <si>
    <t>SES002403</t>
  </si>
  <si>
    <t>CUST01442</t>
  </si>
  <si>
    <t>ORD000239</t>
  </si>
  <si>
    <t>SES001480</t>
  </si>
  <si>
    <t>CUST01321</t>
  </si>
  <si>
    <t>ORD000096</t>
  </si>
  <si>
    <t>SES001372</t>
  </si>
  <si>
    <t>ORD000088</t>
  </si>
  <si>
    <t>SES003191</t>
  </si>
  <si>
    <t>CUST00879</t>
  </si>
  <si>
    <t>ORD000803</t>
  </si>
  <si>
    <t>SES002054</t>
  </si>
  <si>
    <t>ORD001240</t>
  </si>
  <si>
    <t>SES002921</t>
  </si>
  <si>
    <t>CUST00217</t>
  </si>
  <si>
    <t>ORD001191</t>
  </si>
  <si>
    <t>SES002310</t>
  </si>
  <si>
    <t>CUST00460</t>
  </si>
  <si>
    <t>ORD001121</t>
  </si>
  <si>
    <t>SES001085</t>
  </si>
  <si>
    <t>CUST00116</t>
  </si>
  <si>
    <t>ORD000947</t>
  </si>
  <si>
    <t>SES002146</t>
  </si>
  <si>
    <t>CUST01132</t>
  </si>
  <si>
    <t>ORD001380</t>
  </si>
  <si>
    <t>SES001531</t>
  </si>
  <si>
    <t>CUST00087</t>
  </si>
  <si>
    <t>ORD000216</t>
  </si>
  <si>
    <t>SES001206</t>
  </si>
  <si>
    <t>CUST00736</t>
  </si>
  <si>
    <t>ORD000303</t>
  </si>
  <si>
    <t>SES001199</t>
  </si>
  <si>
    <t>CUST00420</t>
  </si>
  <si>
    <t>ORD001059</t>
  </si>
  <si>
    <t>SES002139</t>
  </si>
  <si>
    <t>CUST01647</t>
  </si>
  <si>
    <t>ORD000075</t>
  </si>
  <si>
    <t>SES001497</t>
  </si>
  <si>
    <t>CUST00092</t>
  </si>
  <si>
    <t>ORD000699</t>
  </si>
  <si>
    <t>SES000371</t>
  </si>
  <si>
    <t>ORD000057</t>
  </si>
  <si>
    <t>SES003416</t>
  </si>
  <si>
    <t>CUST00779</t>
  </si>
  <si>
    <t>ORD000098</t>
  </si>
  <si>
    <t>SES001575</t>
  </si>
  <si>
    <t>CUST00298</t>
  </si>
  <si>
    <t>ORD001390</t>
  </si>
  <si>
    <t>SES000347</t>
  </si>
  <si>
    <t>CUST00042</t>
  </si>
  <si>
    <t>ORD000330</t>
  </si>
  <si>
    <t>2026-02</t>
  </si>
  <si>
    <t>SES000601</t>
  </si>
  <si>
    <t>CUST01640</t>
  </si>
  <si>
    <t>ORD000070</t>
  </si>
  <si>
    <t>SES002981</t>
  </si>
  <si>
    <t>ORD001327</t>
  </si>
  <si>
    <t>SES000247</t>
  </si>
  <si>
    <t>CUST00312</t>
  </si>
  <si>
    <t>ORD001026</t>
  </si>
  <si>
    <t>SES003326</t>
  </si>
  <si>
    <t>CUST01455</t>
  </si>
  <si>
    <t>ORD000115</t>
  </si>
  <si>
    <t>SES002829</t>
  </si>
  <si>
    <t>CUST01735</t>
  </si>
  <si>
    <t>ORD000591</t>
  </si>
  <si>
    <t>SES003003</t>
  </si>
  <si>
    <t>CUST01521</t>
  </si>
  <si>
    <t>ORD001300</t>
  </si>
  <si>
    <t>SES000585</t>
  </si>
  <si>
    <t>ORD000106</t>
  </si>
  <si>
    <t>SES001082</t>
  </si>
  <si>
    <t>CUST01075</t>
  </si>
  <si>
    <t>ORD000234</t>
  </si>
  <si>
    <t>SES001006</t>
  </si>
  <si>
    <t>ORD000713</t>
  </si>
  <si>
    <t>SES003129</t>
  </si>
  <si>
    <t>CUST00198</t>
  </si>
  <si>
    <t>ORD001174</t>
  </si>
  <si>
    <t>SES001921</t>
  </si>
  <si>
    <t>CUST01172</t>
  </si>
  <si>
    <t>ORD000397</t>
  </si>
  <si>
    <t>SES000691</t>
  </si>
  <si>
    <t>CUST01679</t>
  </si>
  <si>
    <t>ORD000459</t>
  </si>
  <si>
    <t>SES003161</t>
  </si>
  <si>
    <t>CUST01348</t>
  </si>
  <si>
    <t>ORD001265</t>
  </si>
  <si>
    <t>SES000914</t>
  </si>
  <si>
    <t>CUST01171</t>
  </si>
  <si>
    <t>ORD000696</t>
  </si>
  <si>
    <t>SES001236</t>
  </si>
  <si>
    <t>CUST00090</t>
  </si>
  <si>
    <t>ORD000954</t>
  </si>
  <si>
    <t>SES002866</t>
  </si>
  <si>
    <t>CUST01637</t>
  </si>
  <si>
    <t>ORD000102</t>
  </si>
  <si>
    <t>SES003281</t>
  </si>
  <si>
    <t>CUST01610</t>
  </si>
  <si>
    <t>ORD001381</t>
  </si>
  <si>
    <t>SES000549</t>
  </si>
  <si>
    <t>ORD001261</t>
  </si>
  <si>
    <t>SES001627</t>
  </si>
  <si>
    <t>ORD001009</t>
  </si>
  <si>
    <t>SES000284</t>
  </si>
  <si>
    <t>CUST01245</t>
  </si>
  <si>
    <t>ORD001318</t>
  </si>
  <si>
    <t>SES003584</t>
  </si>
  <si>
    <t>ORD000531</t>
  </si>
  <si>
    <t>SES001512</t>
  </si>
  <si>
    <t>CUST01368</t>
  </si>
  <si>
    <t>ORD000586</t>
  </si>
  <si>
    <t>SES002612</t>
  </si>
  <si>
    <t>CUST00972</t>
  </si>
  <si>
    <t>ORD001142</t>
  </si>
  <si>
    <t>SES003304</t>
  </si>
  <si>
    <t>CUST01151</t>
  </si>
  <si>
    <t>ORD000993</t>
  </si>
  <si>
    <t>SES001478</t>
  </si>
  <si>
    <t>CUST00383</t>
  </si>
  <si>
    <t>ORD000981</t>
  </si>
  <si>
    <t>SES000260</t>
  </si>
  <si>
    <t>ORD000538</t>
  </si>
  <si>
    <t>SES002435</t>
  </si>
  <si>
    <t>CUST00363</t>
  </si>
  <si>
    <t>ORD000706</t>
  </si>
  <si>
    <t>SES002712</t>
  </si>
  <si>
    <t>CUST00527</t>
  </si>
  <si>
    <t>ORD000883</t>
  </si>
  <si>
    <t>SES000079</t>
  </si>
  <si>
    <t>CUST00225</t>
  </si>
  <si>
    <t>ORD000943</t>
  </si>
  <si>
    <t>SES002183</t>
  </si>
  <si>
    <t>CUST00039</t>
  </si>
  <si>
    <t>ORD000509</t>
  </si>
  <si>
    <t>SES003071</t>
  </si>
  <si>
    <t>CUST00761</t>
  </si>
  <si>
    <t>ORD000721</t>
  </si>
  <si>
    <t>SES002482</t>
  </si>
  <si>
    <t>CUST00302</t>
  </si>
  <si>
    <t>ORD000065</t>
  </si>
  <si>
    <t>SES000015</t>
  </si>
  <si>
    <t>CUST00588</t>
  </si>
  <si>
    <t>ORD000340</t>
  </si>
  <si>
    <t>SES001195</t>
  </si>
  <si>
    <t>CUST01292</t>
  </si>
  <si>
    <t>ORD000458</t>
  </si>
  <si>
    <t>SES002401</t>
  </si>
  <si>
    <t>CUST00817</t>
  </si>
  <si>
    <t>ORD000435</t>
  </si>
  <si>
    <t>SES002203</t>
  </si>
  <si>
    <t>CUST01333</t>
  </si>
  <si>
    <t>ORD000117</t>
  </si>
  <si>
    <t>SES001780</t>
  </si>
  <si>
    <t>CUST00266</t>
  </si>
  <si>
    <t>ORD000551</t>
  </si>
  <si>
    <t>SES001613</t>
  </si>
  <si>
    <t>CUST00821</t>
  </si>
  <si>
    <t>ORD000352</t>
  </si>
  <si>
    <t>SES001786</t>
  </si>
  <si>
    <t>CUST00994</t>
  </si>
  <si>
    <t>ORD000958</t>
  </si>
  <si>
    <t>SES000842</t>
  </si>
  <si>
    <t>CUST01266</t>
  </si>
  <si>
    <t>ORD000772</t>
  </si>
  <si>
    <t>SES001689</t>
  </si>
  <si>
    <t>CUST00727</t>
  </si>
  <si>
    <t>ORD000617</t>
  </si>
  <si>
    <t>SES003566</t>
  </si>
  <si>
    <t>CUST01263</t>
  </si>
  <si>
    <t>ORD000231</t>
  </si>
  <si>
    <t>SES000061</t>
  </si>
  <si>
    <t>ORD001250</t>
  </si>
  <si>
    <t>SES000756</t>
  </si>
  <si>
    <t>CUST01083</t>
  </si>
  <si>
    <t>ORD001177</t>
  </si>
  <si>
    <t>SES000482</t>
  </si>
  <si>
    <t>CUST01531</t>
  </si>
  <si>
    <t>ORD000846</t>
  </si>
  <si>
    <t>SES002070</t>
  </si>
  <si>
    <t>CUST01265</t>
  </si>
  <si>
    <t>ORD001388</t>
  </si>
  <si>
    <t>SES000056</t>
  </si>
  <si>
    <t>CUST00967</t>
  </si>
  <si>
    <t>ORD000158</t>
  </si>
  <si>
    <t>SES002984</t>
  </si>
  <si>
    <t>CUST01556</t>
  </si>
  <si>
    <t>ORD000281</t>
  </si>
  <si>
    <t>SES001736</t>
  </si>
  <si>
    <t>CUST01793</t>
  </si>
  <si>
    <t>ORD000100</t>
  </si>
  <si>
    <t>SES000651</t>
  </si>
  <si>
    <t>CUST00017</t>
  </si>
  <si>
    <t>ORD000744</t>
  </si>
  <si>
    <t>SES001047</t>
  </si>
  <si>
    <t>CUST00942</t>
  </si>
  <si>
    <t>ORD001310</t>
  </si>
  <si>
    <t>SES002807</t>
  </si>
  <si>
    <t>CUST01616</t>
  </si>
  <si>
    <t>ORD000443</t>
  </si>
  <si>
    <t>SES001291</t>
  </si>
  <si>
    <t>CUST01588</t>
  </si>
  <si>
    <t>ORD001358</t>
  </si>
  <si>
    <t>SES002221</t>
  </si>
  <si>
    <t>CUST00604</t>
  </si>
  <si>
    <t>ORD000089</t>
  </si>
  <si>
    <t>SES000019</t>
  </si>
  <si>
    <t>CUST00592</t>
  </si>
  <si>
    <t>ORD000933</t>
  </si>
  <si>
    <t>SES002723</t>
  </si>
  <si>
    <t>CUST00012</t>
  </si>
  <si>
    <t>ORD000441</t>
  </si>
  <si>
    <t>SES001196</t>
  </si>
  <si>
    <t>CUST01093</t>
  </si>
  <si>
    <t>ORD001246</t>
  </si>
  <si>
    <t>SES001633</t>
  </si>
  <si>
    <t>CUST01298</t>
  </si>
  <si>
    <t>ORD000533</t>
  </si>
  <si>
    <t>SES002088</t>
  </si>
  <si>
    <t>CUST01474</t>
  </si>
  <si>
    <t>ORD001315</t>
  </si>
  <si>
    <t>SES003024</t>
  </si>
  <si>
    <t>CUST01253</t>
  </si>
  <si>
    <t>ORD001117</t>
  </si>
  <si>
    <t>SES002031</t>
  </si>
  <si>
    <t>CUST01194</t>
  </si>
  <si>
    <t>ORD000710</t>
  </si>
  <si>
    <t>SES002349</t>
  </si>
  <si>
    <t>CUST00892</t>
  </si>
  <si>
    <t>ORD001209</t>
  </si>
  <si>
    <t>SES001758</t>
  </si>
  <si>
    <t>CUST00564</t>
  </si>
  <si>
    <t>ORD000592</t>
  </si>
  <si>
    <t>SES003325</t>
  </si>
  <si>
    <t>CUST01078</t>
  </si>
  <si>
    <t>ORD000229</t>
  </si>
  <si>
    <t>SES001987</t>
  </si>
  <si>
    <t>CUST00278</t>
  </si>
  <si>
    <t>ORD000768</t>
  </si>
  <si>
    <t>SES000264</t>
  </si>
  <si>
    <t>CUST00131</t>
  </si>
  <si>
    <t>ORD000422</t>
  </si>
  <si>
    <t>SES000173</t>
  </si>
  <si>
    <t>CUST01731</t>
  </si>
  <si>
    <t>ORD001129</t>
  </si>
  <si>
    <t>SES002144</t>
  </si>
  <si>
    <t>CUST00391</t>
  </si>
  <si>
    <t>ORD000472</t>
  </si>
  <si>
    <t>SES001140</t>
  </si>
  <si>
    <t>CUST01709</t>
  </si>
  <si>
    <t>ORD000355</t>
  </si>
  <si>
    <t>SES000717</t>
  </si>
  <si>
    <t>ORD000501</t>
  </si>
  <si>
    <t>SES000196</t>
  </si>
  <si>
    <t>ORD000393</t>
  </si>
  <si>
    <t>SES001025</t>
  </si>
  <si>
    <t>ORD000805</t>
  </si>
  <si>
    <t>SES002132</t>
  </si>
  <si>
    <t>CUST00007</t>
  </si>
  <si>
    <t>ORD000982</t>
  </si>
  <si>
    <t>SES000044</t>
  </si>
  <si>
    <t>CUST00867</t>
  </si>
  <si>
    <t>ORD001304</t>
  </si>
  <si>
    <t>SES003569</t>
  </si>
  <si>
    <t>CUST00520</t>
  </si>
  <si>
    <t>ORD000868</t>
  </si>
  <si>
    <t>SES002855</t>
  </si>
  <si>
    <t>CUST00079</t>
  </si>
  <si>
    <t>ORD000804</t>
  </si>
  <si>
    <t>SES000769</t>
  </si>
  <si>
    <t>CUST00196</t>
  </si>
  <si>
    <t>ORD000023</t>
  </si>
  <si>
    <t>SES003339</t>
  </si>
  <si>
    <t>ORD000936</t>
  </si>
  <si>
    <t>SES003020</t>
  </si>
  <si>
    <t>CUST00676</t>
  </si>
  <si>
    <t>ORD000378</t>
  </si>
  <si>
    <t>SES002618</t>
  </si>
  <si>
    <t>CUST01487</t>
  </si>
  <si>
    <t>ORD000932</t>
  </si>
  <si>
    <t>SES002631</t>
  </si>
  <si>
    <t>ORD001161</t>
  </si>
  <si>
    <t>SES003520</t>
  </si>
  <si>
    <t>CUST00445</t>
  </si>
  <si>
    <t>ORD001389</t>
  </si>
  <si>
    <t>SES000755</t>
  </si>
  <si>
    <t>CUST00704</t>
  </si>
  <si>
    <t>ORD001251</t>
  </si>
  <si>
    <t>SES002315</t>
  </si>
  <si>
    <t>CUST01055</t>
  </si>
  <si>
    <t>ORD000722</t>
  </si>
  <si>
    <t>SES001937</t>
  </si>
  <si>
    <t>CUST01329</t>
  </si>
  <si>
    <t>ORD000962</t>
  </si>
  <si>
    <t>SES002249</t>
  </si>
  <si>
    <t>CUST01705</t>
  </si>
  <si>
    <t>ORD000704</t>
  </si>
  <si>
    <t>SES003309</t>
  </si>
  <si>
    <t>ORD000110</t>
  </si>
  <si>
    <t>SES000975</t>
  </si>
  <si>
    <t>CUST01206</t>
  </si>
  <si>
    <t>ORD000142</t>
  </si>
  <si>
    <t>SES001587</t>
  </si>
  <si>
    <t>CUST01667</t>
  </si>
  <si>
    <t>ORD001029</t>
  </si>
  <si>
    <t>SES002021</t>
  </si>
  <si>
    <t>CUST00093</t>
  </si>
  <si>
    <t>ORD001035</t>
  </si>
  <si>
    <t>SES001808</t>
  </si>
  <si>
    <t>ORD001387</t>
  </si>
  <si>
    <t>SES002270</t>
  </si>
  <si>
    <t>CUST01316</t>
  </si>
  <si>
    <t>ORD000370</t>
  </si>
  <si>
    <t>SES000606</t>
  </si>
  <si>
    <t>CUST00974</t>
  </si>
  <si>
    <t>ORD001307</t>
  </si>
  <si>
    <t>SES001386</t>
  </si>
  <si>
    <t>CUST01628</t>
  </si>
  <si>
    <t>ORD000836</t>
  </si>
  <si>
    <t>SES001504</t>
  </si>
  <si>
    <t>CUST00608</t>
  </si>
  <si>
    <t>ORD001057</t>
  </si>
  <si>
    <t>SES000078</t>
  </si>
  <si>
    <t>CUST00707</t>
  </si>
  <si>
    <t>ORD000277</t>
  </si>
  <si>
    <t>SES001518</t>
  </si>
  <si>
    <t>CUST00828</t>
  </si>
  <si>
    <t>ORD000077</t>
  </si>
  <si>
    <t>SES001120</t>
  </si>
  <si>
    <t>CUST01786</t>
  </si>
  <si>
    <t>ORD000394</t>
  </si>
  <si>
    <t>SES002588</t>
  </si>
  <si>
    <t>CUST00985</t>
  </si>
  <si>
    <t>ORD000864</t>
  </si>
  <si>
    <t>SES000310</t>
  </si>
  <si>
    <t>CUST00948</t>
  </si>
  <si>
    <t>ORD000795</t>
  </si>
  <si>
    <t>SES001794</t>
  </si>
  <si>
    <t>CUST00988</t>
  </si>
  <si>
    <t>ORD000647</t>
  </si>
  <si>
    <t>SES002918</t>
  </si>
  <si>
    <t>ORD000455</t>
  </si>
  <si>
    <t>2026-03</t>
  </si>
  <si>
    <t>SES003292</t>
  </si>
  <si>
    <t>CUST00721</t>
  </si>
  <si>
    <t>ORD000905</t>
  </si>
  <si>
    <t>SES001554</t>
  </si>
  <si>
    <t>CUST01689</t>
  </si>
  <si>
    <t>ORD000567</t>
  </si>
  <si>
    <t>SES000666</t>
  </si>
  <si>
    <t>CUST01526</t>
  </si>
  <si>
    <t>ORD001102</t>
  </si>
  <si>
    <t>SES001335</t>
  </si>
  <si>
    <t>CUST00406</t>
  </si>
  <si>
    <t>ORD000390</t>
  </si>
  <si>
    <t>SES000342</t>
  </si>
  <si>
    <t>CUST01344</t>
  </si>
  <si>
    <t>ORD000908</t>
  </si>
  <si>
    <t>SES002819</t>
  </si>
  <si>
    <t>CUST01190</t>
  </si>
  <si>
    <t>ORD000952</t>
  </si>
  <si>
    <t>SES003210</t>
  </si>
  <si>
    <t>CUST00936</t>
  </si>
  <si>
    <t>ORD000113</t>
  </si>
  <si>
    <t>SES002679</t>
  </si>
  <si>
    <t>CUST00944</t>
  </si>
  <si>
    <t>ORD001330</t>
  </si>
  <si>
    <t>SES002400</t>
  </si>
  <si>
    <t>CUST00673</t>
  </si>
  <si>
    <t>ORD000938</t>
  </si>
  <si>
    <t>SES003314</t>
  </si>
  <si>
    <t>CUST01387</t>
  </si>
  <si>
    <t>ORD000366</t>
  </si>
  <si>
    <t>SES000858</t>
  </si>
  <si>
    <t>CUST01084</t>
  </si>
  <si>
    <t>ORD000862</t>
  </si>
  <si>
    <t>SES000094</t>
  </si>
  <si>
    <t>CUST00285</t>
  </si>
  <si>
    <t>ORD000790</t>
  </si>
  <si>
    <t>SES000576</t>
  </si>
  <si>
    <t>CUST01763</t>
  </si>
  <si>
    <t>ORD000399</t>
  </si>
  <si>
    <t>SES000593</t>
  </si>
  <si>
    <t>CUST00143</t>
  </si>
  <si>
    <t>ORD001292</t>
  </si>
  <si>
    <t>SES000571</t>
  </si>
  <si>
    <t>CUST01473</t>
  </si>
  <si>
    <t>ORD001119</t>
  </si>
  <si>
    <t>SES003016</t>
  </si>
  <si>
    <t>CUST01749</t>
  </si>
  <si>
    <t>ORD001041</t>
  </si>
  <si>
    <t>SES002326</t>
  </si>
  <si>
    <t>ORD000835</t>
  </si>
  <si>
    <t>SES002803</t>
  </si>
  <si>
    <t>ORD000172</t>
  </si>
  <si>
    <t>SES002926</t>
  </si>
  <si>
    <t>CUST00731</t>
  </si>
  <si>
    <t>ORD000774</t>
  </si>
  <si>
    <t>SES000186</t>
  </si>
  <si>
    <t>CUST01250</t>
  </si>
  <si>
    <t>ORD000288</t>
  </si>
  <si>
    <t>SES001845</t>
  </si>
  <si>
    <t>CUST01388</t>
  </si>
  <si>
    <t>ORD000294</t>
  </si>
  <si>
    <t>SES001495</t>
  </si>
  <si>
    <t>CUST01654</t>
  </si>
  <si>
    <t>ORD000164</t>
  </si>
  <si>
    <t>SES000472</t>
  </si>
  <si>
    <t>CUST00397</t>
  </si>
  <si>
    <t>ORD000815</t>
  </si>
  <si>
    <t>SES003303</t>
  </si>
  <si>
    <t>CUST01629</t>
  </si>
  <si>
    <t>ORD001133</t>
  </si>
  <si>
    <t>SES002141</t>
  </si>
  <si>
    <t>CUST01684</t>
  </si>
  <si>
    <t>ORD000937</t>
  </si>
  <si>
    <t>SES000450</t>
  </si>
  <si>
    <t>ORD001276</t>
  </si>
  <si>
    <t>SES001900</t>
  </si>
  <si>
    <t>ORD000107</t>
  </si>
  <si>
    <t>SES001114</t>
  </si>
  <si>
    <t>CUST01280</t>
  </si>
  <si>
    <t>ORD000285</t>
  </si>
  <si>
    <t>SES002655</t>
  </si>
  <si>
    <t>CUST01183</t>
  </si>
  <si>
    <t>ORD000031</t>
  </si>
  <si>
    <t>SES002880</t>
  </si>
  <si>
    <t>ORD000197</t>
  </si>
  <si>
    <t>SES001046</t>
  </si>
  <si>
    <t>CUST01548</t>
  </si>
  <si>
    <t>ORD001003</t>
  </si>
  <si>
    <t>SES000039</t>
  </si>
  <si>
    <t>CUST01288</t>
  </si>
  <si>
    <t>ORD000238</t>
  </si>
  <si>
    <t>SES002267</t>
  </si>
  <si>
    <t>CUST00043</t>
  </si>
  <si>
    <t>ORD001329</t>
  </si>
  <si>
    <t>SES002426</t>
  </si>
  <si>
    <t>CUST01318</t>
  </si>
  <si>
    <t>ORD001202</t>
  </si>
  <si>
    <t>SES003343</t>
  </si>
  <si>
    <t>CUST00261</t>
  </si>
  <si>
    <t>ORD001118</t>
  </si>
  <si>
    <t>SES001254</t>
  </si>
  <si>
    <t>CUST01563</t>
  </si>
  <si>
    <t>ORD000860</t>
  </si>
  <si>
    <t>SES001619</t>
  </si>
  <si>
    <t>CUST01586</t>
  </si>
  <si>
    <t>ORD000872</t>
  </si>
  <si>
    <t>SES000688</t>
  </si>
  <si>
    <t>ORD001302</t>
  </si>
  <si>
    <t>SES001227</t>
  </si>
  <si>
    <t>CUST01720</t>
  </si>
  <si>
    <t>ORD000036</t>
  </si>
  <si>
    <t>SES000544</t>
  </si>
  <si>
    <t>CUST00387</t>
  </si>
  <si>
    <t>ORD000874</t>
  </si>
  <si>
    <t>SES002233</t>
  </si>
  <si>
    <t>CUST00605</t>
  </si>
  <si>
    <t>ORD001295</t>
  </si>
  <si>
    <t>SES003499</t>
  </si>
  <si>
    <t>CUST00208</t>
  </si>
  <si>
    <t>ORD000859</t>
  </si>
  <si>
    <t>SES000867</t>
  </si>
  <si>
    <t>ORD000418</t>
  </si>
  <si>
    <t>SES000417</t>
  </si>
  <si>
    <t>CUST00687</t>
  </si>
  <si>
    <t>ORD000789</t>
  </si>
  <si>
    <t>SES002600</t>
  </si>
  <si>
    <t>CUST01036</t>
  </si>
  <si>
    <t>ORD001183</t>
  </si>
  <si>
    <t>SES001073</t>
  </si>
  <si>
    <t>CUST01317</t>
  </si>
  <si>
    <t>ORD001167</t>
  </si>
  <si>
    <t>SES000514</t>
  </si>
  <si>
    <t>CUST00758</t>
  </si>
  <si>
    <t>ORD000389</t>
  </si>
  <si>
    <t>SES000082</t>
  </si>
  <si>
    <t>ORD000180</t>
  </si>
  <si>
    <t>SES000443</t>
  </si>
  <si>
    <t>ORD000236</t>
  </si>
  <si>
    <t>SES003337</t>
  </si>
  <si>
    <t>CUST00037</t>
  </si>
  <si>
    <t>ORD000673</t>
  </si>
  <si>
    <t>SES000177</t>
  </si>
  <si>
    <t>CUST00971</t>
  </si>
  <si>
    <t>ORD001264</t>
  </si>
  <si>
    <t>SES003407</t>
  </si>
  <si>
    <t>CUST00584</t>
  </si>
  <si>
    <t>ORD000901</t>
  </si>
  <si>
    <t>SES003190</t>
  </si>
  <si>
    <t>CUST01137</t>
  </si>
  <si>
    <t>ORD000379</t>
  </si>
  <si>
    <t>SES000337</t>
  </si>
  <si>
    <t>CUST01220</t>
  </si>
  <si>
    <t>ORD000769</t>
  </si>
  <si>
    <t>SES001537</t>
  </si>
  <si>
    <t>CUST00244</t>
  </si>
  <si>
    <t>ORD000126</t>
  </si>
  <si>
    <t>SES003054</t>
  </si>
  <si>
    <t>CUST00501</t>
  </si>
  <si>
    <t>ORD000897</t>
  </si>
  <si>
    <t>SES002321</t>
  </si>
  <si>
    <t>ORD000940</t>
  </si>
  <si>
    <t>SES000873</t>
  </si>
  <si>
    <t>CUST00191</t>
  </si>
  <si>
    <t>ORD000712</t>
  </si>
  <si>
    <t>SES000377</t>
  </si>
  <si>
    <t>ORD000867</t>
  </si>
  <si>
    <t>SES002786</t>
  </si>
  <si>
    <t>CUST01181</t>
  </si>
  <si>
    <t>ORD000038</t>
  </si>
  <si>
    <t>SES001754</t>
  </si>
  <si>
    <t>CUST00493</t>
  </si>
  <si>
    <t>ORD000520</t>
  </si>
  <si>
    <t>SES001974</t>
  </si>
  <si>
    <t>CUST00435</t>
  </si>
  <si>
    <t>ORD000177</t>
  </si>
  <si>
    <t>SES001098</t>
  </si>
  <si>
    <t>CUST01340</t>
  </si>
  <si>
    <t>ORD000674</t>
  </si>
  <si>
    <t>SES001903</t>
  </si>
  <si>
    <t>CUST00317</t>
  </si>
  <si>
    <t>ORD000963</t>
  </si>
  <si>
    <t>SES002005</t>
  </si>
  <si>
    <t>CUST01330</t>
  </si>
  <si>
    <t>ORD001192</t>
  </si>
  <si>
    <t>SES003283</t>
  </si>
  <si>
    <t>CUST00689</t>
  </si>
  <si>
    <t>ORD000162</t>
  </si>
  <si>
    <t>SES001573</t>
  </si>
  <si>
    <t>CUST00710</t>
  </si>
  <si>
    <t>ORD000581</t>
  </si>
  <si>
    <t>SES002087</t>
  </si>
  <si>
    <t>CUST00250</t>
  </si>
  <si>
    <t>ORD000471</t>
  </si>
  <si>
    <t>SES000440</t>
  </si>
  <si>
    <t>CUST00989</t>
  </si>
  <si>
    <t>ORD000837</t>
  </si>
  <si>
    <t>SES002950</t>
  </si>
  <si>
    <t>CUST01383</t>
  </si>
  <si>
    <t>ORD000312</t>
  </si>
  <si>
    <t>SES002404</t>
  </si>
  <si>
    <t>ORD000255</t>
  </si>
  <si>
    <t>SES003323</t>
  </si>
  <si>
    <t>CUST01109</t>
  </si>
  <si>
    <t>ORD000261</t>
  </si>
  <si>
    <t>SES000509</t>
  </si>
  <si>
    <t>CUST01751</t>
  </si>
  <si>
    <t>ORD000324</t>
  </si>
  <si>
    <t>SES000989</t>
  </si>
  <si>
    <t>CUST01484</t>
  </si>
  <si>
    <t>ORD000079</t>
  </si>
  <si>
    <t>SES001413</t>
  </si>
  <si>
    <t>CUST01328</t>
  </si>
  <si>
    <t>ORD001245</t>
  </si>
  <si>
    <t>SES003540</t>
  </si>
  <si>
    <t>CUST00100</t>
  </si>
  <si>
    <t>ORD001087</t>
  </si>
  <si>
    <t>SES001969</t>
  </si>
  <si>
    <t>ORD001149</t>
  </si>
  <si>
    <t>SES003573</t>
  </si>
  <si>
    <t>CUST01522</t>
  </si>
  <si>
    <t>ORD000479</t>
  </si>
  <si>
    <t>SES000523</t>
  </si>
  <si>
    <t>ORD001382</t>
  </si>
  <si>
    <t>SES003327</t>
  </si>
  <si>
    <t>CUST01044</t>
  </si>
  <si>
    <t>ORD001168</t>
  </si>
  <si>
    <t>SES000542</t>
  </si>
  <si>
    <t>CUST00086</t>
  </si>
  <si>
    <t>ORD001221</t>
  </si>
  <si>
    <t>SES003571</t>
  </si>
  <si>
    <t>CUST01185</t>
  </si>
  <si>
    <t>ORD000518</t>
  </si>
  <si>
    <t>SES001710</t>
  </si>
  <si>
    <t>ORD000184</t>
  </si>
  <si>
    <t>SES001205</t>
  </si>
  <si>
    <t>CUST01524</t>
  </si>
  <si>
    <t>ORD000004</t>
  </si>
  <si>
    <t>SES003534</t>
  </si>
  <si>
    <t>CUST01014</t>
  </si>
  <si>
    <t>ORD000896</t>
  </si>
  <si>
    <t>SES001070</t>
  </si>
  <si>
    <t>CUST00336</t>
  </si>
  <si>
    <t>ORD001342</t>
  </si>
  <si>
    <t>SES002676</t>
  </si>
  <si>
    <t>CUST00712</t>
  </si>
  <si>
    <t>ORD000061</t>
  </si>
  <si>
    <t>SES001676</t>
  </si>
  <si>
    <t>ORD000304</t>
  </si>
  <si>
    <t>SES002968</t>
  </si>
  <si>
    <t>CUST00313</t>
  </si>
  <si>
    <t>ORD000121</t>
  </si>
  <si>
    <t>SES002611</t>
  </si>
  <si>
    <t>CUST00061</t>
  </si>
  <si>
    <t>ORD000416</t>
  </si>
  <si>
    <t>SES002113</t>
  </si>
  <si>
    <t>ORD000230</t>
  </si>
  <si>
    <t>SES002351</t>
  </si>
  <si>
    <t>CUST00793</t>
  </si>
  <si>
    <t>ORD000854</t>
  </si>
  <si>
    <t>SES001830</t>
  </si>
  <si>
    <t>CUST00426</t>
  </si>
  <si>
    <t>ORD000724</t>
  </si>
  <si>
    <t>SES000187</t>
  </si>
  <si>
    <t>CUST00969</t>
  </si>
  <si>
    <t>ORD001165</t>
  </si>
  <si>
    <t>SES000152</t>
  </si>
  <si>
    <t>CUST01700</t>
  </si>
  <si>
    <t>ORD000792</t>
  </si>
  <si>
    <t>SES003046</t>
  </si>
  <si>
    <t>CUST00214</t>
  </si>
  <si>
    <t>ORD000923</t>
  </si>
  <si>
    <t>SES002818</t>
  </si>
  <si>
    <t>CUST00640</t>
  </si>
  <si>
    <t>ORD000136</t>
  </si>
  <si>
    <t>SES000778</t>
  </si>
  <si>
    <t>CUST00365</t>
  </si>
  <si>
    <t>ORD000404</t>
  </si>
  <si>
    <t>SES002644</t>
  </si>
  <si>
    <t>CUST00489</t>
  </si>
  <si>
    <t>ORD000461</t>
  </si>
  <si>
    <t>SES002274</t>
  </si>
  <si>
    <t>CUST01713</t>
  </si>
  <si>
    <t>ORD001055</t>
  </si>
  <si>
    <t>SES001637</t>
  </si>
  <si>
    <t>CUST01168</t>
  </si>
  <si>
    <t>ORD001366</t>
  </si>
  <si>
    <t>SES002167</t>
  </si>
  <si>
    <t>ORD000618</t>
  </si>
  <si>
    <t>SES002940</t>
  </si>
  <si>
    <t>CUST01071</t>
  </si>
  <si>
    <t>ORD000616</t>
  </si>
  <si>
    <t>SES000362</t>
  </si>
  <si>
    <t>CUST00329</t>
  </si>
  <si>
    <t>ORD000638</t>
  </si>
  <si>
    <t>SES000780</t>
  </si>
  <si>
    <t>CUST01623</t>
  </si>
  <si>
    <t>ORD001090</t>
  </si>
  <si>
    <t>SES001908</t>
  </si>
  <si>
    <t>CUST00666</t>
  </si>
  <si>
    <t>ORD000154</t>
  </si>
  <si>
    <t>SES000910</t>
  </si>
  <si>
    <t>ORD000301</t>
  </si>
  <si>
    <t>SES001392</t>
  </si>
  <si>
    <t>CUST00122</t>
  </si>
  <si>
    <t>ORD000956</t>
  </si>
  <si>
    <t>SES002358</t>
  </si>
  <si>
    <t>CUST00216</t>
  </si>
  <si>
    <t>ORD000630</t>
  </si>
  <si>
    <t>SES001432</t>
  </si>
  <si>
    <t>ORD000984</t>
  </si>
  <si>
    <t>SES002418</t>
  </si>
  <si>
    <t>CUST00274</t>
  </si>
  <si>
    <t>ORD000907</t>
  </si>
  <si>
    <t>SES002098</t>
  </si>
  <si>
    <t>CUST00866</t>
  </si>
  <si>
    <t>ORD001062</t>
  </si>
  <si>
    <t>SES001214</t>
  </si>
  <si>
    <t>CUST00455</t>
  </si>
  <si>
    <t>ORD000353</t>
  </si>
  <si>
    <t>SES001846</t>
  </si>
  <si>
    <t>ORD000095</t>
  </si>
  <si>
    <t>SES000458</t>
  </si>
  <si>
    <t>ORD001179</t>
  </si>
  <si>
    <t>SES002092</t>
  </si>
  <si>
    <t>CUST00805</t>
  </si>
  <si>
    <t>ORD000502</t>
  </si>
  <si>
    <t>SES002812</t>
  </si>
  <si>
    <t>CUST01467</t>
  </si>
  <si>
    <t>ORD000490</t>
  </si>
  <si>
    <t>SES002373</t>
  </si>
  <si>
    <t>ORD000319</t>
  </si>
  <si>
    <t>SES000763</t>
  </si>
  <si>
    <t>CUST00962</t>
  </si>
  <si>
    <t>ORD001309</t>
  </si>
  <si>
    <t>SES001993</t>
  </si>
  <si>
    <t>CUST00334</t>
  </si>
  <si>
    <t>ORD001163</t>
  </si>
  <si>
    <t>SES002128</t>
  </si>
  <si>
    <t>CUST00223</t>
  </si>
  <si>
    <t>ORD000969</t>
  </si>
  <si>
    <t>SES001342</t>
  </si>
  <si>
    <t>CUST01287</t>
  </si>
  <si>
    <t>ORD001378</t>
  </si>
  <si>
    <t>SES000998</t>
  </si>
  <si>
    <t>CUST01133</t>
  </si>
  <si>
    <t>ORD000322</t>
  </si>
  <si>
    <t>SES002884</t>
  </si>
  <si>
    <t>CUST00959</t>
  </si>
  <si>
    <t>ORD001386</t>
  </si>
  <si>
    <t>SES000002</t>
  </si>
  <si>
    <t>CUST00664</t>
  </si>
  <si>
    <t>ORD000143</t>
  </si>
  <si>
    <t>SES002900</t>
  </si>
  <si>
    <t>CUST01209</t>
  </si>
  <si>
    <t>ORD001193</t>
  </si>
  <si>
    <t>SES001663</t>
  </si>
  <si>
    <t>CUST00738</t>
  </si>
  <si>
    <t>ORD000811</t>
  </si>
  <si>
    <t>SES001624</t>
  </si>
  <si>
    <t>ORD000323</t>
  </si>
  <si>
    <t>SES001745</t>
  </si>
  <si>
    <t>CUST00615</t>
  </si>
  <si>
    <t>ORD000492</t>
  </si>
  <si>
    <t>SES000453</t>
  </si>
  <si>
    <t>CUST01453</t>
  </si>
  <si>
    <t>ORD000560</t>
  </si>
  <si>
    <t>SES002738</t>
  </si>
  <si>
    <t>CUST00022</t>
  </si>
  <si>
    <t>ORD000782</t>
  </si>
  <si>
    <t>SES002363</t>
  </si>
  <si>
    <t>CUST00975</t>
  </si>
  <si>
    <t>ORD000665</t>
  </si>
  <si>
    <t>SES003376</t>
  </si>
  <si>
    <t>CUST00066</t>
  </si>
  <si>
    <t>ORD001115</t>
  </si>
  <si>
    <t>SES000674</t>
  </si>
  <si>
    <t>ORD000283</t>
  </si>
  <si>
    <t>SES003060</t>
  </si>
  <si>
    <t>CUST01641</t>
  </si>
  <si>
    <t>ORD001058</t>
  </si>
  <si>
    <t>2026-04</t>
  </si>
  <si>
    <t>SES002706</t>
  </si>
  <si>
    <t>CUST00665</t>
  </si>
  <si>
    <t>ORD001320</t>
  </si>
  <si>
    <t>SES000580</t>
  </si>
  <si>
    <t>CUST00957</t>
  </si>
  <si>
    <t>ORD000436</t>
  </si>
  <si>
    <t>SES001823</t>
  </si>
  <si>
    <t>CUST00752</t>
  </si>
  <si>
    <t>ORD001088</t>
  </si>
  <si>
    <t>SES000839</t>
  </si>
  <si>
    <t>ORD000160</t>
  </si>
  <si>
    <t>SES000949</t>
  </si>
  <si>
    <t>CUST01041</t>
  </si>
  <si>
    <t>ORD000776</t>
  </si>
  <si>
    <t>SES001680</t>
  </si>
  <si>
    <t>CUST00807</t>
  </si>
  <si>
    <t>ORD000582</t>
  </si>
  <si>
    <t>SES001130</t>
  </si>
  <si>
    <t>CUST01491</t>
  </si>
  <si>
    <t>ORD000398</t>
  </si>
  <si>
    <t>SES001032</t>
  </si>
  <si>
    <t>CUST00590</t>
  </si>
  <si>
    <t>ORD000193</t>
  </si>
  <si>
    <t>SES000028</t>
  </si>
  <si>
    <t>ORD001154</t>
  </si>
  <si>
    <t>SES000325</t>
  </si>
  <si>
    <t>CUST00725</t>
  </si>
  <si>
    <t>ORD001287</t>
  </si>
  <si>
    <t>SES002741</t>
  </si>
  <si>
    <t>CUST01015</t>
  </si>
  <si>
    <t>ORD001341</t>
  </si>
  <si>
    <t>SES002664</t>
  </si>
  <si>
    <t>ORD001255</t>
  </si>
  <si>
    <t>SES000779</t>
  </si>
  <si>
    <t>ORD000420</t>
  </si>
  <si>
    <t>SES000950</t>
  </si>
  <si>
    <t>CUST00781</t>
  </si>
  <si>
    <t>ORD000705</t>
  </si>
  <si>
    <t>SES003072</t>
  </si>
  <si>
    <t>CUST01307</t>
  </si>
  <si>
    <t>ORD000053</t>
  </si>
  <si>
    <t>SES002909</t>
  </si>
  <si>
    <t>CUST00629</t>
  </si>
  <si>
    <t>ORD001317</t>
  </si>
  <si>
    <t>SES000696</t>
  </si>
  <si>
    <t>CUST00909</t>
  </si>
  <si>
    <t>ORD001004</t>
  </si>
  <si>
    <t>SES001387</t>
  </si>
  <si>
    <t>ORD000224</t>
  </si>
  <si>
    <t>SES001737</t>
  </si>
  <si>
    <t>CUST01678</t>
  </si>
  <si>
    <t>ORD001243</t>
  </si>
  <si>
    <t>SES001402</t>
  </si>
  <si>
    <t>CUST01483</t>
  </si>
  <si>
    <t>ORD000829</t>
  </si>
  <si>
    <t>SES001255</t>
  </si>
  <si>
    <t>CUST00557</t>
  </si>
  <si>
    <t>ORD000707</t>
  </si>
  <si>
    <t>SES001113</t>
  </si>
  <si>
    <t>CUST00956</t>
  </si>
  <si>
    <t>ORD000894</t>
  </si>
  <si>
    <t>SES002870</t>
  </si>
  <si>
    <t>CUST01376</t>
  </si>
  <si>
    <t>ORD001217</t>
  </si>
  <si>
    <t>SES000391</t>
  </si>
  <si>
    <t>CUST00801</t>
  </si>
  <si>
    <t>ORD000944</t>
  </si>
  <si>
    <t>SES000723</t>
  </si>
  <si>
    <t>CUST00429</t>
  </si>
  <si>
    <t>ORD000185</t>
  </si>
  <si>
    <t>SES000698</t>
  </si>
  <si>
    <t>ORD000467</t>
  </si>
  <si>
    <t>SES002888</t>
  </si>
  <si>
    <t>CUST01241</t>
  </si>
  <si>
    <t>ORD000415</t>
  </si>
  <si>
    <t>SES003120</t>
  </si>
  <si>
    <t>ORD000968</t>
  </si>
  <si>
    <t>SES001151</t>
  </si>
  <si>
    <t>CUST01394</t>
  </si>
  <si>
    <t>ORD000972</t>
  </si>
  <si>
    <t>SES002614</t>
  </si>
  <si>
    <t>CUST00268</t>
  </si>
  <si>
    <t>ORD000350</t>
  </si>
  <si>
    <t>SES000730</t>
  </si>
  <si>
    <t>CUST01750</t>
  </si>
  <si>
    <t>ORD000097</t>
  </si>
  <si>
    <t>SES002100</t>
  </si>
  <si>
    <t>CUST00187</t>
  </si>
  <si>
    <t>ORD000577</t>
  </si>
  <si>
    <t>SES002133</t>
  </si>
  <si>
    <t>CUST00578</t>
  </si>
  <si>
    <t>ORD001065</t>
  </si>
  <si>
    <t>SES000519</t>
  </si>
  <si>
    <t>CUST00492</t>
  </si>
  <si>
    <t>ORD000858</t>
  </si>
  <si>
    <t>SES002193</t>
  </si>
  <si>
    <t>CUST01758</t>
  </si>
  <si>
    <t>ORD000286</t>
  </si>
  <si>
    <t>SES000259</t>
  </si>
  <si>
    <t>CUST00849</t>
  </si>
  <si>
    <t>ORD000832</t>
  </si>
  <si>
    <t>SES002555</t>
  </si>
  <si>
    <t>CUST01027</t>
  </si>
  <si>
    <t>ORD001311</t>
  </si>
  <si>
    <t>SES002978</t>
  </si>
  <si>
    <t>CUST00183</t>
  </si>
  <si>
    <t>ORD000506</t>
  </si>
  <si>
    <t>SES001957</t>
  </si>
  <si>
    <t>CUST00744</t>
  </si>
  <si>
    <t>ORD000382</t>
  </si>
  <si>
    <t>SES001312</t>
  </si>
  <si>
    <t>CUST00916</t>
  </si>
  <si>
    <t>ORD000770</t>
  </si>
  <si>
    <t>SES000984</t>
  </si>
  <si>
    <t>ORD000817</t>
  </si>
  <si>
    <t>SES002879</t>
  </si>
  <si>
    <t>CUST01541</t>
  </si>
  <si>
    <t>ORD000613</t>
  </si>
  <si>
    <t>SES000358</t>
  </si>
  <si>
    <t>CUST00311</t>
  </si>
  <si>
    <t>ORD001224</t>
  </si>
  <si>
    <t>SES003262</t>
  </si>
  <si>
    <t>CUST01322</t>
  </si>
  <si>
    <t>ORD001091</t>
  </si>
  <si>
    <t>SES002416</t>
  </si>
  <si>
    <t>CUST01178</t>
  </si>
  <si>
    <t>ORD001319</t>
  </si>
  <si>
    <t>SES002490</t>
  </si>
  <si>
    <t>CUST01304</t>
  </si>
  <si>
    <t>ORD000295</t>
  </si>
  <si>
    <t>SES003237</t>
  </si>
  <si>
    <t>CUST00794</t>
  </si>
  <si>
    <t>ORD001085</t>
  </si>
  <si>
    <t>SES000612</t>
  </si>
  <si>
    <t>CUST01244</t>
  </si>
  <si>
    <t>ORD001249</t>
  </si>
  <si>
    <t>SES001329</t>
  </si>
  <si>
    <t>CUST01477</t>
  </si>
  <si>
    <t>ORD000844</t>
  </si>
  <si>
    <t>SES000287</t>
  </si>
  <si>
    <t>ORD001162</t>
  </si>
  <si>
    <t>SES000190</t>
  </si>
  <si>
    <t>CUST01373</t>
  </si>
  <si>
    <t>ORD000513</t>
  </si>
  <si>
    <t>SES001683</t>
  </si>
  <si>
    <t>ORD000035</t>
  </si>
  <si>
    <t>SES001693</t>
  </si>
  <si>
    <t>CUST01391</t>
  </si>
  <si>
    <t>ORD001158</t>
  </si>
  <si>
    <t>SES002530</t>
  </si>
  <si>
    <t>CUST00011</t>
  </si>
  <si>
    <t>ORD000376</t>
  </si>
  <si>
    <t>SES002834</t>
  </si>
  <si>
    <t>CUST01438</t>
  </si>
  <si>
    <t>ORD001228</t>
  </si>
  <si>
    <t>SES002913</t>
  </si>
  <si>
    <t>CUST01228</t>
  </si>
  <si>
    <t>ORD001151</t>
  </si>
  <si>
    <t>SES002622</t>
  </si>
  <si>
    <t>ORD000178</t>
  </si>
  <si>
    <t>SES000332</t>
  </si>
  <si>
    <t>CUST01702</t>
  </si>
  <si>
    <t>ORD000892</t>
  </si>
  <si>
    <t>SES000752</t>
  </si>
  <si>
    <t>CUST00917</t>
  </si>
  <si>
    <t>ORD001293</t>
  </si>
  <si>
    <t>SES002605</t>
  </si>
  <si>
    <t>ORD000417</t>
  </si>
  <si>
    <t>SES003400</t>
  </si>
  <si>
    <t>CUST00318</t>
  </si>
  <si>
    <t>ORD001101</t>
  </si>
  <si>
    <t>SES000136</t>
  </si>
  <si>
    <t>CUST01694</t>
  </si>
  <si>
    <t>ORD000563</t>
  </si>
  <si>
    <t>SES003513</t>
  </si>
  <si>
    <t>CUST01441</t>
  </si>
  <si>
    <t>ORD001297</t>
  </si>
  <si>
    <t>SES001647</t>
  </si>
  <si>
    <t>CUST01444</t>
  </si>
  <si>
    <t>ORD001368</t>
  </si>
  <si>
    <t>SES003448</t>
  </si>
  <si>
    <t>CUST00716</t>
  </si>
  <si>
    <t>ORD000791</t>
  </si>
  <si>
    <t>SES002558</t>
  </si>
  <si>
    <t>ORD000457</t>
  </si>
  <si>
    <t>SES001248</t>
  </si>
  <si>
    <t>CUST00923</t>
  </si>
  <si>
    <t>ORD000011</t>
  </si>
  <si>
    <t>SES000466</t>
  </si>
  <si>
    <t>CUST01381</t>
  </si>
  <si>
    <t>ORD000640</t>
  </si>
  <si>
    <t>SES003553</t>
  </si>
  <si>
    <t>ORD001230</t>
  </si>
  <si>
    <t>SES003055</t>
  </si>
  <si>
    <t>ORD000578</t>
  </si>
  <si>
    <t>SES002200</t>
  </si>
  <si>
    <t>ORD000729</t>
  </si>
  <si>
    <t>SES002003</t>
  </si>
  <si>
    <t>CUST00106</t>
  </si>
  <si>
    <t>ORD000959</t>
  </si>
  <si>
    <t>SES000244</t>
  </si>
  <si>
    <t>ORD000204</t>
  </si>
  <si>
    <t>SES002004</t>
  </si>
  <si>
    <t>CUST01008</t>
  </si>
  <si>
    <t>ORD000753</t>
  </si>
  <si>
    <t>SES001860</t>
  </si>
  <si>
    <t>CUST00188</t>
  </si>
  <si>
    <t>ORD000499</t>
  </si>
  <si>
    <t>SES002266</t>
  </si>
  <si>
    <t>ORD000525</t>
  </si>
  <si>
    <t>SES002713</t>
  </si>
  <si>
    <t>CUST00361</t>
  </si>
  <si>
    <t>ORD001247</t>
  </si>
  <si>
    <t>SES002719</t>
  </si>
  <si>
    <t>ORD000403</t>
  </si>
  <si>
    <t>SES001828</t>
  </si>
  <si>
    <t>CUST00014</t>
  </si>
  <si>
    <t>ORD001105</t>
  </si>
  <si>
    <t>SES002617</t>
  </si>
  <si>
    <t>CUST01099</t>
  </si>
  <si>
    <t>ORD000822</t>
  </si>
  <si>
    <t>SES001278</t>
  </si>
  <si>
    <t>CUST00983</t>
  </si>
  <si>
    <t>ORD000108</t>
  </si>
  <si>
    <t>SES003258</t>
  </si>
  <si>
    <t>CUST01286</t>
  </si>
  <si>
    <t>ORD000694</t>
  </si>
  <si>
    <t>SES001424</t>
  </si>
  <si>
    <t>ORD001144</t>
  </si>
  <si>
    <t>SES001570</t>
  </si>
  <si>
    <t>ORD000900</t>
  </si>
  <si>
    <t>SES003259</t>
  </si>
  <si>
    <t>CUST01710</t>
  </si>
  <si>
    <t>ORD000871</t>
  </si>
  <si>
    <t>SES003426</t>
  </si>
  <si>
    <t>CUST00806</t>
  </si>
  <si>
    <t>ORD000030</t>
  </si>
  <si>
    <t>SES000101</t>
  </si>
  <si>
    <t>ORD000549</t>
  </si>
  <si>
    <t>SES001947</t>
  </si>
  <si>
    <t>CUST01540</t>
  </si>
  <si>
    <t>ORD000512</t>
  </si>
  <si>
    <t>SES001975</t>
  </si>
  <si>
    <t>CUST00324</t>
  </si>
  <si>
    <t>ORD000043</t>
  </si>
  <si>
    <t>SES003068</t>
  </si>
  <si>
    <t>CUST01046</t>
  </si>
  <si>
    <t>ORD000828</t>
  </si>
  <si>
    <t>SES002443</t>
  </si>
  <si>
    <t>CUST00327</t>
  </si>
  <si>
    <t>ORD000171</t>
  </si>
  <si>
    <t>SES001145</t>
  </si>
  <si>
    <t>CUST01479</t>
  </si>
  <si>
    <t>ORD000757</t>
  </si>
  <si>
    <t>SES003508</t>
  </si>
  <si>
    <t>CUST01400</t>
  </si>
  <si>
    <t>ORD001398</t>
  </si>
  <si>
    <t>SES001564</t>
  </si>
  <si>
    <t>CUST00295</t>
  </si>
  <si>
    <t>ORD001070</t>
  </si>
  <si>
    <t>SES000200</t>
  </si>
  <si>
    <t>CUST01429</t>
  </si>
  <si>
    <t>ORD000103</t>
  </si>
  <si>
    <t>SES001998</t>
  </si>
  <si>
    <t>ORD000430</t>
  </si>
  <si>
    <t>SES003595</t>
  </si>
  <si>
    <t>CUST01219</t>
  </si>
  <si>
    <t>ORD000650</t>
  </si>
  <si>
    <t>SES002039</t>
  </si>
  <si>
    <t>CUST01738</t>
  </si>
  <si>
    <t>ORD001031</t>
  </si>
  <si>
    <t>SES000124</t>
  </si>
  <si>
    <t>CUST01797</t>
  </si>
  <si>
    <t>ORD000614</t>
  </si>
  <si>
    <t>SES002653</t>
  </si>
  <si>
    <t>CUST00620</t>
  </si>
  <si>
    <t>ORD000498</t>
  </si>
  <si>
    <t>SES002446</t>
  </si>
  <si>
    <t>CUST01157</t>
  </si>
  <si>
    <t>ORD000084</t>
  </si>
  <si>
    <t>SES000485</t>
  </si>
  <si>
    <t>ORD000453</t>
  </si>
  <si>
    <t>SES000623</t>
  </si>
  <si>
    <t>CUST00128</t>
  </si>
  <si>
    <t>ORD000302</t>
  </si>
  <si>
    <t>SES000354</t>
  </si>
  <si>
    <t>CUST00474</t>
  </si>
  <si>
    <t>ORD000783</t>
  </si>
  <si>
    <t>SES000410</t>
  </si>
  <si>
    <t>CUST01073</t>
  </si>
  <si>
    <t>ORD000157</t>
  </si>
  <si>
    <t>SES001558</t>
  </si>
  <si>
    <t>CUST01648</t>
  </si>
  <si>
    <t>ORD000263</t>
  </si>
  <si>
    <t>SES002449</t>
  </si>
  <si>
    <t>ORD000464</t>
  </si>
  <si>
    <t>SES001651</t>
  </si>
  <si>
    <t>CUST00964</t>
  </si>
  <si>
    <t>ORD001355</t>
  </si>
  <si>
    <t>SES002294</t>
  </si>
  <si>
    <t>CUST00119</t>
  </si>
  <si>
    <t>ORD001172</t>
  </si>
  <si>
    <t>SES001419</t>
  </si>
  <si>
    <t>CUST01536</t>
  </si>
  <si>
    <t>ORD001063</t>
  </si>
  <si>
    <t>SES000395</t>
  </si>
  <si>
    <t>CUST00286</t>
  </si>
  <si>
    <t>ORD000187</t>
  </si>
  <si>
    <t>2026-05</t>
  </si>
  <si>
    <t>SES000370</t>
  </si>
  <si>
    <t>ORD001322</t>
  </si>
  <si>
    <t>SES003232</t>
  </si>
  <si>
    <t>ORD000736</t>
  </si>
  <si>
    <t>SES002359</t>
  </si>
  <si>
    <t>ORD000934</t>
  </si>
  <si>
    <t>SES003422</t>
  </si>
  <si>
    <t>CUST00833</t>
  </si>
  <si>
    <t>ORD000223</t>
  </si>
  <si>
    <t>SES000345</t>
  </si>
  <si>
    <t>CUST01021</t>
  </si>
  <si>
    <t>ORD000017</t>
  </si>
  <si>
    <t>SES002820</t>
  </si>
  <si>
    <t>CUST00862</t>
  </si>
  <si>
    <t>ORD001135</t>
  </si>
  <si>
    <t>SES001121</t>
  </si>
  <si>
    <t>CUST01285</t>
  </si>
  <si>
    <t>ORD000659</t>
  </si>
  <si>
    <t>SES001326</t>
  </si>
  <si>
    <t>CUST01309</t>
  </si>
  <si>
    <t>ORD000812</t>
  </si>
  <si>
    <t>SES001104</t>
  </si>
  <si>
    <t>ORD001032</t>
  </si>
  <si>
    <t>SES002424</t>
  </si>
  <si>
    <t>CUST01626</t>
  </si>
  <si>
    <t>ORD001248</t>
  </si>
  <si>
    <t>SES001376</t>
  </si>
  <si>
    <t>CUST00524</t>
  </si>
  <si>
    <t>ORD000431</t>
  </si>
  <si>
    <t>SES000985</t>
  </si>
  <si>
    <t>CUST00082</t>
  </si>
  <si>
    <t>ORD000731</t>
  </si>
  <si>
    <t>SES001389</t>
  </si>
  <si>
    <t>CUST00854</t>
  </si>
  <si>
    <t>ORD000293</t>
  </si>
  <si>
    <t>SES002082</t>
  </si>
  <si>
    <t>CUST00377</t>
  </si>
  <si>
    <t>ORD000550</t>
  </si>
  <si>
    <t>SES000025</t>
  </si>
  <si>
    <t>CUST01122</t>
  </si>
  <si>
    <t>ORD000500</t>
  </si>
  <si>
    <t>SES000236</t>
  </si>
  <si>
    <t>CUST00498</t>
  </si>
  <si>
    <t>ORD001333</t>
  </si>
  <si>
    <t>SES002942</t>
  </si>
  <si>
    <t>CUST01741</t>
  </si>
  <si>
    <t>ORD000904</t>
  </si>
  <si>
    <t>SES002064</t>
  </si>
  <si>
    <t>CUST01707</t>
  </si>
  <si>
    <t>ORD001141</t>
  </si>
  <si>
    <t>SES001695</t>
  </si>
  <si>
    <t>CUST00576</t>
  </si>
  <si>
    <t>ORD001145</t>
  </si>
  <si>
    <t>SES001751</t>
  </si>
  <si>
    <t>CUST00328</t>
  </si>
  <si>
    <t>ORD001313</t>
  </si>
  <si>
    <t>SES002575</t>
  </si>
  <si>
    <t>CUST01089</t>
  </si>
  <si>
    <t>ORD001289</t>
  </si>
  <si>
    <t>SES000792</t>
  </si>
  <si>
    <t>CUST01177</t>
  </si>
  <si>
    <t>ORD000590</t>
  </si>
  <si>
    <t>SES000331</t>
  </si>
  <si>
    <t>CUST00210</t>
  </si>
  <si>
    <t>ORD000785</t>
  </si>
  <si>
    <t>SES001377</t>
  </si>
  <si>
    <t>CUST01562</t>
  </si>
  <si>
    <t>ORD000462</t>
  </si>
  <si>
    <t>SES002338</t>
  </si>
  <si>
    <t>ORD000083</t>
  </si>
  <si>
    <t>SES001603</t>
  </si>
  <si>
    <t>CUST01385</t>
  </si>
  <si>
    <t>ORD001136</t>
  </si>
  <si>
    <t>SES002268</t>
  </si>
  <si>
    <t>CUST00594</t>
  </si>
  <si>
    <t>ORD000483</t>
  </si>
  <si>
    <t>SES000318</t>
  </si>
  <si>
    <t>ORD000052</t>
  </si>
  <si>
    <t>SES003070</t>
  </si>
  <si>
    <t>CUST01690</t>
  </si>
  <si>
    <t>ORD000123</t>
  </si>
  <si>
    <t>SES001299</t>
  </si>
  <si>
    <t>CUST01202</t>
  </si>
  <si>
    <t>ORD001199</t>
  </si>
  <si>
    <t>SES000996</t>
  </si>
  <si>
    <t>CUST01565</t>
  </si>
  <si>
    <t>ORD000648</t>
  </si>
  <si>
    <t>SES001488</t>
  </si>
  <si>
    <t>ORD000388</t>
  </si>
  <si>
    <t>SES001817</t>
  </si>
  <si>
    <t>CUST00117</t>
  </si>
  <si>
    <t>ORD000898</t>
  </si>
  <si>
    <t>SES002750</t>
  </si>
  <si>
    <t>CUST00029</t>
  </si>
  <si>
    <t>ORD000373</t>
  </si>
  <si>
    <t>SES000675</t>
  </si>
  <si>
    <t>CUST00517</t>
  </si>
  <si>
    <t>ORD001219</t>
  </si>
  <si>
    <t>SES001959</t>
  </si>
  <si>
    <t>ORD000148</t>
  </si>
  <si>
    <t>SES002974</t>
  </si>
  <si>
    <t>CUST01230</t>
  </si>
  <si>
    <t>ORD001182</t>
  </si>
  <si>
    <t>SES000461</t>
  </si>
  <si>
    <t>ORD000066</t>
  </si>
  <si>
    <t>SES001511</t>
  </si>
  <si>
    <t>CUST01633</t>
  </si>
  <si>
    <t>ORD000235</t>
  </si>
  <si>
    <t>SES003085</t>
  </si>
  <si>
    <t>CUST00126</t>
  </si>
  <si>
    <t>ORD001190</t>
  </si>
  <si>
    <t>SES002613</t>
  </si>
  <si>
    <t>CUST00502</t>
  </si>
  <si>
    <t>ORD000198</t>
  </si>
  <si>
    <t>SES002498</t>
  </si>
  <si>
    <t>CUST01798</t>
  </si>
  <si>
    <t>ORD000842</t>
  </si>
  <si>
    <t>SES002808</t>
  </si>
  <si>
    <t>CUST00575</t>
  </si>
  <si>
    <t>ORD001252</t>
  </si>
  <si>
    <t>SES002511</t>
  </si>
  <si>
    <t>CUST00152</t>
  </si>
  <si>
    <t>ORD001053</t>
  </si>
  <si>
    <t>SES000298</t>
  </si>
  <si>
    <t>CUST00047</t>
  </si>
  <si>
    <t>ORD000463</t>
  </si>
  <si>
    <t>SES001008</t>
  </si>
  <si>
    <t>CUST00307</t>
  </si>
  <si>
    <t>ORD001019</t>
  </si>
  <si>
    <t>SES000040</t>
  </si>
  <si>
    <t>CUST00330</t>
  </si>
  <si>
    <t>ORD000438</t>
  </si>
  <si>
    <t>SES001168</t>
  </si>
  <si>
    <t>CUST01525</t>
  </si>
  <si>
    <t>ORD000147</t>
  </si>
  <si>
    <t>SES002460</t>
  </si>
  <si>
    <t>CUST01251</t>
  </si>
  <si>
    <t>ORD000794</t>
  </si>
  <si>
    <t>SES000997</t>
  </si>
  <si>
    <t>CUST00851</t>
  </si>
  <si>
    <t>ORD001279</t>
  </si>
  <si>
    <t>SES001666</t>
  </si>
  <si>
    <t>CUST01303</t>
  </si>
  <si>
    <t>ORD001278</t>
  </si>
  <si>
    <t>SES003100</t>
  </si>
  <si>
    <t>CUST00407</t>
  </si>
  <si>
    <t>ORD001339</t>
  </si>
  <si>
    <t>SES000084</t>
  </si>
  <si>
    <t>CUST01138</t>
  </si>
  <si>
    <t>ORD000680</t>
  </si>
  <si>
    <t>SES000663</t>
  </si>
  <si>
    <t>CUST01514</t>
  </si>
  <si>
    <t>ORD000624</t>
  </si>
  <si>
    <t>SES000027</t>
  </si>
  <si>
    <t>CUST00973</t>
  </si>
  <si>
    <t>ORD000676</t>
  </si>
  <si>
    <t>SES000611</t>
  </si>
  <si>
    <t>CUST00401</t>
  </si>
  <si>
    <t>ORD000468</t>
  </si>
  <si>
    <t>SES002980</t>
  </si>
  <si>
    <t>CUST00987</t>
  </si>
  <si>
    <t>ORD001236</t>
  </si>
  <si>
    <t>SES001859</t>
  </si>
  <si>
    <t>CUST01582</t>
  </si>
  <si>
    <t>ORD000362</t>
  </si>
  <si>
    <t>SES001302</t>
  </si>
  <si>
    <t>CUST00309</t>
  </si>
  <si>
    <t>ORD001016</t>
  </si>
  <si>
    <t>SES002016</t>
  </si>
  <si>
    <t>ORD000440</t>
  </si>
  <si>
    <t>SES002889</t>
  </si>
  <si>
    <t>ORD000539</t>
  </si>
  <si>
    <t>SES001427</t>
  </si>
  <si>
    <t>CUST01176</t>
  </si>
  <si>
    <t>ORD000496</t>
  </si>
  <si>
    <t>SES002852</t>
  </si>
  <si>
    <t>CUST01057</t>
  </si>
  <si>
    <t>ORD000801</t>
  </si>
  <si>
    <t>SES000811</t>
  </si>
  <si>
    <t>CUST00475</t>
  </si>
  <si>
    <t>ORD000132</t>
  </si>
  <si>
    <t>SES003004</t>
  </si>
  <si>
    <t>CUST00340</t>
  </si>
  <si>
    <t>ORD000555</t>
  </si>
  <si>
    <t>SES000252</t>
  </si>
  <si>
    <t>CUST00769</t>
  </si>
  <si>
    <t>ORD000192</t>
  </si>
  <si>
    <t>SES003307</t>
  </si>
  <si>
    <t>CUST00644</t>
  </si>
  <si>
    <t>ORD001373</t>
  </si>
  <si>
    <t>SES003218</t>
  </si>
  <si>
    <t>CUST00159</t>
  </si>
  <si>
    <t>ORD001384</t>
  </si>
  <si>
    <t>SES000561</t>
  </si>
  <si>
    <t>CUST00958</t>
  </si>
  <si>
    <t>ORD000071</t>
  </si>
  <si>
    <t>SES003050</t>
  </si>
  <si>
    <t>CUST00826</t>
  </si>
  <si>
    <t>ORD000720</t>
  </si>
  <si>
    <t>SES003294</t>
  </si>
  <si>
    <t>CUST00919</t>
  </si>
  <si>
    <t>ORD001200</t>
  </si>
  <si>
    <t>SES000602</t>
  </si>
  <si>
    <t>CUST00157</t>
  </si>
  <si>
    <t>ORD000821</t>
  </si>
  <si>
    <t>SES002510</t>
  </si>
  <si>
    <t>ORD000206</t>
  </si>
  <si>
    <t>SES000931</t>
  </si>
  <si>
    <t>ORD001122</t>
  </si>
  <si>
    <t>SES000837</t>
  </si>
  <si>
    <t>CUST00549</t>
  </si>
  <si>
    <t>ORD001024</t>
  </si>
  <si>
    <t>SES003066</t>
  </si>
  <si>
    <t>CUST00690</t>
  </si>
  <si>
    <t>ORD000626</t>
  </si>
  <si>
    <t>SES002099</t>
  </si>
  <si>
    <t>CUST00955</t>
  </si>
  <si>
    <t>ORD000661</t>
  </si>
  <si>
    <t>SES002620</t>
  </si>
  <si>
    <t>ORD001360</t>
  </si>
  <si>
    <t>SES003117</t>
  </si>
  <si>
    <t>ORD001002</t>
  </si>
  <si>
    <t>SES003291</t>
  </si>
  <si>
    <t>CUST01324</t>
  </si>
  <si>
    <t>ORD001326</t>
  </si>
  <si>
    <t>SES002652</t>
  </si>
  <si>
    <t>CUST01311</t>
  </si>
  <si>
    <t>ORD000345</t>
  </si>
  <si>
    <t>SES001004</t>
  </si>
  <si>
    <t>CUST00739</t>
  </si>
  <si>
    <t>ORD000526</t>
  </si>
  <si>
    <t>SES002522</t>
  </si>
  <si>
    <t>CUST00593</t>
  </si>
  <si>
    <t>ORD000296</t>
  </si>
  <si>
    <t>SES001904</t>
  </si>
  <si>
    <t>CUST00137</t>
  </si>
  <si>
    <t>ORD000476</t>
  </si>
  <si>
    <t>SES001117</t>
  </si>
  <si>
    <t>CUST01696</t>
  </si>
  <si>
    <t>ORD000931</t>
  </si>
  <si>
    <t>SES003440</t>
  </si>
  <si>
    <t>CUST00715</t>
  </si>
  <si>
    <t>ORD001347</t>
  </si>
  <si>
    <t>SES001213</t>
  </si>
  <si>
    <t>ORD001000</t>
  </si>
  <si>
    <t>SES002722</t>
  </si>
  <si>
    <t>ORD000408</t>
  </si>
  <si>
    <t>SES003358</t>
  </si>
  <si>
    <t>CUST01450</t>
  </si>
  <si>
    <t>ORD000521</t>
  </si>
  <si>
    <t>SES002768</t>
  </si>
  <si>
    <t>CUST00016</t>
  </si>
  <si>
    <t>ORD000519</t>
  </si>
  <si>
    <t>SES003107</t>
  </si>
  <si>
    <t>CUST01576</t>
  </si>
  <si>
    <t>ORD001080</t>
  </si>
  <si>
    <t>SES001592</t>
  </si>
  <si>
    <t>CUST01369</t>
  </si>
  <si>
    <t>ORD000708</t>
  </si>
  <si>
    <t>SES002377</t>
  </si>
  <si>
    <t>ORD000012</t>
  </si>
  <si>
    <t>SES002681</t>
  </si>
  <si>
    <t>ORD001138</t>
  </si>
  <si>
    <t>SES000064</t>
  </si>
  <si>
    <t>ORD000766</t>
  </si>
  <si>
    <t>SES001766</t>
  </si>
  <si>
    <t>CUST00513</t>
  </si>
  <si>
    <t>ORD001143</t>
  </si>
  <si>
    <t>SES003599</t>
  </si>
  <si>
    <t>CUST00886</t>
  </si>
  <si>
    <t>ORD000780</t>
  </si>
  <si>
    <t>SES000396</t>
  </si>
  <si>
    <t>CUST00491</t>
  </si>
  <si>
    <t>ORD000246</t>
  </si>
  <si>
    <t>SES000737</t>
  </si>
  <si>
    <t>ORD000449</t>
  </si>
  <si>
    <t>SES001586</t>
  </si>
  <si>
    <t>ORD001052</t>
  </si>
  <si>
    <t>SES003138</t>
  </si>
  <si>
    <t>CUST00160</t>
  </si>
  <si>
    <t>ORD000632</t>
  </si>
  <si>
    <t>SES003437</t>
  </si>
  <si>
    <t>ORD000799</t>
  </si>
  <si>
    <t>SES003027</t>
  </si>
  <si>
    <t>CUST00166</t>
  </si>
  <si>
    <t>ORD000913</t>
  </si>
  <si>
    <t>SES002041</t>
  </si>
  <si>
    <t>CUST01773</t>
  </si>
  <si>
    <t>ORD000692</t>
  </si>
  <si>
    <t>SES003295</t>
  </si>
  <si>
    <t>ORD000044</t>
  </si>
  <si>
    <t>SES000112</t>
  </si>
  <si>
    <t>CUST01597</t>
  </si>
  <si>
    <t>ORD000623</t>
  </si>
  <si>
    <t>SES002749</t>
  </si>
  <si>
    <t>CUST01760</t>
  </si>
  <si>
    <t>ORD000173</t>
  </si>
  <si>
    <t>SES000256</t>
  </si>
  <si>
    <t>CUST00146</t>
  </si>
  <si>
    <t>ORD000565</t>
  </si>
  <si>
    <t>SES000758</t>
  </si>
  <si>
    <t>CUST00561</t>
  </si>
  <si>
    <t>ORD000170</t>
  </si>
  <si>
    <t>SES000965</t>
  </si>
  <si>
    <t>ORD000735</t>
  </si>
  <si>
    <t>SES000977</t>
  </si>
  <si>
    <t>ORD001069</t>
  </si>
  <si>
    <t>SES000373</t>
  </si>
  <si>
    <t>CUST01347</t>
  </si>
  <si>
    <t>ORD000688</t>
  </si>
  <si>
    <t>SES000138</t>
  </si>
  <si>
    <t>CUST01375</t>
  </si>
  <si>
    <t>ORD001379</t>
  </si>
  <si>
    <t>SES001578</t>
  </si>
  <si>
    <t>CUST00515</t>
  </si>
  <si>
    <t>ORD000992</t>
  </si>
  <si>
    <t>SES001958</t>
  </si>
  <si>
    <t>CUST00746</t>
  </si>
  <si>
    <t>ORD001208</t>
  </si>
  <si>
    <t>SES002354</t>
  </si>
  <si>
    <t>ORD000264</t>
  </si>
  <si>
    <t>SES003273</t>
  </si>
  <si>
    <t>CUST01240</t>
  </si>
  <si>
    <t>ORD001188</t>
  </si>
  <si>
    <t>SES000751</t>
  </si>
  <si>
    <t>CUST00934</t>
  </si>
  <si>
    <t>ORD000333</t>
  </si>
  <si>
    <t>SES003005</t>
  </si>
  <si>
    <t>ORD001214</t>
  </si>
  <si>
    <t>2026-06</t>
  </si>
  <si>
    <t>SES003529</t>
  </si>
  <si>
    <t>CUST00713</t>
  </si>
  <si>
    <t>ORD000411</t>
  </si>
  <si>
    <t>SES002188</t>
  </si>
  <si>
    <t>ORD000335</t>
  </si>
  <si>
    <t>SES001707</t>
  </si>
  <si>
    <t>CUST01127</t>
  </si>
  <si>
    <t>ORD000950</t>
  </si>
  <si>
    <t>SES002621</t>
  </si>
  <si>
    <t>CUST01144</t>
  </si>
  <si>
    <t>ORD000244</t>
  </si>
  <si>
    <t>SES003470</t>
  </si>
  <si>
    <t>CUST00526</t>
  </si>
  <si>
    <t>ORD001093</t>
  </si>
  <si>
    <t>SES001783</t>
  </si>
  <si>
    <t>CUST00470</t>
  </si>
  <si>
    <t>ORD001352</t>
  </si>
  <si>
    <t>SES003576</t>
  </si>
  <si>
    <t>ORD000955</t>
  </si>
  <si>
    <t>SES002711</t>
  </si>
  <si>
    <t>ORD000887</t>
  </si>
  <si>
    <t>SES001516</t>
  </si>
  <si>
    <t>CUST01004</t>
  </si>
  <si>
    <t>ORD000080</t>
  </si>
  <si>
    <t>SES000270</t>
  </si>
  <si>
    <t>CUST00918</t>
  </si>
  <si>
    <t>ORD000949</t>
  </si>
  <si>
    <t>SES003159</t>
  </si>
  <si>
    <t>ORD000042</t>
  </si>
  <si>
    <t>SES000577</t>
  </si>
  <si>
    <t>CUST01729</t>
  </si>
  <si>
    <t>ORD000367</t>
  </si>
  <si>
    <t>SES000802</t>
  </si>
  <si>
    <t>ORD000989</t>
  </si>
  <si>
    <t>SES000863</t>
  </si>
  <si>
    <t>ORD000040</t>
  </si>
  <si>
    <t>SES001768</t>
  </si>
  <si>
    <t>CUST01452</t>
  </si>
  <si>
    <t>ORD001201</t>
  </si>
  <si>
    <t>SES001185</t>
  </si>
  <si>
    <t>CUST00339</t>
  </si>
  <si>
    <t>ORD000445</t>
  </si>
  <si>
    <t>SES002685</t>
  </si>
  <si>
    <t>CUST01693</t>
  </si>
  <si>
    <t>ORD000007</t>
  </si>
  <si>
    <t>SES000552</t>
  </si>
  <si>
    <t>CUST01497</t>
  </si>
  <si>
    <t>ORD001296</t>
  </si>
  <si>
    <t>SES002043</t>
  </si>
  <si>
    <t>CUST01513</t>
  </si>
  <si>
    <t>ORD000816</t>
  </si>
  <si>
    <t>SES003408</t>
  </si>
  <si>
    <t>CUST00127</t>
  </si>
  <si>
    <t>ORD000086</t>
  </si>
  <si>
    <t>SES003536</t>
  </si>
  <si>
    <t>CUST00924</t>
  </si>
  <si>
    <t>ORD001030</t>
  </si>
  <si>
    <t>SES002299</t>
  </si>
  <si>
    <t>CUST00192</t>
  </si>
  <si>
    <t>ORD000775</t>
  </si>
  <si>
    <t>SES001262</t>
  </si>
  <si>
    <t>ORD000693</t>
  </si>
  <si>
    <t>SES003201</t>
  </si>
  <si>
    <t>CUST00998</t>
  </si>
  <si>
    <t>ORD000338</t>
  </si>
  <si>
    <t>SES001924</t>
  </si>
  <si>
    <t>ORD001043</t>
  </si>
  <si>
    <t>SES001538</t>
  </si>
  <si>
    <t>CUST00809</t>
  </si>
  <si>
    <t>ORD000994</t>
  </si>
  <si>
    <t>SES002780</t>
  </si>
  <si>
    <t>CUST00815</t>
  </si>
  <si>
    <t>ORD000032</t>
  </si>
  <si>
    <t>SES002071</t>
  </si>
  <si>
    <t>CUST01154</t>
  </si>
  <si>
    <t>ORD000824</t>
  </si>
  <si>
    <t>SES001738</t>
  </si>
  <si>
    <t>ORD000493</t>
  </si>
  <si>
    <t>SES002545</t>
  </si>
  <si>
    <t>ORD000998</t>
  </si>
  <si>
    <t>SES001576</t>
  </si>
  <si>
    <t>CUST00884</t>
  </si>
  <si>
    <t>ORD000823</t>
  </si>
  <si>
    <t>SES000619</t>
  </si>
  <si>
    <t>ORD000573</t>
  </si>
  <si>
    <t>SES001821</t>
  </si>
  <si>
    <t>CUST01354</t>
  </si>
  <si>
    <t>ORD000603</t>
  </si>
  <si>
    <t>SES001318</t>
  </si>
  <si>
    <t>ORD000199</t>
  </si>
  <si>
    <t>SES003442</t>
  </si>
  <si>
    <t>ORD000742</t>
  </si>
  <si>
    <t>SES003032</t>
  </si>
  <si>
    <t>CUST00032</t>
  </si>
  <si>
    <t>ORD000181</t>
  </si>
  <si>
    <t>SES001434</t>
  </si>
  <si>
    <t>CUST00427</t>
  </si>
  <si>
    <t>ORD001336</t>
  </si>
  <si>
    <t>SES001026</t>
  </si>
  <si>
    <t>CUST00504</t>
  </si>
  <si>
    <t>ORD001106</t>
  </si>
  <si>
    <t>SES002305</t>
  </si>
  <si>
    <t>CUST01295</t>
  </si>
  <si>
    <t>ORD000818</t>
  </si>
  <si>
    <t>SES000066</t>
  </si>
  <si>
    <t>CUST01005</t>
  </si>
  <si>
    <t>ORD001337</t>
  </si>
  <si>
    <t>SES003034</t>
  </si>
  <si>
    <t>ORD001025</t>
  </si>
  <si>
    <t>SES000836</t>
  </si>
  <si>
    <t>CUST00289</t>
  </si>
  <si>
    <t>ORD000021</t>
  </si>
  <si>
    <t>SES002735</t>
  </si>
  <si>
    <t>CUST01549</t>
  </si>
  <si>
    <t>ORD000739</t>
  </si>
  <si>
    <t>SES002793</t>
  </si>
  <si>
    <t>CUST01225</t>
  </si>
  <si>
    <t>ORD000313</t>
  </si>
  <si>
    <t>SES000729</t>
  </si>
  <si>
    <t>CUST00495</t>
  </si>
  <si>
    <t>ORD001197</t>
  </si>
  <si>
    <t>SES003537</t>
  </si>
  <si>
    <t>CUST01208</t>
  </si>
  <si>
    <t>ORD001196</t>
  </si>
  <si>
    <t>SES003559</t>
  </si>
  <si>
    <t>ORD000380</t>
  </si>
  <si>
    <t>SES002394</t>
  </si>
  <si>
    <t>CUST01130</t>
  </si>
  <si>
    <t>ORD000087</t>
  </si>
  <si>
    <t>SES000921</t>
  </si>
  <si>
    <t>ORD000527</t>
  </si>
  <si>
    <t>SES002962</t>
  </si>
  <si>
    <t>ORD000684</t>
  </si>
  <si>
    <t>SES000428</t>
  </si>
  <si>
    <t>ORD000125</t>
  </si>
  <si>
    <t>SES001403</t>
  </si>
  <si>
    <t>ORD001186</t>
  </si>
  <si>
    <t>SES002744</t>
  </si>
  <si>
    <t>ORD001262</t>
  </si>
  <si>
    <t>SES002878</t>
  </si>
  <si>
    <t>CUST00580</t>
  </si>
  <si>
    <t>ORD000639</t>
  </si>
  <si>
    <t>SES000963</t>
  </si>
  <si>
    <t>CUST01192</t>
  </si>
  <si>
    <t>ORD000698</t>
  </si>
  <si>
    <t>SES000557</t>
  </si>
  <si>
    <t>CUST00182</t>
  </si>
  <si>
    <t>ORD000250</t>
  </si>
  <si>
    <t>SES002952</t>
  </si>
  <si>
    <t>CUST01246</t>
  </si>
  <si>
    <t>ORD000765</t>
  </si>
  <si>
    <t>SES000029</t>
  </si>
  <si>
    <t>ORD001283</t>
  </si>
  <si>
    <t>SES003557</t>
  </si>
  <si>
    <t>ORD000419</t>
  </si>
  <si>
    <t>SES002766</t>
  </si>
  <si>
    <t>CUST00571</t>
  </si>
  <si>
    <t>ORD000701</t>
  </si>
  <si>
    <t>SES000720</t>
  </si>
  <si>
    <t>CUST01139</t>
  </si>
  <si>
    <t>ORD000305</t>
  </si>
  <si>
    <t>SES000022</t>
  </si>
  <si>
    <t>CUST00630</t>
  </si>
  <si>
    <t>ORD001130</t>
  </si>
  <si>
    <t>SES002381</t>
  </si>
  <si>
    <t>CUST00151</t>
  </si>
  <si>
    <t>ORD000260</t>
  </si>
  <si>
    <t>SES002817</t>
  </si>
  <si>
    <t>CUST00304</t>
  </si>
  <si>
    <t>ORD001323</t>
  </si>
  <si>
    <t>SES002395</t>
  </si>
  <si>
    <t>ORD000219</t>
  </si>
  <si>
    <t>SES000350</t>
  </si>
  <si>
    <t>CUST00399</t>
  </si>
  <si>
    <t>ORD000572</t>
  </si>
  <si>
    <t>SES002182</t>
  </si>
  <si>
    <t>CUST00034</t>
  </si>
  <si>
    <t>ORD000334</t>
  </si>
  <si>
    <t>SES001591</t>
  </si>
  <si>
    <t>CUST01800</t>
  </si>
  <si>
    <t>ORD000446</t>
  </si>
  <si>
    <t>SES001563</t>
  </si>
  <si>
    <t>CUST00995</t>
  </si>
  <si>
    <t>ORD000488</t>
  </si>
  <si>
    <t>SES000126</t>
  </si>
  <si>
    <t>ORD001239</t>
  </si>
  <si>
    <t>SES002278</t>
  </si>
  <si>
    <t>ORD001124</t>
  </si>
  <si>
    <t>SES000114</t>
  </si>
  <si>
    <t>CUST01711</t>
  </si>
  <si>
    <t>ORD000825</t>
  </si>
  <si>
    <t>SES002018</t>
  </si>
  <si>
    <t>CUST00921</t>
  </si>
  <si>
    <t>ORD000515</t>
  </si>
  <si>
    <t>SES002506</t>
  </si>
  <si>
    <t>CUST01142</t>
  </si>
  <si>
    <t>ORD000029</t>
  </si>
  <si>
    <t>SES002436</t>
  </si>
  <si>
    <t>ORD001095</t>
  </si>
  <si>
    <t>SES002742</t>
  </si>
  <si>
    <t>CUST00054</t>
  </si>
  <si>
    <t>ORD000615</t>
  </si>
  <si>
    <t>SES001836</t>
  </si>
  <si>
    <t>ORD001294</t>
  </si>
  <si>
    <t>SES003207</t>
  </si>
  <si>
    <t>CUST01087</t>
  </si>
  <si>
    <t>ORD000167</t>
  </si>
  <si>
    <t>SES001806</t>
  </si>
  <si>
    <t>CUST01543</t>
  </si>
  <si>
    <t>ORD000475</t>
  </si>
  <si>
    <t>SES000633</t>
  </si>
  <si>
    <t>ORD000971</t>
  </si>
  <si>
    <t>SES003276</t>
  </si>
  <si>
    <t>ORD001109</t>
  </si>
  <si>
    <t>SES001910</t>
  </si>
  <si>
    <t>CUST00069</t>
  </si>
  <si>
    <t>ORD000054</t>
  </si>
  <si>
    <t>SES001102</t>
  </si>
  <si>
    <t>CUST00734</t>
  </si>
  <si>
    <t>ORD000885</t>
  </si>
  <si>
    <t>SES000448</t>
  </si>
  <si>
    <t>CUST01112</t>
  </si>
  <si>
    <t>ORD000925</t>
  </si>
  <si>
    <t>SES002131</t>
  </si>
  <si>
    <t>CUST00506</t>
  </si>
  <si>
    <t>ORD000610</t>
  </si>
  <si>
    <t>SES001660</t>
  </si>
  <si>
    <t>CUST00165</t>
  </si>
  <si>
    <t>ORD001152</t>
  </si>
  <si>
    <t>SES003481</t>
  </si>
  <si>
    <t>ORD000034</t>
  </si>
  <si>
    <t>SES002220</t>
  </si>
  <si>
    <t>ORD001365</t>
  </si>
  <si>
    <t>SES001839</t>
  </si>
  <si>
    <t>ORD001049</t>
  </si>
  <si>
    <t>SES003378</t>
  </si>
  <si>
    <t>CUST00627</t>
  </si>
  <si>
    <t>ORD000049</t>
  </si>
  <si>
    <t>SES001040</t>
  </si>
  <si>
    <t>CUST00364</t>
  </si>
  <si>
    <t>ORD000508</t>
  </si>
  <si>
    <t>SES002250</t>
  </si>
  <si>
    <t>ORD000910</t>
  </si>
  <si>
    <t>SES002727</t>
  </si>
  <si>
    <t>CUST00662</t>
  </si>
  <si>
    <t>ORD001023</t>
  </si>
  <si>
    <t>SES002788</t>
  </si>
  <si>
    <t>CUST01547</t>
  </si>
  <si>
    <t>ORD000273</t>
  </si>
  <si>
    <t>SES000163</t>
  </si>
  <si>
    <t>CUST00384</t>
  </si>
  <si>
    <t>ORD001204</t>
  </si>
  <si>
    <t>SES002246</t>
  </si>
  <si>
    <t>CUST00981</t>
  </si>
  <si>
    <t>ORD000358</t>
  </si>
  <si>
    <t>SES002546</t>
  </si>
  <si>
    <t>ORD000891</t>
  </si>
  <si>
    <t>SES000435</t>
  </si>
  <si>
    <t>ORD001285</t>
  </si>
  <si>
    <t>SES000807</t>
  </si>
  <si>
    <t>ORD000612</t>
  </si>
  <si>
    <t>SES002118</t>
  </si>
  <si>
    <t>CUST01478</t>
  </si>
  <si>
    <t>ORD001273</t>
  </si>
  <si>
    <t>SES003243</t>
  </si>
  <si>
    <t>CUST00018</t>
  </si>
  <si>
    <t>ORD000191</t>
  </si>
  <si>
    <t>SES000471</t>
  </si>
  <si>
    <t>ORD000540</t>
  </si>
  <si>
    <t>SES002684</t>
  </si>
  <si>
    <t>CUST01200</t>
  </si>
  <si>
    <t>ORD000669</t>
  </si>
  <si>
    <t>SES000541</t>
  </si>
  <si>
    <t>ORD000221</t>
  </si>
  <si>
    <t>SES003596</t>
  </si>
  <si>
    <t>CUST00242</t>
  </si>
  <si>
    <t>ORD001187</t>
  </si>
  <si>
    <t>SES000389</t>
  </si>
  <si>
    <t>CUST01618</t>
  </si>
  <si>
    <t>ORD001020</t>
  </si>
  <si>
    <t>SES000343</t>
  </si>
  <si>
    <t>ORD000122</t>
  </si>
  <si>
    <t>SES000522</t>
  </si>
  <si>
    <t>CUST01493</t>
  </si>
  <si>
    <t>ORD000156</t>
  </si>
  <si>
    <t>SES002949</t>
  </si>
  <si>
    <t>CUST00410</t>
  </si>
  <si>
    <t>ORD000990</t>
  </si>
  <si>
    <t>SES002437</t>
  </si>
  <si>
    <t>ORD000444</t>
  </si>
  <si>
    <t>order_date</t>
  </si>
  <si>
    <t>base_price</t>
  </si>
  <si>
    <t>quantity</t>
  </si>
  <si>
    <t>unit_price</t>
  </si>
  <si>
    <t>discount</t>
  </si>
  <si>
    <t>gross_revenue</t>
  </si>
  <si>
    <t>net_revenue</t>
  </si>
  <si>
    <t>return_flag</t>
  </si>
  <si>
    <t>order_month</t>
  </si>
  <si>
    <t>ORD001127</t>
  </si>
  <si>
    <t>CUST01419</t>
  </si>
  <si>
    <t>No</t>
  </si>
  <si>
    <t>ORD000861</t>
  </si>
  <si>
    <t>CUST01608</t>
  </si>
  <si>
    <t>Yes</t>
  </si>
  <si>
    <t>ORD001131</t>
  </si>
  <si>
    <t>CUST00270</t>
  </si>
  <si>
    <t>ORD001096</t>
  </si>
  <si>
    <t>CUST00375</t>
  </si>
  <si>
    <t>ORD001045</t>
  </si>
  <si>
    <t>CUST00404</t>
  </si>
  <si>
    <t>ORD000331</t>
  </si>
  <si>
    <t>CUST01380</t>
  </si>
  <si>
    <t>ORD001397</t>
  </si>
  <si>
    <t>CUST01196</t>
  </si>
  <si>
    <t>ORD000131</t>
  </si>
  <si>
    <t>CUST01234</t>
  </si>
  <si>
    <t>ORD000344</t>
  </si>
  <si>
    <t>CUST00027</t>
  </si>
  <si>
    <t>ORD000806</t>
  </si>
  <si>
    <t>CUST00459</t>
  </si>
  <si>
    <t>ORD000386</t>
  </si>
  <si>
    <t>ORD001216</t>
  </si>
  <si>
    <t>CUST00669</t>
  </si>
  <si>
    <t>ORD000460</t>
  </si>
  <si>
    <t>CUST01595</t>
  </si>
  <si>
    <t>ORD000253</t>
  </si>
  <si>
    <t>CUST00735</t>
  </si>
  <si>
    <t>ORD000748</t>
  </si>
  <si>
    <t>CUST00700</t>
  </si>
  <si>
    <t>ORD000857</t>
  </si>
  <si>
    <t>ORD000511</t>
  </si>
  <si>
    <t>CUST00497</t>
  </si>
  <si>
    <t>ORD000700</t>
  </si>
  <si>
    <t>CUST00353</t>
  </si>
  <si>
    <t>ORD000976</t>
  </si>
  <si>
    <t>ORD000190</t>
  </si>
  <si>
    <t>CUST01043</t>
  </si>
  <si>
    <t>ORD000687</t>
  </si>
  <si>
    <t>CUST00698</t>
  </si>
  <si>
    <t>ORD001268</t>
  </si>
  <si>
    <t>CUST01126</t>
  </si>
  <si>
    <t>ORD001155</t>
  </si>
  <si>
    <t>CUST01656</t>
  </si>
  <si>
    <t>ORD000841</t>
  </si>
  <si>
    <t>CUST00084</t>
  </si>
  <si>
    <t>ORD001298</t>
  </si>
  <si>
    <t>CUST00305</t>
  </si>
  <si>
    <t>ORD000601</t>
  </si>
  <si>
    <t>CUST01517</t>
  </si>
  <si>
    <t>ORD000316</t>
  </si>
  <si>
    <t>CUST01259</t>
  </si>
  <si>
    <t>ORD000014</t>
  </si>
  <si>
    <t>CUST00550</t>
  </si>
  <si>
    <t>ORD000242</t>
  </si>
  <si>
    <t>CUST01102</t>
  </si>
  <si>
    <t>ORD000777</t>
  </si>
  <si>
    <t>ORD001370</t>
  </si>
  <si>
    <t>CUST01682</t>
  </si>
  <si>
    <t>ORD001364</t>
  </si>
  <si>
    <t>ORD001391</t>
  </si>
  <si>
    <t>ORD001022</t>
  </si>
  <si>
    <t>CUST01747</t>
  </si>
  <si>
    <t>ORD000703</t>
  </si>
  <si>
    <t>CUST00816</t>
  </si>
  <si>
    <t>ORD000402</t>
  </si>
  <si>
    <t>ORD000730</t>
  </si>
  <si>
    <t>CUST01575</t>
  </si>
  <si>
    <t>ORD000202</t>
  </si>
  <si>
    <t>ORD000996</t>
  </si>
  <si>
    <t>CUST00874</t>
  </si>
  <si>
    <t>ORD000270</t>
  </si>
  <si>
    <t>CUST00514</t>
  </si>
  <si>
    <t>ORD000456</t>
  </si>
  <si>
    <t>CUST00466</t>
  </si>
  <si>
    <t>ORD001017</t>
  </si>
  <si>
    <t>CUST00695</t>
  </si>
  <si>
    <t>ORD001077</t>
  </si>
  <si>
    <t>ORD000764</t>
  </si>
  <si>
    <t>CUST00335</t>
  </si>
  <si>
    <t>ORD000188</t>
  </si>
  <si>
    <t>ORD001181</t>
  </si>
  <si>
    <t>CUST00691</t>
  </si>
  <si>
    <t>ORD000015</t>
  </si>
  <si>
    <t>CUST01465</t>
  </si>
  <si>
    <t>ORD001153</t>
  </si>
  <si>
    <t>ORD000593</t>
  </si>
  <si>
    <t>CUST00772</t>
  </si>
  <si>
    <t>ORD000392</t>
  </si>
  <si>
    <t>CUST01336</t>
  </si>
  <si>
    <t>ORD000289</t>
  </si>
  <si>
    <t>CUST01077</t>
  </si>
  <si>
    <t>ORD001018</t>
  </si>
  <si>
    <t>CUST00288</t>
  </si>
  <si>
    <t>ORD000041</t>
  </si>
  <si>
    <t>ORD000135</t>
  </si>
  <si>
    <t>CUST01553</t>
  </si>
  <si>
    <t>ORD000201</t>
  </si>
  <si>
    <t>CUST00114</t>
  </si>
  <si>
    <t>ORD000930</t>
  </si>
  <si>
    <t>CUST01070</t>
  </si>
  <si>
    <t>ORD001072</t>
  </si>
  <si>
    <t>CUST01395</t>
  </si>
  <si>
    <t>ORD000503</t>
  </si>
  <si>
    <t>CUST01195</t>
  </si>
  <si>
    <t>ORD000407</t>
  </si>
  <si>
    <t>CUST00154</t>
  </si>
  <si>
    <t>ORD000099</t>
  </si>
  <si>
    <t>CUST01431</t>
  </si>
  <si>
    <t>ORD000726</t>
  </si>
  <si>
    <t>CUST00672</t>
  </si>
  <si>
    <t>ORD000961</t>
  </si>
  <si>
    <t>CUST00428</t>
  </si>
  <si>
    <t>ORD000643</t>
  </si>
  <si>
    <t>ORD001242</t>
  </si>
  <si>
    <t>ORD000767</t>
  </si>
  <si>
    <t>ORD000207</t>
  </si>
  <si>
    <t>ORD001039</t>
  </si>
  <si>
    <t>CUST01356</t>
  </si>
  <si>
    <t>ORD000564</t>
  </si>
  <si>
    <t>ORD001021</t>
  </si>
  <si>
    <t>CUST00914</t>
  </si>
  <si>
    <t>ORD000485</t>
  </si>
  <si>
    <t>CUST00990</t>
  </si>
  <si>
    <t>ORD000541</t>
  </si>
  <si>
    <t>CUST00477</t>
  </si>
  <si>
    <t>ORD001060</t>
  </si>
  <si>
    <t>CUST01274</t>
  </si>
  <si>
    <t>ORD001184</t>
  </si>
  <si>
    <t>CUST00490</t>
  </si>
  <si>
    <t>ORD001110</t>
  </si>
  <si>
    <t>CUST01767</t>
  </si>
  <si>
    <t>ORD000557</t>
  </si>
  <si>
    <t>CUST00577</t>
  </si>
  <si>
    <t>ORD001013</t>
  </si>
  <si>
    <t>CUST00685</t>
  </si>
  <si>
    <t>ORD000646</t>
  </si>
  <si>
    <t>ORD000633</t>
  </si>
  <si>
    <t>ORD000628</t>
  </si>
  <si>
    <t>CUST00062</t>
  </si>
  <si>
    <t>ORD000973</t>
  </si>
  <si>
    <t>ORD001383</t>
  </si>
  <si>
    <t>ORD000649</t>
  </si>
  <si>
    <t>CUST01673</t>
  </si>
  <si>
    <t>ORD001258</t>
  </si>
  <si>
    <t>ORD000664</t>
  </si>
  <si>
    <t>ORD001257</t>
  </si>
  <si>
    <t>CUST00688</t>
  </si>
  <si>
    <t>ORD001137</t>
  </si>
  <si>
    <t>ORD000002</t>
  </si>
  <si>
    <t>CUST00554</t>
  </si>
  <si>
    <t>ORD000642</t>
  </si>
  <si>
    <t>ORD000220</t>
  </si>
  <si>
    <t>CUST01415</t>
  </si>
  <si>
    <t>ORD000247</t>
  </si>
  <si>
    <t>CUST00452</t>
  </si>
  <si>
    <t>ORD000203</t>
  </si>
  <si>
    <t>ORD000401</t>
  </si>
  <si>
    <t>CUST01515</t>
  </si>
  <si>
    <t>ORD000280</t>
  </si>
  <si>
    <t>CUST00396</t>
  </si>
  <si>
    <t>ORD000884</t>
  </si>
  <si>
    <t>ORD000609</t>
  </si>
  <si>
    <t>CUST00753</t>
  </si>
  <si>
    <t>ORD001225</t>
  </si>
  <si>
    <t>CUST01143</t>
  </si>
  <si>
    <t>ORD001148</t>
  </si>
  <si>
    <t>CUST01145</t>
  </si>
  <si>
    <t>ORD001350</t>
  </si>
  <si>
    <t>CUST00789</t>
  </si>
  <si>
    <t>ORD000660</t>
  </si>
  <si>
    <t>ORD000489</t>
  </si>
  <si>
    <t>CUST00402</t>
  </si>
  <si>
    <t>ORD000929</t>
  </si>
  <si>
    <t>CUST00889</t>
  </si>
  <si>
    <t>ORD000641</t>
  </si>
  <si>
    <t>CUST01634</t>
  </si>
  <si>
    <t>ORD000473</t>
  </si>
  <si>
    <t>ORD000151</t>
  </si>
  <si>
    <t>CUST00063</t>
  </si>
  <si>
    <t>ORD000346</t>
  </si>
  <si>
    <t>CUST00646</t>
  </si>
  <si>
    <t>ORD000881</t>
  </si>
  <si>
    <t>ORD001328</t>
  </si>
  <si>
    <t>CUST00783</t>
  </si>
  <si>
    <t>ORD000254</t>
  </si>
  <si>
    <t>CUST00823</t>
  </si>
  <si>
    <t>ORD001061</t>
  </si>
  <si>
    <t>CUST01141</t>
  </si>
  <si>
    <t>ORD000009</t>
  </si>
  <si>
    <t>CUST00478</t>
  </si>
  <si>
    <t>ORD001123</t>
  </si>
  <si>
    <t>CUST00301</t>
  </si>
  <si>
    <t>ORD000208</t>
  </si>
  <si>
    <t>CUST00925</t>
  </si>
  <si>
    <t>ORD000152</t>
  </si>
  <si>
    <t>CUST01003</t>
  </si>
  <si>
    <t>ORD000587</t>
  </si>
  <si>
    <t>ORD000104</t>
  </si>
  <si>
    <t>CUST01370</t>
  </si>
  <si>
    <t>ORD000510</t>
  </si>
  <si>
    <t>CUST01551</t>
  </si>
  <si>
    <t>ORD000153</t>
  </si>
  <si>
    <t>ORD000914</t>
  </si>
  <si>
    <t>CUST01568</t>
  </si>
  <si>
    <t>ORD000878</t>
  </si>
  <si>
    <t>CUST01560</t>
  </si>
  <si>
    <t>ORD000957</t>
  </si>
  <si>
    <t>ORD000161</t>
  </si>
  <si>
    <t>ORD001159</t>
  </si>
  <si>
    <t>CUST01743</t>
  </si>
  <si>
    <t>ORD000470</t>
  </si>
  <si>
    <t>CUST01110</t>
  </si>
  <si>
    <t>ORD001399</t>
  </si>
  <si>
    <t>ORD001046</t>
  </si>
  <si>
    <t>ORD000750</t>
  </si>
  <si>
    <t>CUST00856</t>
  </si>
  <si>
    <t>ORD000027</t>
  </si>
  <si>
    <t>CUST01659</t>
  </si>
  <si>
    <t>ORD000798</t>
  </si>
  <si>
    <t>CUST01031</t>
  </si>
  <si>
    <t>ORD000284</t>
  </si>
  <si>
    <t>ORD000960</t>
  </si>
  <si>
    <t>CUST00887</t>
  </si>
  <si>
    <t>ORD001073</t>
  </si>
  <si>
    <t>CUST00186</t>
  </si>
  <si>
    <t>ORD001244</t>
  </si>
  <si>
    <t>ORD000477</t>
  </si>
  <si>
    <t>CUST00883</t>
  </si>
  <si>
    <t>ORD000497</t>
  </si>
  <si>
    <t>ORD000607</t>
  </si>
  <si>
    <t>ORD001140</t>
  </si>
  <si>
    <t>ORD000928</t>
  </si>
  <si>
    <t>ORD001280</t>
  </si>
  <si>
    <t>CUST01389</t>
  </si>
  <si>
    <t>ORD000128</t>
  </si>
  <si>
    <t>ORD000018</t>
  </si>
  <si>
    <t>CUST00997</t>
  </si>
  <si>
    <t>ORD000570</t>
  </si>
  <si>
    <t>CUST00949</t>
  </si>
  <si>
    <t>ORD001312</t>
  </si>
  <si>
    <t>CUST00085</t>
  </si>
  <si>
    <t>ORD000155</t>
  </si>
  <si>
    <t>CUST00156</t>
  </si>
  <si>
    <t>ORD001128</t>
  </si>
  <si>
    <t>CUST01034</t>
  </si>
  <si>
    <t>ORD000759</t>
  </si>
  <si>
    <t>ORD000921</t>
  </si>
  <si>
    <t>CUST01416</t>
  </si>
  <si>
    <t>ORD000903</t>
  </si>
  <si>
    <t>CUST01088</t>
  </si>
  <si>
    <t>ORD000020</t>
  </si>
  <si>
    <t>CUST00951</t>
  </si>
  <si>
    <t>ORD000321</t>
  </si>
  <si>
    <t>ORD000400</t>
  </si>
  <si>
    <t>CUST01268</t>
  </si>
  <si>
    <t>ORD000654</t>
  </si>
  <si>
    <t>CUST00170</t>
  </si>
  <si>
    <t>ORD001116</t>
  </si>
  <si>
    <t>CUST01187</t>
  </si>
  <si>
    <t>ORD000834</t>
  </si>
  <si>
    <t>CUST00748</t>
  </si>
  <si>
    <t>ORD000727</t>
  </si>
  <si>
    <t>ORD000051</t>
  </si>
  <si>
    <t>ORD000575</t>
  </si>
  <si>
    <t>ORD000150</t>
  </si>
  <si>
    <t>ORD000314</t>
  </si>
  <si>
    <t>CUST01782</t>
  </si>
  <si>
    <t>ORD000838</t>
  </si>
  <si>
    <t>ORD001078</t>
  </si>
  <si>
    <t>CUST01261</t>
  </si>
  <si>
    <t>ORD000005</t>
  </si>
  <si>
    <t>CUST01039</t>
  </si>
  <si>
    <t>ORD001220</t>
  </si>
  <si>
    <t>CUST01519</t>
  </si>
  <si>
    <t>ORD001374</t>
  </si>
  <si>
    <t>ORD000047</t>
  </si>
  <si>
    <t>CUST01435</t>
  </si>
  <si>
    <t>ORD000656</t>
  </si>
  <si>
    <t>ORD000269</t>
  </si>
  <si>
    <t>ORD000636</t>
  </si>
  <si>
    <t>CUST00893</t>
  </si>
  <si>
    <t>ORD000657</t>
  </si>
  <si>
    <t>CUST00040</t>
  </si>
  <si>
    <t>ORD000120</t>
  </si>
  <si>
    <t>CUST01460</t>
  </si>
  <si>
    <t>ORD000831</t>
  </si>
  <si>
    <t>ORD001082</t>
  </si>
  <si>
    <t>CUST00911</t>
  </si>
  <si>
    <t>ORD000634</t>
  </si>
  <si>
    <t>ORD000802</t>
  </si>
  <si>
    <t>CUST01670</t>
  </si>
  <si>
    <t>ORD001120</t>
  </si>
  <si>
    <t>ORD001213</t>
  </si>
  <si>
    <t>CUST00129</t>
  </si>
  <si>
    <t>ORD000997</t>
  </si>
  <si>
    <t>ORD000697</t>
  </si>
  <si>
    <t>ORD000094</t>
  </si>
  <si>
    <t>CUST01486</t>
  </si>
  <si>
    <t>ORD001012</t>
  </si>
  <si>
    <t>ORD000912</t>
  </si>
  <si>
    <t>CUST00607</t>
  </si>
  <si>
    <t>ORD000218</t>
  </si>
  <si>
    <t>ORD000474</t>
  </si>
  <si>
    <t>ORD000432</t>
  </si>
  <si>
    <t>CUST00275</t>
  </si>
  <si>
    <t>ORD000341</t>
  </si>
  <si>
    <t>ORD000357</t>
  </si>
  <si>
    <t>CUST00922</t>
  </si>
  <si>
    <t>ORD000522</t>
  </si>
  <si>
    <t>ORD000762</t>
  </si>
  <si>
    <t>CUST01436</t>
  </si>
  <si>
    <t>ORD001349</t>
  </si>
  <si>
    <t>ORD000516</t>
  </si>
  <si>
    <t>CUST01421</t>
  </si>
  <si>
    <t>ORD001040</t>
  </si>
  <si>
    <t>ORD000852</t>
  </si>
  <si>
    <t>ORD000691</t>
  </si>
  <si>
    <t>ORD001067</t>
  </si>
  <si>
    <t>ORD001277</t>
  </si>
  <si>
    <t>CUST01001</t>
  </si>
  <si>
    <t>ORD000754</t>
  </si>
  <si>
    <t>CUST01350</t>
  </si>
  <si>
    <t>ORD000849</t>
  </si>
  <si>
    <t>ORD000090</t>
  </si>
  <si>
    <t>CUST01402</t>
  </si>
  <si>
    <t>ORD000605</t>
  </si>
  <si>
    <t>CUST00226</t>
  </si>
  <si>
    <t>ORD000826</t>
  </si>
  <si>
    <t>ORD001099</t>
  </si>
  <si>
    <t>ORD000413</t>
  </si>
  <si>
    <t>ORD001400</t>
  </si>
  <si>
    <t>CUST01386</t>
  </si>
  <si>
    <t>ORD000761</t>
  </si>
  <si>
    <t>ORD000920</t>
  </si>
  <si>
    <t>CUST01449</t>
  </si>
  <si>
    <t>ORD000978</t>
  </si>
  <si>
    <t>ORD000663</t>
  </si>
  <si>
    <t>CUST00984</t>
  </si>
  <si>
    <t>ORD000037</t>
  </si>
  <si>
    <t>CUST00015</t>
  </si>
  <si>
    <t>ORD000279</t>
  </si>
  <si>
    <t>ORD000062</t>
  </si>
  <si>
    <t>CUST00023</t>
  </si>
  <si>
    <t>ORD000596</t>
  </si>
  <si>
    <t>ORD000396</t>
  </si>
  <si>
    <t>CUST00751</t>
  </si>
  <si>
    <t>ORD000076</t>
  </si>
  <si>
    <t>ORD000718</t>
  </si>
  <si>
    <t>CUST01771</t>
  </si>
  <si>
    <t>ORD000851</t>
  </si>
  <si>
    <t>CUST01186</t>
  </si>
  <si>
    <t>ORD000948</t>
  </si>
  <si>
    <t>ORD001175</t>
  </si>
  <si>
    <t>CUST00485</t>
  </si>
  <si>
    <t>ORD001066</t>
  </si>
  <si>
    <t>ORD001210</t>
  </si>
  <si>
    <t>ORD000935</t>
  </si>
  <si>
    <t>ORD001157</t>
  </si>
  <si>
    <t>ORD000733</t>
  </si>
  <si>
    <t>CUST01282</t>
  </si>
  <si>
    <t>ORD000658</t>
  </si>
  <si>
    <t>ORD000751</t>
  </si>
  <si>
    <t>ORD000588</t>
  </si>
  <si>
    <t>CUST01086</t>
  </si>
  <si>
    <t>ORD001033</t>
  </si>
  <si>
    <t>CUST00035</t>
  </si>
  <si>
    <t>ORD001098</t>
  </si>
  <si>
    <t>CUST00837</t>
  </si>
  <si>
    <t>ORD001254</t>
  </si>
  <si>
    <t>ORD001198</t>
  </si>
  <si>
    <t>ORD000946</t>
  </si>
  <si>
    <t>ORD001218</t>
  </si>
  <si>
    <t>CUST01382</t>
  </si>
  <si>
    <t>ORD001189</t>
  </si>
  <si>
    <t>ORD000339</t>
  </si>
  <si>
    <t>ORD001351</t>
  </si>
  <si>
    <t>ORD001325</t>
  </si>
  <si>
    <t>ORD001156</t>
  </si>
  <si>
    <t>CUST01580</t>
  </si>
  <si>
    <t>ORD001094</t>
  </si>
  <si>
    <t>ORD000876</t>
  </si>
  <si>
    <t>CUST00960</t>
  </si>
  <si>
    <t>ORD001206</t>
  </si>
  <si>
    <t>CUST00308</t>
  </si>
  <si>
    <t>ORD000091</t>
  </si>
  <si>
    <t>ORD000714</t>
  </si>
  <si>
    <t>CUST00422</t>
  </si>
  <si>
    <t>ORD000039</t>
  </si>
  <si>
    <t>ORD001150</t>
  </si>
  <si>
    <t>ORD000653</t>
  </si>
  <si>
    <t>ORD000895</t>
  </si>
  <si>
    <t>CUST00726</t>
  </si>
  <si>
    <t>ORD001385</t>
  </si>
  <si>
    <t>CUST01607</t>
  </si>
  <si>
    <t>ORD000387</t>
  </si>
  <si>
    <t>CUST00623</t>
  </si>
  <si>
    <t>ORD000348</t>
  </si>
  <si>
    <t>CUST00168</t>
  </si>
  <si>
    <t>ORD001215</t>
  </si>
  <si>
    <t>ORD000134</t>
  </si>
  <si>
    <t>CUST00347</t>
  </si>
  <si>
    <t>ORD000058</t>
  </si>
  <si>
    <t>CUST00872</t>
  </si>
  <si>
    <t>ORD000672</t>
  </si>
  <si>
    <t>CUST00454</t>
  </si>
  <si>
    <t>ORD001173</t>
  </si>
  <si>
    <t>CUST01059</t>
  </si>
  <si>
    <t>ORD000886</t>
  </si>
  <si>
    <t>CUST00206</t>
  </si>
  <si>
    <t>ORD001237</t>
  </si>
  <si>
    <t>CUST00345</t>
  </si>
  <si>
    <t>ORD000784</t>
  </si>
  <si>
    <t>ORD001146</t>
  </si>
  <si>
    <t>ORD001340</t>
  </si>
  <si>
    <t>CUST00619</t>
  </si>
  <si>
    <t>ORD000732</t>
  </si>
  <si>
    <t>CUST00356</t>
  </si>
  <si>
    <t>ORD000869</t>
  </si>
  <si>
    <t>CUST00591</t>
  </si>
  <si>
    <t>ORD000740</t>
  </si>
  <si>
    <t>ORD001169</t>
  </si>
  <si>
    <t>CUST00282</t>
  </si>
  <si>
    <t>ORD000909</t>
  </si>
  <si>
    <t>CUST00338</t>
  </si>
  <si>
    <t>ORD000256</t>
  </si>
  <si>
    <t>ORD000709</t>
  </si>
  <si>
    <t>CUST01717</t>
  </si>
  <si>
    <t>ORD000450</t>
  </si>
  <si>
    <t>CUST01509</t>
  </si>
  <si>
    <t>ORD000010</t>
  </si>
  <si>
    <t>CUST01255</t>
  </si>
  <si>
    <t>ORD001266</t>
  </si>
  <si>
    <t>ORD001275</t>
  </si>
  <si>
    <t>ORD000374</t>
  </si>
  <si>
    <t>CUST00149</t>
  </si>
  <si>
    <t>ORD001089</t>
  </si>
  <si>
    <t>ORD000146</t>
  </si>
  <si>
    <t>ORD001263</t>
  </si>
  <si>
    <t>ORD000853</t>
  </si>
  <si>
    <t>ORD001306</t>
  </si>
  <si>
    <t>ORD000063</t>
  </si>
  <si>
    <t>ORD001241</t>
  </si>
  <si>
    <t>ORD000827</t>
  </si>
  <si>
    <t>ORD000689</t>
  </si>
  <si>
    <t>CUST01592</t>
  </si>
  <si>
    <t>ORD000405</t>
  </si>
  <si>
    <t>CUST00482</t>
  </si>
  <si>
    <t>ORD000771</t>
  </si>
  <si>
    <t>CUST00484</t>
  </si>
  <si>
    <t>ORD001047</t>
  </si>
  <si>
    <t>CUST00516</t>
  </si>
  <si>
    <t>ORD000677</t>
  </si>
  <si>
    <t>CUST00796</t>
  </si>
  <si>
    <t>ORD000001</t>
  </si>
  <si>
    <t>CUST01203</t>
  </si>
  <si>
    <t>ORD000118</t>
  </si>
  <si>
    <t>CUST01161</t>
  </si>
  <si>
    <t>ORD000268</t>
  </si>
  <si>
    <t>ORD000763</t>
  </si>
  <si>
    <t>CUST00572</t>
  </si>
  <si>
    <t>ORD000919</t>
  </si>
  <si>
    <t>ORD001231</t>
  </si>
  <si>
    <t>ORD000738</t>
  </si>
  <si>
    <t>CUST01248</t>
  </si>
  <si>
    <t>ORD001359</t>
  </si>
  <si>
    <t>CUST00494</t>
  </si>
  <si>
    <t>ORD000447</t>
  </si>
  <si>
    <t>CUST00661</t>
  </si>
  <si>
    <t>ORD001332</t>
  </si>
  <si>
    <t>ORD000249</t>
  </si>
  <si>
    <t>ORD000166</t>
  </si>
  <si>
    <t>CUST00476</t>
  </si>
  <si>
    <t>ORD000542</t>
  </si>
  <si>
    <t>ORD000081</t>
  </si>
  <si>
    <t>ORD000797</t>
  </si>
  <si>
    <t>ORD000138</t>
  </si>
  <si>
    <t>ORD000546</t>
  </si>
  <si>
    <t>CUST00272</t>
  </si>
  <si>
    <t>ORD000205</t>
  </si>
  <si>
    <t>CUST00831</t>
  </si>
  <si>
    <t>ORD000111</t>
  </si>
  <si>
    <t>CUST00567</t>
  </si>
  <si>
    <t>ORD001207</t>
  </si>
  <si>
    <t>CUST01360</t>
  </si>
  <si>
    <t>ORD000848</t>
  </si>
  <si>
    <t>CUST00570</t>
  </si>
  <si>
    <t>ORD000360</t>
  </si>
  <si>
    <t>CUST00702</t>
  </si>
  <si>
    <t>ORD000667</t>
  </si>
  <si>
    <t>ORD000093</t>
  </si>
  <si>
    <t>CUST01053</t>
  </si>
  <si>
    <t>ORD001075</t>
  </si>
  <si>
    <t>CUST00637</t>
  </si>
  <si>
    <t>ORD000645</t>
  </si>
  <si>
    <t>ORD000233</t>
  </si>
  <si>
    <t>CUST00579</t>
  </si>
  <si>
    <t>ORD000524</t>
  </si>
  <si>
    <t>ORD001097</t>
  </si>
  <si>
    <t>ORD000214</t>
  </si>
  <si>
    <t>CUST00162</t>
  </si>
  <si>
    <t>ORD000337</t>
  </si>
  <si>
    <t>ORD001281</t>
  </si>
  <si>
    <t>CUST01355</t>
  </si>
  <si>
    <t>ORD000625</t>
  </si>
  <si>
    <t>CUST00419</t>
  </si>
  <si>
    <t>ORD000719</t>
  </si>
  <si>
    <t>ORD000056</t>
  </si>
  <si>
    <t>ORD000028</t>
  </si>
  <si>
    <t>CUST00865</t>
  </si>
  <si>
    <t>ORD000078</t>
  </si>
  <si>
    <t>CUST00683</t>
  </si>
  <si>
    <t>ORD000365</t>
  </si>
  <si>
    <t>CUST01020</t>
  </si>
  <si>
    <t>ORD000666</t>
  </si>
  <si>
    <t>CUST00038</t>
  </si>
  <si>
    <t>ORD001027</t>
  </si>
  <si>
    <t>CUST00873</t>
  </si>
  <si>
    <t>ORD000363</t>
  </si>
  <si>
    <t>CUST01600</t>
  </si>
  <si>
    <t>ORD000145</t>
  </si>
  <si>
    <t>CUST01204</t>
  </si>
  <si>
    <t>ORD000025</t>
  </si>
  <si>
    <t>CUST01546</t>
  </si>
  <si>
    <t>ORD000067</t>
  </si>
  <si>
    <t>ORD001170</t>
  </si>
  <si>
    <t>CUST00797</t>
  </si>
  <si>
    <t>ORD000228</t>
  </si>
  <si>
    <t>ORD000595</t>
  </si>
  <si>
    <t>ORD000425</t>
  </si>
  <si>
    <t>CUST00108</t>
  </si>
  <si>
    <t>ORD000315</t>
  </si>
  <si>
    <t>CUST01302</t>
  </si>
  <si>
    <t>ORD000662</t>
  </si>
  <si>
    <t>ORD000899</t>
  </si>
  <si>
    <t>CUST00386</t>
  </si>
  <si>
    <t>ORD000543</t>
  </si>
  <si>
    <t>CUST00245</t>
  </si>
  <si>
    <t>ORD000548</t>
  </si>
  <si>
    <t>CUST01772</t>
  </si>
  <si>
    <t>ORD000006</t>
  </si>
  <si>
    <t>ORD001346</t>
  </si>
  <si>
    <t>ORD000504</t>
  </si>
  <si>
    <t>ORD000574</t>
  </si>
  <si>
    <t>ORD000194</t>
  </si>
  <si>
    <t>ORD000715</t>
  </si>
  <si>
    <t>ORD001324</t>
  </si>
  <si>
    <t>ORD000320</t>
  </si>
  <si>
    <t>CUST00442</t>
  </si>
  <si>
    <t>ORD000139</t>
  </si>
  <si>
    <t>CUST00876</t>
  </si>
  <si>
    <t>ORD000845</t>
  </si>
  <si>
    <t>CUST01411</t>
  </si>
  <si>
    <t>ORD000259</t>
  </si>
  <si>
    <t>CUST01697</t>
  </si>
  <si>
    <t>ORD000902</t>
  </si>
  <si>
    <t>CUST00395</t>
  </si>
  <si>
    <t>ORD000013</t>
  </si>
  <si>
    <t>ORD001343</t>
  </si>
  <si>
    <t>ORD000329</t>
  </si>
  <si>
    <t>ORD000911</t>
  </si>
  <si>
    <t>ORD000918</t>
  </si>
  <si>
    <t>ORD000725</t>
  </si>
  <si>
    <t>CUST01418</t>
  </si>
  <si>
    <t>ORD000800</t>
  </si>
  <si>
    <t>CUST00907</t>
  </si>
  <si>
    <t>ORD001007</t>
  </si>
  <si>
    <t>CUST01267</t>
  </si>
  <si>
    <t>ORD000391</t>
  </si>
  <si>
    <t>ORD001203</t>
  </si>
  <si>
    <t>ORD000554</t>
  </si>
  <si>
    <t>ORD000478</t>
  </si>
  <si>
    <t>ORD000598</t>
  </si>
  <si>
    <t>ORD000517</t>
  </si>
  <si>
    <t>CUST00722</t>
  </si>
  <si>
    <t>ORD000865</t>
  </si>
  <si>
    <t>CUST01681</t>
  </si>
  <si>
    <t>ORD000130</t>
  </si>
  <si>
    <t>ORD000627</t>
  </si>
  <si>
    <t>CUST00850</t>
  </si>
  <si>
    <t>ORD000755</t>
  </si>
  <si>
    <t>CUST00467</t>
  </si>
  <si>
    <t>ORD001316</t>
  </si>
  <si>
    <t>ORD000141</t>
  </si>
  <si>
    <t>ORD001234</t>
  </si>
  <si>
    <t>ORD000985</t>
  </si>
  <si>
    <t>ORD000683</t>
  </si>
  <si>
    <t>CUST00224</t>
  </si>
  <si>
    <t>ORD000356</t>
  </si>
  <si>
    <t>CUST01425</t>
  </si>
  <si>
    <t>ORD001008</t>
  </si>
  <si>
    <t>ORD001348</t>
  </si>
  <si>
    <t>ORD000127</t>
  </si>
  <si>
    <t>CUST00537</t>
  </si>
  <si>
    <t>ORD001014</t>
  </si>
  <si>
    <t>CUST01757</t>
  </si>
  <si>
    <t>ORD001321</t>
  </si>
  <si>
    <t>ORD000779</t>
  </si>
  <si>
    <t>ORD000814</t>
  </si>
  <si>
    <t>ORD000983</t>
  </si>
  <si>
    <t>ORD000371</t>
  </si>
  <si>
    <t>ORD000347</t>
  </si>
  <si>
    <t>ORD000939</t>
  </si>
  <si>
    <t>ORD000967</t>
  </si>
  <si>
    <t>CUST01097</t>
  </si>
  <si>
    <t>ORD001108</t>
  </si>
  <si>
    <t>ORD000342</t>
  </si>
  <si>
    <t>CUST01653</t>
  </si>
  <si>
    <t>ORD000561</t>
  </si>
  <si>
    <t>CUST01166</t>
  </si>
  <si>
    <t>ORD000327</t>
  </si>
  <si>
    <t>CUST00838</t>
  </si>
  <si>
    <t>ORD000215</t>
  </si>
  <si>
    <t>CUST01404</t>
  </si>
  <si>
    <t>ORD000723</t>
  </si>
  <si>
    <t>CUST00535</t>
  </si>
  <si>
    <t>ORD000670</t>
  </si>
  <si>
    <t>ORD001395</t>
  </si>
  <si>
    <t>CUST01799</t>
  </si>
  <si>
    <t>ORD000114</t>
  </si>
  <si>
    <t>ORD001288</t>
  </si>
  <si>
    <t>ORD000055</t>
  </si>
  <si>
    <t>ORD000778</t>
  </si>
  <si>
    <t>ORD000833</t>
  </si>
  <si>
    <t>ORD000328</t>
  </si>
  <si>
    <t>CUST01170</t>
  </si>
  <si>
    <t>ORD000491</t>
  </si>
  <si>
    <t>ORD000452</t>
  </si>
  <si>
    <t>CUST00976</t>
  </si>
  <si>
    <t>ORD000182</t>
  </si>
  <si>
    <t>CUST00670</t>
  </si>
  <si>
    <t>ORD000469</t>
  </si>
  <si>
    <t>ORD000915</t>
  </si>
  <si>
    <t>ORD000082</t>
  </si>
  <si>
    <t>ORD000514</t>
  </si>
  <si>
    <t>CUST00982</t>
  </si>
  <si>
    <t>ORD000746</t>
  </si>
  <si>
    <t>ORD000059</t>
  </si>
  <si>
    <t>ORD001233</t>
  </si>
  <si>
    <t>CUST00303</t>
  </si>
  <si>
    <t>ORD000552</t>
  </si>
  <si>
    <t>CUST00926</t>
  </si>
  <si>
    <t>ORD000237</t>
  </si>
  <si>
    <t>CUST01007</t>
  </si>
  <si>
    <t>ORD001305</t>
  </si>
  <si>
    <t>CUST00968</t>
  </si>
  <si>
    <t>ORD001259</t>
  </si>
  <si>
    <t>CUST00585</t>
  </si>
  <si>
    <t>ORD000494</t>
  </si>
  <si>
    <t>CUST01550</t>
  </si>
  <si>
    <t>ORD000906</t>
  </si>
  <si>
    <t>CUST00072</t>
  </si>
  <si>
    <t>ORD000922</t>
  </si>
  <si>
    <t>ORD000702</t>
  </si>
  <si>
    <t>ORD000819</t>
  </si>
  <si>
    <t>ORD000149</t>
  </si>
  <si>
    <t>CUST00177</t>
  </si>
  <si>
    <t>ORD000807</t>
  </si>
  <si>
    <t>ORD001334</t>
  </si>
  <si>
    <t>ORD000758</t>
  </si>
  <si>
    <t>CUST00586</t>
  </si>
  <si>
    <t>ORD000406</t>
  </si>
  <si>
    <t>CUST00201</t>
  </si>
  <si>
    <t>ORD000073</t>
  </si>
  <si>
    <t>ORD000866</t>
  </si>
  <si>
    <t>ORD000275</t>
  </si>
  <si>
    <t>CUST01023</t>
  </si>
  <si>
    <t>ORD001068</t>
  </si>
  <si>
    <t>CUST00932</t>
  </si>
  <si>
    <t>ORD000466</t>
  </si>
  <si>
    <t>CUST01040</t>
  </si>
  <si>
    <t>ORD001113</t>
  </si>
  <si>
    <t>CUST00891</t>
  </si>
  <si>
    <t>ORD000711</t>
  </si>
  <si>
    <t>ORD000137</t>
  </si>
  <si>
    <t>ORD000594</t>
  </si>
  <si>
    <t>ORD000372</t>
  </si>
  <si>
    <t>ORD000995</t>
  </si>
  <si>
    <t>CUST01724</t>
  </si>
  <si>
    <t>ORD001176</t>
  </si>
  <si>
    <t>CUST01781</t>
  </si>
  <si>
    <t>ORD000986</t>
  </si>
  <si>
    <t>CUST00900</t>
  </si>
  <si>
    <t>ORD000183</t>
  </si>
  <si>
    <t>ORD000364</t>
  </si>
  <si>
    <t>ORD000016</t>
  </si>
  <si>
    <t>CUST01121</t>
  </si>
  <si>
    <t>ORD001132</t>
  </si>
  <si>
    <t>ORD000311</t>
  </si>
  <si>
    <t>CUST01305</t>
  </si>
  <si>
    <t>ORD001194</t>
  </si>
  <si>
    <t>ORD000414</t>
  </si>
  <si>
    <t>CUST01665</t>
  </si>
  <si>
    <t>ORD000251</t>
  </si>
  <si>
    <t>CUST00469</t>
  </si>
  <si>
    <t>ORD000245</t>
  </si>
  <si>
    <t>ORD000272</t>
  </si>
  <si>
    <t>CUST00709</t>
  </si>
  <si>
    <t>ORD000377</t>
  </si>
  <si>
    <t>ORD000266</t>
  </si>
  <si>
    <t>CUST01572</t>
  </si>
  <si>
    <t>ORD000926</t>
  </si>
  <si>
    <t>CUST01577</t>
  </si>
  <si>
    <t>ORD000003</t>
  </si>
  <si>
    <t>CUST01472</t>
  </si>
  <si>
    <t>ORD001166</t>
  </si>
  <si>
    <t>CUST00511</t>
  </si>
  <si>
    <t>ORD000585</t>
  </si>
  <si>
    <t>CUST01326</t>
  </si>
  <si>
    <t>ORD001086</t>
  </si>
  <si>
    <t>CUST01544</t>
  </si>
  <si>
    <t>ORD001044</t>
  </si>
  <si>
    <t>CUST00024</t>
  </si>
  <si>
    <t>ORD000850</t>
  </si>
  <si>
    <t>ORD000781</t>
  </si>
  <si>
    <t>ORD000893</t>
  </si>
  <si>
    <t>CUST01017</t>
  </si>
  <si>
    <t>ORD000580</t>
  </si>
  <si>
    <t>ORD000635</t>
  </si>
  <si>
    <t>ORD001356</t>
  </si>
  <si>
    <t>ORD000975</t>
  </si>
  <si>
    <t>CUST01714</t>
  </si>
  <si>
    <t>ORD000454</t>
  </si>
  <si>
    <t>CUST01224</t>
  </si>
  <si>
    <t>ORD000571</t>
  </si>
  <si>
    <t>ORD001369</t>
  </si>
  <si>
    <t>ORD000535</t>
  </si>
  <si>
    <t>CUST01632</t>
  </si>
  <si>
    <t>ORD001282</t>
  </si>
  <si>
    <t>ORD000589</t>
  </si>
  <si>
    <t>ORD000448</t>
  </si>
  <si>
    <t>CUST01105</t>
  </si>
  <si>
    <t>ORD000856</t>
  </si>
  <si>
    <t>ORD000675</t>
  </si>
  <si>
    <t>CUST01712</t>
  </si>
  <si>
    <t>ORD000916</t>
  </si>
  <si>
    <t>ORD000484</t>
  </si>
  <si>
    <t>ORD000210</t>
  </si>
  <si>
    <t>ORD000306</t>
  </si>
  <si>
    <t>CUST01233</t>
  </si>
  <si>
    <t>ORD000716</t>
  </si>
  <si>
    <t>ORD000381</t>
  </si>
  <si>
    <t>ORD000974</t>
  </si>
  <si>
    <t>ORD000793</t>
  </si>
  <si>
    <t>ORD001084</t>
  </si>
  <si>
    <t>ORD001051</t>
  </si>
  <si>
    <t>CUST00532</t>
  </si>
  <si>
    <t>ORD000734</t>
  </si>
  <si>
    <t>CUST01742</t>
  </si>
  <si>
    <t>ORD001260</t>
  </si>
  <si>
    <t>ORD000584</t>
  </si>
  <si>
    <t>CUST01343</t>
  </si>
  <si>
    <t>ORD000395</t>
  </si>
  <si>
    <t>ORD000072</t>
  </si>
  <si>
    <t>ORD000274</t>
  </si>
  <si>
    <t>ORD000889</t>
  </si>
  <si>
    <t>CUST01260</t>
  </si>
  <si>
    <t>ORD000116</t>
  </si>
  <si>
    <t>ORD000317</t>
  </si>
  <si>
    <t>ORD000553</t>
  </si>
  <si>
    <t>ORD001394</t>
  </si>
  <si>
    <t>CUST01476</t>
  </si>
  <si>
    <t>ORD000383</t>
  </si>
  <si>
    <t>ORD000410</t>
  </si>
  <si>
    <t>CUST00073</t>
  </si>
  <si>
    <t>ORD000809</t>
  </si>
  <si>
    <t>CUST01506</t>
  </si>
  <si>
    <t>ORD000309</t>
  </si>
  <si>
    <t>CUST00552</t>
  </si>
  <si>
    <t>ORD000695</t>
  </si>
  <si>
    <t>ORD000307</t>
  </si>
  <si>
    <t>ORD001376</t>
  </si>
  <si>
    <t>CUST00350</t>
  </si>
  <si>
    <t>ORD000924</t>
  </si>
  <si>
    <t>CUST01715</t>
  </si>
  <si>
    <t>ORD000159</t>
  </si>
  <si>
    <t>ORD000024</t>
  </si>
  <si>
    <t>CUST00598</t>
  </si>
  <si>
    <t>ORD000608</t>
  </si>
  <si>
    <t>CUST00937</t>
  </si>
  <si>
    <t>ORD001274</t>
  </si>
  <si>
    <t>ORD000186</t>
  </si>
  <si>
    <t>ORD000530</t>
  </si>
  <si>
    <t>CUST00251</t>
  </si>
  <si>
    <t>ORD000287</t>
  </si>
  <si>
    <t>CUST00905</t>
  </si>
  <si>
    <t>ORD001034</t>
  </si>
  <si>
    <t>ORD000576</t>
  </si>
  <si>
    <t>CUST01164</t>
  </si>
  <si>
    <t>ORD001308</t>
  </si>
  <si>
    <t>CUST00842</t>
  </si>
  <si>
    <t>ORD000282</t>
  </si>
  <si>
    <t>ORD000119</t>
  </si>
  <si>
    <t>CUST00202</t>
  </si>
  <si>
    <t>ORD000276</t>
  </si>
  <si>
    <t>CUST01410</t>
  </si>
  <si>
    <t>ORD000495</t>
  </si>
  <si>
    <t>ORD000427</t>
  </si>
  <si>
    <t>CUST01459</t>
  </si>
  <si>
    <t>ORD000129</t>
  </si>
  <si>
    <t>ORD000361</t>
  </si>
  <si>
    <t>CUST00634</t>
  </si>
  <si>
    <t>ORD000019</t>
  </si>
  <si>
    <t>ORD001001</t>
  </si>
  <si>
    <t>ORD000917</t>
  </si>
  <si>
    <t>CUST00729</t>
  </si>
  <si>
    <t>ORD000291</t>
  </si>
  <si>
    <t>ORD000085</t>
  </si>
  <si>
    <t>CUST00888</t>
  </si>
  <si>
    <t>ORD001178</t>
  </si>
  <si>
    <t>ORD000343</t>
  </si>
  <si>
    <t>ORD000619</t>
  </si>
  <si>
    <t>CUST01545</t>
  </si>
  <si>
    <t>ORD000787</t>
  </si>
  <si>
    <t>CUST01294</t>
  </si>
  <si>
    <t>ORD001375</t>
  </si>
  <si>
    <t>ORD000298</t>
  </si>
  <si>
    <t>CUST01182</t>
  </si>
  <si>
    <t>ORD000050</t>
  </si>
  <si>
    <t>ORD001226</t>
  </si>
  <si>
    <t>CUST01242</t>
  </si>
  <si>
    <t>ORD000631</t>
  </si>
  <si>
    <t>ORD000999</t>
  </si>
  <si>
    <t>CUST00978</t>
  </si>
  <si>
    <t>ORD000621</t>
  </si>
  <si>
    <t>ORD001006</t>
  </si>
  <si>
    <t>ORD001377</t>
  </si>
  <si>
    <t>ORD000980</t>
  </si>
  <si>
    <t>ORD001272</t>
  </si>
  <si>
    <t>CUST00019</t>
  </si>
  <si>
    <t>ORD000481</t>
  </si>
  <si>
    <t>ORD001125</t>
  </si>
  <si>
    <t>CUST01327</t>
  </si>
  <si>
    <t>ORD000678</t>
  </si>
  <si>
    <t>ORD001103</t>
  </si>
  <si>
    <t>ORD001011</t>
  </si>
  <si>
    <t>CUST00750</t>
  </si>
  <si>
    <t>ORD001353</t>
  </si>
  <si>
    <t>CUST00787</t>
  </si>
  <si>
    <t>ORD001104</t>
  </si>
  <si>
    <t>ORD001284</t>
  </si>
  <si>
    <t>CUST00822</t>
  </si>
  <si>
    <t>ORD000820</t>
  </si>
  <si>
    <t>ORD000124</t>
  </si>
  <si>
    <t>ORD001037</t>
  </si>
  <si>
    <t>ORD000213</t>
  </si>
  <si>
    <t>CUST01482</t>
  </si>
  <si>
    <t>ORD000465</t>
  </si>
  <si>
    <t>ORD000232</t>
  </si>
  <si>
    <t>ORD000200</t>
  </si>
  <si>
    <t>ORD000945</t>
  </si>
  <si>
    <t>CUST01769</t>
  </si>
  <si>
    <t>ORD001235</t>
  </si>
  <si>
    <t>Event Year</t>
  </si>
  <si>
    <t>Event Day</t>
  </si>
  <si>
    <t>Product Views</t>
  </si>
  <si>
    <t>Add-to-Cart Rate %</t>
  </si>
  <si>
    <t>Checkout Rate %</t>
  </si>
  <si>
    <t>Purchase Conversion %</t>
  </si>
  <si>
    <t>Repeat Customer Rate %</t>
  </si>
  <si>
    <t>Return Rate %</t>
  </si>
  <si>
    <t>View</t>
  </si>
  <si>
    <t>add_to_cart</t>
  </si>
  <si>
    <t>Checkout</t>
  </si>
  <si>
    <t>KPI Cards</t>
  </si>
  <si>
    <t>Sessions</t>
  </si>
  <si>
    <t>Cart Abandonment %</t>
  </si>
  <si>
    <t>Orders</t>
  </si>
  <si>
    <t>Revenue</t>
  </si>
  <si>
    <t>Average Order Value (AOV)</t>
  </si>
  <si>
    <t>Ans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</si>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</sst>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0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9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19" formatCode="dd/mm/yyyy"/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35B7F-A190-4419-88C2-F03A163E1DBC}" name="Raw_Events" displayName="Raw_Events" ref="A1:O721" totalsRowShown="0" headerRowDxfId="8" headerRowBorderDxfId="7" tableBorderDxfId="6">
  <autoFilter ref="A1:O721" xr:uid="{00000000-0001-0000-0000-000000000000}"/>
  <tableColumns count="15">
    <tableColumn id="1" xr3:uid="{A7F6328C-D41C-4E63-81D4-6E182B5CFFAB}" name="session_id"/>
    <tableColumn id="2" xr3:uid="{47279C64-0BA1-4617-98D7-E61B9FA978A5}" name="customer_id"/>
    <tableColumn id="3" xr3:uid="{64F9FDF2-4621-4F85-99DB-E4BC9C722E3C}" name="event_time" dataDxfId="5"/>
    <tableColumn id="4" xr3:uid="{0B0DC8CC-8337-4630-A329-B0273000FA7C}" name="event_type"/>
    <tableColumn id="5" xr3:uid="{5272D680-9E5E-4DBE-BE49-3A1B0C06EDB1}" name="traffic_source"/>
    <tableColumn id="6" xr3:uid="{7447FE76-A646-4858-BEBD-6DC1920AEF2B}" name="device_type"/>
    <tableColumn id="7" xr3:uid="{CCFA9AB6-6476-4258-B254-3E071BFED6CE}" name="product_id"/>
    <tableColumn id="8" xr3:uid="{3FD78D43-BD89-4731-9AE8-37E00ECDC968}" name="product_name"/>
    <tableColumn id="9" xr3:uid="{9CF4AA96-D4B7-410F-902D-718342B12910}" name="category"/>
    <tableColumn id="10" xr3:uid="{FDAFD908-F747-4BC8-9F82-1C1B5FB83530}" name="order_id"/>
    <tableColumn id="11" xr3:uid="{FA65C6CF-0D01-439D-BEF9-036DA6061D85}" name="region"/>
    <tableColumn id="12" xr3:uid="{17049328-EE36-4C3A-B911-8B87D0D9E8BF}" name="event_date" dataDxfId="4"/>
    <tableColumn id="13" xr3:uid="{09827103-4502-42F3-B6EA-17AE3402C37B}" name="event_month"/>
    <tableColumn id="14" xr3:uid="{30221727-9E9D-4886-A7BF-93D1D3A0E0AB}" name="Event Year">
      <calculatedColumnFormula>YEAR(C2)</calculatedColumnFormula>
    </tableColumn>
    <tableColumn id="15" xr3:uid="{0784AEAD-C255-446E-B7E4-F2BA0A186A44}" name="Event Day">
      <calculatedColumnFormula>TEXT(C2,"dddd")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F1E6E3-515B-4C02-8FF9-73C1D5BE387A}" name="Raw_Orders" displayName="Raw_Orders" ref="A1:Q2501" totalsRowShown="0" headerRowDxfId="3" headerRowBorderDxfId="2" tableBorderDxfId="1">
  <autoFilter ref="A1:Q2501" xr:uid="{00000000-0009-0000-0000-000001000000}"/>
  <tableColumns count="17">
    <tableColumn id="1" xr3:uid="{C003C589-7D5C-419D-800C-9195FBD8972A}" name="order_id"/>
    <tableColumn id="2" xr3:uid="{1CEEED43-C742-42CE-942D-646A10F34A47}" name="customer_id"/>
    <tableColumn id="3" xr3:uid="{0440EE34-2F83-4885-991A-66B242EA9279}" name="order_date" dataDxfId="0"/>
    <tableColumn id="4" xr3:uid="{4AACAEAD-0719-4436-A08A-CE34681B98B5}" name="traffic_source"/>
    <tableColumn id="5" xr3:uid="{759E59E6-145C-411F-A8C2-09A91766A550}" name="device_type"/>
    <tableColumn id="6" xr3:uid="{2329A7FC-A427-4132-8F11-6989753E3946}" name="region"/>
    <tableColumn id="7" xr3:uid="{D7FFBFA1-B931-4B99-9742-1C3BA5D3D535}" name="product_id"/>
    <tableColumn id="8" xr3:uid="{186B1668-64C3-44EA-811D-3BEDA2BB1733}" name="product_name"/>
    <tableColumn id="9" xr3:uid="{502876F2-970A-46F3-9805-19B0D4871479}" name="category"/>
    <tableColumn id="10" xr3:uid="{B39A3751-4351-4EC6-85A4-22EBBF9B882C}" name="base_price"/>
    <tableColumn id="11" xr3:uid="{9AA8D062-BDC1-475F-8F21-D00AB2D15172}" name="quantity"/>
    <tableColumn id="12" xr3:uid="{7749D768-79FB-4727-997E-7409B1DA9074}" name="unit_price"/>
    <tableColumn id="13" xr3:uid="{89B35CD5-25DC-4B62-9167-34F4ACE1CC9E}" name="discount"/>
    <tableColumn id="14" xr3:uid="{D430424C-57E6-46AD-9DD6-D36950F731FD}" name="gross_revenue"/>
    <tableColumn id="15" xr3:uid="{EB8F239E-F027-4719-8C66-F30C41CF5F5E}" name="net_revenue"/>
    <tableColumn id="16" xr3:uid="{A896A726-1CFC-4BA4-9F38-814F643089F7}" name="return_flag"/>
    <tableColumn id="17" xr3:uid="{3D296AF4-BFCA-47DF-BBCF-AC527FE84FD3}" name="order_mon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1"/>
  <sheetViews>
    <sheetView workbookViewId="0">
      <pane ySplit="1" topLeftCell="A209" activePane="bottomLeft" state="frozen"/>
      <selection pane="bottomLeft" activeCell="D222" sqref="D222"/>
    </sheetView>
  </sheetViews>
  <sheetFormatPr defaultRowHeight="14.4" x14ac:dyDescent="0.3"/>
  <cols>
    <col min="1" max="1" width="12" customWidth="1"/>
    <col min="2" max="2" width="13.33203125" customWidth="1"/>
    <col min="3" max="3" width="21" style="1" customWidth="1"/>
    <col min="4" max="4" width="12.44140625" customWidth="1"/>
    <col min="5" max="5" width="16" customWidth="1"/>
    <col min="6" max="6" width="13.109375" customWidth="1"/>
    <col min="7" max="7" width="12.109375" customWidth="1"/>
    <col min="8" max="8" width="21" customWidth="1"/>
    <col min="9" max="9" width="24" customWidth="1"/>
    <col min="10" max="11" width="12" customWidth="1"/>
    <col min="12" max="12" width="21" style="1" customWidth="1"/>
    <col min="13" max="13" width="14.33203125" customWidth="1"/>
    <col min="14" max="14" width="12.44140625" customWidth="1"/>
    <col min="15" max="15" width="11.33203125" customWidth="1"/>
  </cols>
  <sheetData>
    <row r="1" spans="1:15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4" t="s">
        <v>2963</v>
      </c>
      <c r="O1" s="4" t="s">
        <v>2964</v>
      </c>
    </row>
    <row r="2" spans="1:15" x14ac:dyDescent="0.3">
      <c r="A2" t="s">
        <v>13</v>
      </c>
      <c r="B2" t="s">
        <v>14</v>
      </c>
      <c r="C2" s="1">
        <v>46023.375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>
        <v>46023</v>
      </c>
      <c r="M2" t="s">
        <v>23</v>
      </c>
      <c r="N2">
        <f>YEAR(C2)</f>
        <v>2026</v>
      </c>
      <c r="O2" t="str">
        <f>TEXT(C2,"dddd")</f>
        <v>Thursday</v>
      </c>
    </row>
    <row r="3" spans="1:15" x14ac:dyDescent="0.3">
      <c r="A3" t="s">
        <v>24</v>
      </c>
      <c r="B3" t="s">
        <v>25</v>
      </c>
      <c r="C3" s="1">
        <v>46023.375</v>
      </c>
      <c r="D3" t="s">
        <v>15</v>
      </c>
      <c r="E3" t="s">
        <v>26</v>
      </c>
      <c r="F3" t="s">
        <v>17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s="1">
        <v>46023</v>
      </c>
      <c r="M3" t="s">
        <v>23</v>
      </c>
      <c r="N3">
        <f t="shared" ref="N3:N66" si="0">YEAR(C3)</f>
        <v>2026</v>
      </c>
      <c r="O3" t="str">
        <f t="shared" ref="O3:O66" si="1">TEXT(C3,"dddd")</f>
        <v>Thursday</v>
      </c>
    </row>
    <row r="4" spans="1:15" x14ac:dyDescent="0.3">
      <c r="A4" t="s">
        <v>32</v>
      </c>
      <c r="B4" t="s">
        <v>33</v>
      </c>
      <c r="C4" s="1">
        <v>46023.458333333343</v>
      </c>
      <c r="D4" t="s">
        <v>15</v>
      </c>
      <c r="E4" t="s">
        <v>34</v>
      </c>
      <c r="F4" t="s">
        <v>17</v>
      </c>
      <c r="G4" t="s">
        <v>35</v>
      </c>
      <c r="H4" t="s">
        <v>36</v>
      </c>
      <c r="I4" t="s">
        <v>37</v>
      </c>
      <c r="J4" t="s">
        <v>38</v>
      </c>
      <c r="K4" t="s">
        <v>31</v>
      </c>
      <c r="L4" s="1">
        <v>46023</v>
      </c>
      <c r="M4" t="s">
        <v>23</v>
      </c>
      <c r="N4">
        <f t="shared" si="0"/>
        <v>2026</v>
      </c>
      <c r="O4" t="str">
        <f t="shared" si="1"/>
        <v>Thursday</v>
      </c>
    </row>
    <row r="5" spans="1:15" x14ac:dyDescent="0.3">
      <c r="A5" t="s">
        <v>39</v>
      </c>
      <c r="B5" t="s">
        <v>40</v>
      </c>
      <c r="C5" s="1">
        <v>46023.666666666657</v>
      </c>
      <c r="D5" t="s">
        <v>15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s="1">
        <v>46023</v>
      </c>
      <c r="M5" t="s">
        <v>23</v>
      </c>
      <c r="N5">
        <f t="shared" si="0"/>
        <v>2026</v>
      </c>
      <c r="O5" t="str">
        <f t="shared" si="1"/>
        <v>Thursday</v>
      </c>
    </row>
    <row r="6" spans="1:15" x14ac:dyDescent="0.3">
      <c r="A6" t="s">
        <v>48</v>
      </c>
      <c r="B6" t="s">
        <v>49</v>
      </c>
      <c r="C6" s="1">
        <v>46023.791666666657</v>
      </c>
      <c r="D6" t="s">
        <v>15</v>
      </c>
      <c r="E6" t="s">
        <v>26</v>
      </c>
      <c r="F6" t="s">
        <v>50</v>
      </c>
      <c r="G6" t="s">
        <v>51</v>
      </c>
      <c r="H6" t="s">
        <v>52</v>
      </c>
      <c r="I6" t="s">
        <v>20</v>
      </c>
      <c r="J6" t="s">
        <v>53</v>
      </c>
      <c r="K6" t="s">
        <v>31</v>
      </c>
      <c r="L6" s="1">
        <v>46023</v>
      </c>
      <c r="M6" t="s">
        <v>23</v>
      </c>
      <c r="N6">
        <f t="shared" si="0"/>
        <v>2026</v>
      </c>
      <c r="O6" t="str">
        <f t="shared" si="1"/>
        <v>Thursday</v>
      </c>
    </row>
    <row r="7" spans="1:15" x14ac:dyDescent="0.3">
      <c r="A7" t="s">
        <v>54</v>
      </c>
      <c r="B7" t="s">
        <v>55</v>
      </c>
      <c r="C7" s="1">
        <v>46023.833333333343</v>
      </c>
      <c r="D7" t="s">
        <v>15</v>
      </c>
      <c r="E7" t="s">
        <v>34</v>
      </c>
      <c r="F7" t="s">
        <v>17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s="1">
        <v>46023</v>
      </c>
      <c r="M7" t="s">
        <v>23</v>
      </c>
      <c r="N7">
        <f t="shared" si="0"/>
        <v>2026</v>
      </c>
      <c r="O7" t="str">
        <f t="shared" si="1"/>
        <v>Thursday</v>
      </c>
    </row>
    <row r="8" spans="1:15" x14ac:dyDescent="0.3">
      <c r="A8" t="s">
        <v>61</v>
      </c>
      <c r="B8" t="s">
        <v>62</v>
      </c>
      <c r="C8" s="1">
        <v>46023.833333333343</v>
      </c>
      <c r="D8" t="s">
        <v>15</v>
      </c>
      <c r="E8" t="s">
        <v>63</v>
      </c>
      <c r="F8" t="s">
        <v>50</v>
      </c>
      <c r="G8" t="s">
        <v>27</v>
      </c>
      <c r="H8" t="s">
        <v>28</v>
      </c>
      <c r="I8" t="s">
        <v>29</v>
      </c>
      <c r="J8" t="s">
        <v>64</v>
      </c>
      <c r="K8" t="s">
        <v>47</v>
      </c>
      <c r="L8" s="1">
        <v>46023</v>
      </c>
      <c r="M8" t="s">
        <v>23</v>
      </c>
      <c r="N8">
        <f t="shared" si="0"/>
        <v>2026</v>
      </c>
      <c r="O8" t="str">
        <f t="shared" si="1"/>
        <v>Thursday</v>
      </c>
    </row>
    <row r="9" spans="1:15" x14ac:dyDescent="0.3">
      <c r="A9" t="s">
        <v>65</v>
      </c>
      <c r="B9" t="s">
        <v>66</v>
      </c>
      <c r="C9" s="1">
        <v>46023.875</v>
      </c>
      <c r="D9" t="s">
        <v>2971</v>
      </c>
      <c r="E9" t="s">
        <v>16</v>
      </c>
      <c r="F9" t="s">
        <v>17</v>
      </c>
      <c r="G9" t="s">
        <v>43</v>
      </c>
      <c r="H9" t="s">
        <v>44</v>
      </c>
      <c r="I9" t="s">
        <v>45</v>
      </c>
      <c r="J9" t="s">
        <v>67</v>
      </c>
      <c r="K9" t="s">
        <v>22</v>
      </c>
      <c r="L9" s="1">
        <v>46023</v>
      </c>
      <c r="M9" t="s">
        <v>23</v>
      </c>
      <c r="N9">
        <f t="shared" si="0"/>
        <v>2026</v>
      </c>
      <c r="O9" t="str">
        <f t="shared" si="1"/>
        <v>Thursday</v>
      </c>
    </row>
    <row r="10" spans="1:15" x14ac:dyDescent="0.3">
      <c r="A10" t="s">
        <v>68</v>
      </c>
      <c r="B10" t="s">
        <v>69</v>
      </c>
      <c r="C10" s="1">
        <v>46024.416666666657</v>
      </c>
      <c r="D10" t="s">
        <v>2971</v>
      </c>
      <c r="E10" t="s">
        <v>34</v>
      </c>
      <c r="F10" t="s">
        <v>50</v>
      </c>
      <c r="G10" t="s">
        <v>35</v>
      </c>
      <c r="H10" t="s">
        <v>36</v>
      </c>
      <c r="I10" t="s">
        <v>37</v>
      </c>
      <c r="J10" t="s">
        <v>70</v>
      </c>
      <c r="K10" t="s">
        <v>31</v>
      </c>
      <c r="L10" s="1">
        <v>46024</v>
      </c>
      <c r="M10" t="s">
        <v>23</v>
      </c>
      <c r="N10">
        <f t="shared" si="0"/>
        <v>2026</v>
      </c>
      <c r="O10" t="str">
        <f t="shared" si="1"/>
        <v>Friday</v>
      </c>
    </row>
    <row r="11" spans="1:15" x14ac:dyDescent="0.3">
      <c r="A11" t="s">
        <v>71</v>
      </c>
      <c r="B11" t="s">
        <v>72</v>
      </c>
      <c r="C11" s="1">
        <v>46024.416666666657</v>
      </c>
      <c r="D11" t="s">
        <v>2971</v>
      </c>
      <c r="E11" t="s">
        <v>63</v>
      </c>
      <c r="F11" t="s">
        <v>17</v>
      </c>
      <c r="G11" t="s">
        <v>51</v>
      </c>
      <c r="H11" t="s">
        <v>52</v>
      </c>
      <c r="I11" t="s">
        <v>20</v>
      </c>
      <c r="J11" t="s">
        <v>73</v>
      </c>
      <c r="K11" t="s">
        <v>74</v>
      </c>
      <c r="L11" s="1">
        <v>46024</v>
      </c>
      <c r="M11" t="s">
        <v>23</v>
      </c>
      <c r="N11">
        <f t="shared" si="0"/>
        <v>2026</v>
      </c>
      <c r="O11" t="str">
        <f t="shared" si="1"/>
        <v>Friday</v>
      </c>
    </row>
    <row r="12" spans="1:15" x14ac:dyDescent="0.3">
      <c r="A12" t="s">
        <v>75</v>
      </c>
      <c r="B12" t="s">
        <v>76</v>
      </c>
      <c r="C12" s="1">
        <v>46024.5</v>
      </c>
      <c r="D12" t="s">
        <v>15</v>
      </c>
      <c r="E12" t="s">
        <v>41</v>
      </c>
      <c r="F12" t="s">
        <v>50</v>
      </c>
      <c r="G12" t="s">
        <v>43</v>
      </c>
      <c r="H12" t="s">
        <v>44</v>
      </c>
      <c r="I12" t="s">
        <v>45</v>
      </c>
      <c r="J12" t="s">
        <v>77</v>
      </c>
      <c r="K12" t="s">
        <v>31</v>
      </c>
      <c r="L12" s="1">
        <v>46024</v>
      </c>
      <c r="M12" t="s">
        <v>23</v>
      </c>
      <c r="N12">
        <f t="shared" si="0"/>
        <v>2026</v>
      </c>
      <c r="O12" t="str">
        <f t="shared" si="1"/>
        <v>Friday</v>
      </c>
    </row>
    <row r="13" spans="1:15" x14ac:dyDescent="0.3">
      <c r="A13" t="s">
        <v>78</v>
      </c>
      <c r="B13" t="s">
        <v>79</v>
      </c>
      <c r="C13" s="1">
        <v>46024.541666666657</v>
      </c>
      <c r="D13" t="s">
        <v>15</v>
      </c>
      <c r="E13" t="s">
        <v>34</v>
      </c>
      <c r="F13" t="s">
        <v>17</v>
      </c>
      <c r="G13" t="s">
        <v>80</v>
      </c>
      <c r="H13" t="s">
        <v>81</v>
      </c>
      <c r="I13" t="s">
        <v>82</v>
      </c>
      <c r="J13" t="s">
        <v>83</v>
      </c>
      <c r="K13" t="s">
        <v>74</v>
      </c>
      <c r="L13" s="1">
        <v>46024</v>
      </c>
      <c r="M13" t="s">
        <v>23</v>
      </c>
      <c r="N13">
        <f t="shared" si="0"/>
        <v>2026</v>
      </c>
      <c r="O13" t="str">
        <f t="shared" si="1"/>
        <v>Friday</v>
      </c>
    </row>
    <row r="14" spans="1:15" x14ac:dyDescent="0.3">
      <c r="A14" t="s">
        <v>84</v>
      </c>
      <c r="B14" t="s">
        <v>85</v>
      </c>
      <c r="C14" s="1">
        <v>46024.583333333343</v>
      </c>
      <c r="D14" t="s">
        <v>15</v>
      </c>
      <c r="E14" t="s">
        <v>63</v>
      </c>
      <c r="F14" t="s">
        <v>17</v>
      </c>
      <c r="G14" t="s">
        <v>86</v>
      </c>
      <c r="H14" t="s">
        <v>87</v>
      </c>
      <c r="I14" t="s">
        <v>82</v>
      </c>
      <c r="J14" t="s">
        <v>88</v>
      </c>
      <c r="K14" t="s">
        <v>74</v>
      </c>
      <c r="L14" s="1">
        <v>46024</v>
      </c>
      <c r="M14" t="s">
        <v>23</v>
      </c>
      <c r="N14">
        <f t="shared" si="0"/>
        <v>2026</v>
      </c>
      <c r="O14" t="str">
        <f t="shared" si="1"/>
        <v>Friday</v>
      </c>
    </row>
    <row r="15" spans="1:15" x14ac:dyDescent="0.3">
      <c r="A15" t="s">
        <v>89</v>
      </c>
      <c r="B15" t="s">
        <v>90</v>
      </c>
      <c r="C15" s="1">
        <v>46024.75</v>
      </c>
      <c r="D15" t="s">
        <v>15</v>
      </c>
      <c r="E15" t="s">
        <v>16</v>
      </c>
      <c r="F15" t="s">
        <v>17</v>
      </c>
      <c r="G15" t="s">
        <v>91</v>
      </c>
      <c r="H15" t="s">
        <v>92</v>
      </c>
      <c r="I15" t="s">
        <v>37</v>
      </c>
      <c r="J15" t="s">
        <v>93</v>
      </c>
      <c r="K15" t="s">
        <v>31</v>
      </c>
      <c r="L15" s="1">
        <v>46024</v>
      </c>
      <c r="M15" t="s">
        <v>23</v>
      </c>
      <c r="N15">
        <f t="shared" si="0"/>
        <v>2026</v>
      </c>
      <c r="O15" t="str">
        <f t="shared" si="1"/>
        <v>Friday</v>
      </c>
    </row>
    <row r="16" spans="1:15" x14ac:dyDescent="0.3">
      <c r="A16" t="s">
        <v>94</v>
      </c>
      <c r="B16" t="s">
        <v>95</v>
      </c>
      <c r="C16" s="1">
        <v>46025.333333333343</v>
      </c>
      <c r="D16" t="s">
        <v>15</v>
      </c>
      <c r="E16" t="s">
        <v>26</v>
      </c>
      <c r="F16" t="s">
        <v>50</v>
      </c>
      <c r="G16" t="s">
        <v>96</v>
      </c>
      <c r="H16" t="s">
        <v>97</v>
      </c>
      <c r="I16" t="s">
        <v>58</v>
      </c>
      <c r="J16" t="s">
        <v>98</v>
      </c>
      <c r="K16" t="s">
        <v>47</v>
      </c>
      <c r="L16" s="1">
        <v>46025</v>
      </c>
      <c r="M16" t="s">
        <v>23</v>
      </c>
      <c r="N16">
        <f t="shared" si="0"/>
        <v>2026</v>
      </c>
      <c r="O16" t="str">
        <f t="shared" si="1"/>
        <v>Saturday</v>
      </c>
    </row>
    <row r="17" spans="1:15" x14ac:dyDescent="0.3">
      <c r="A17" t="s">
        <v>99</v>
      </c>
      <c r="B17" t="s">
        <v>100</v>
      </c>
      <c r="C17" s="1">
        <v>46025.583333333343</v>
      </c>
      <c r="D17" t="s">
        <v>15</v>
      </c>
      <c r="E17" t="s">
        <v>63</v>
      </c>
      <c r="F17" t="s">
        <v>17</v>
      </c>
      <c r="G17" t="s">
        <v>101</v>
      </c>
      <c r="H17" t="s">
        <v>102</v>
      </c>
      <c r="I17" t="s">
        <v>45</v>
      </c>
      <c r="J17" t="s">
        <v>103</v>
      </c>
      <c r="K17" t="s">
        <v>74</v>
      </c>
      <c r="L17" s="1">
        <v>46025</v>
      </c>
      <c r="M17" t="s">
        <v>23</v>
      </c>
      <c r="N17">
        <f t="shared" si="0"/>
        <v>2026</v>
      </c>
      <c r="O17" t="str">
        <f t="shared" si="1"/>
        <v>Saturday</v>
      </c>
    </row>
    <row r="18" spans="1:15" x14ac:dyDescent="0.3">
      <c r="A18" t="s">
        <v>104</v>
      </c>
      <c r="B18" t="s">
        <v>105</v>
      </c>
      <c r="C18" s="1">
        <v>46026.583333333343</v>
      </c>
      <c r="D18" t="s">
        <v>15</v>
      </c>
      <c r="E18" t="s">
        <v>16</v>
      </c>
      <c r="F18" t="s">
        <v>50</v>
      </c>
      <c r="G18" t="s">
        <v>106</v>
      </c>
      <c r="H18" t="s">
        <v>107</v>
      </c>
      <c r="I18" t="s">
        <v>108</v>
      </c>
      <c r="J18" t="s">
        <v>109</v>
      </c>
      <c r="K18" t="s">
        <v>74</v>
      </c>
      <c r="L18" s="1">
        <v>46026</v>
      </c>
      <c r="M18" t="s">
        <v>23</v>
      </c>
      <c r="N18">
        <f t="shared" si="0"/>
        <v>2026</v>
      </c>
      <c r="O18" t="str">
        <f t="shared" si="1"/>
        <v>Sunday</v>
      </c>
    </row>
    <row r="19" spans="1:15" x14ac:dyDescent="0.3">
      <c r="A19" t="s">
        <v>110</v>
      </c>
      <c r="B19" t="s">
        <v>111</v>
      </c>
      <c r="C19" s="1">
        <v>46026.708333333343</v>
      </c>
      <c r="D19" t="s">
        <v>15</v>
      </c>
      <c r="E19" t="s">
        <v>63</v>
      </c>
      <c r="F19" t="s">
        <v>50</v>
      </c>
      <c r="G19" t="s">
        <v>112</v>
      </c>
      <c r="H19" t="s">
        <v>113</v>
      </c>
      <c r="I19" t="s">
        <v>37</v>
      </c>
      <c r="J19" t="s">
        <v>114</v>
      </c>
      <c r="K19" t="s">
        <v>60</v>
      </c>
      <c r="L19" s="1">
        <v>46026</v>
      </c>
      <c r="M19" t="s">
        <v>23</v>
      </c>
      <c r="N19">
        <f t="shared" si="0"/>
        <v>2026</v>
      </c>
      <c r="O19" t="str">
        <f t="shared" si="1"/>
        <v>Sunday</v>
      </c>
    </row>
    <row r="20" spans="1:15" x14ac:dyDescent="0.3">
      <c r="A20" t="s">
        <v>115</v>
      </c>
      <c r="B20" t="s">
        <v>116</v>
      </c>
      <c r="C20" s="1">
        <v>46027.375</v>
      </c>
      <c r="D20" t="s">
        <v>2971</v>
      </c>
      <c r="E20" t="s">
        <v>34</v>
      </c>
      <c r="F20" t="s">
        <v>50</v>
      </c>
      <c r="G20" t="s">
        <v>27</v>
      </c>
      <c r="H20" t="s">
        <v>28</v>
      </c>
      <c r="I20" t="s">
        <v>29</v>
      </c>
      <c r="J20" t="s">
        <v>117</v>
      </c>
      <c r="K20" t="s">
        <v>47</v>
      </c>
      <c r="L20" s="1">
        <v>46027</v>
      </c>
      <c r="M20" t="s">
        <v>23</v>
      </c>
      <c r="N20">
        <f t="shared" si="0"/>
        <v>2026</v>
      </c>
      <c r="O20" t="str">
        <f t="shared" si="1"/>
        <v>Monday</v>
      </c>
    </row>
    <row r="21" spans="1:15" x14ac:dyDescent="0.3">
      <c r="A21" t="s">
        <v>118</v>
      </c>
      <c r="B21" t="s">
        <v>119</v>
      </c>
      <c r="C21" s="1">
        <v>46027.583333333343</v>
      </c>
      <c r="D21" t="s">
        <v>15</v>
      </c>
      <c r="E21" t="s">
        <v>63</v>
      </c>
      <c r="F21" t="s">
        <v>50</v>
      </c>
      <c r="G21" t="s">
        <v>106</v>
      </c>
      <c r="H21" t="s">
        <v>107</v>
      </c>
      <c r="I21" t="s">
        <v>108</v>
      </c>
      <c r="J21" t="s">
        <v>120</v>
      </c>
      <c r="K21" t="s">
        <v>31</v>
      </c>
      <c r="L21" s="1">
        <v>46027</v>
      </c>
      <c r="M21" t="s">
        <v>23</v>
      </c>
      <c r="N21">
        <f t="shared" si="0"/>
        <v>2026</v>
      </c>
      <c r="O21" t="str">
        <f t="shared" si="1"/>
        <v>Monday</v>
      </c>
    </row>
    <row r="22" spans="1:15" x14ac:dyDescent="0.3">
      <c r="A22" t="s">
        <v>121</v>
      </c>
      <c r="B22" t="s">
        <v>122</v>
      </c>
      <c r="C22" s="1">
        <v>46027.666666666657</v>
      </c>
      <c r="D22" t="s">
        <v>15</v>
      </c>
      <c r="E22" t="s">
        <v>16</v>
      </c>
      <c r="F22" t="s">
        <v>17</v>
      </c>
      <c r="G22" t="s">
        <v>51</v>
      </c>
      <c r="H22" t="s">
        <v>52</v>
      </c>
      <c r="I22" t="s">
        <v>20</v>
      </c>
      <c r="J22" t="s">
        <v>123</v>
      </c>
      <c r="K22" t="s">
        <v>22</v>
      </c>
      <c r="L22" s="1">
        <v>46027</v>
      </c>
      <c r="M22" t="s">
        <v>23</v>
      </c>
      <c r="N22">
        <f t="shared" si="0"/>
        <v>2026</v>
      </c>
      <c r="O22" t="str">
        <f t="shared" si="1"/>
        <v>Monday</v>
      </c>
    </row>
    <row r="23" spans="1:15" x14ac:dyDescent="0.3">
      <c r="A23" t="s">
        <v>124</v>
      </c>
      <c r="B23" t="s">
        <v>125</v>
      </c>
      <c r="C23" s="1">
        <v>46027.708333333343</v>
      </c>
      <c r="D23" t="s">
        <v>15</v>
      </c>
      <c r="E23" t="s">
        <v>16</v>
      </c>
      <c r="F23" t="s">
        <v>42</v>
      </c>
      <c r="G23" t="s">
        <v>126</v>
      </c>
      <c r="H23" t="s">
        <v>127</v>
      </c>
      <c r="I23" t="s">
        <v>45</v>
      </c>
      <c r="J23" t="s">
        <v>128</v>
      </c>
      <c r="K23" t="s">
        <v>60</v>
      </c>
      <c r="L23" s="1">
        <v>46027</v>
      </c>
      <c r="M23" t="s">
        <v>23</v>
      </c>
      <c r="N23">
        <f t="shared" si="0"/>
        <v>2026</v>
      </c>
      <c r="O23" t="str">
        <f t="shared" si="1"/>
        <v>Monday</v>
      </c>
    </row>
    <row r="24" spans="1:15" x14ac:dyDescent="0.3">
      <c r="A24" t="s">
        <v>129</v>
      </c>
      <c r="B24" t="s">
        <v>130</v>
      </c>
      <c r="C24" s="1">
        <v>46027.875</v>
      </c>
      <c r="D24" t="s">
        <v>15</v>
      </c>
      <c r="E24" t="s">
        <v>63</v>
      </c>
      <c r="F24" t="s">
        <v>17</v>
      </c>
      <c r="G24" t="s">
        <v>86</v>
      </c>
      <c r="H24" t="s">
        <v>87</v>
      </c>
      <c r="I24" t="s">
        <v>82</v>
      </c>
      <c r="J24" t="s">
        <v>131</v>
      </c>
      <c r="K24" t="s">
        <v>22</v>
      </c>
      <c r="L24" s="1">
        <v>46027</v>
      </c>
      <c r="M24" t="s">
        <v>23</v>
      </c>
      <c r="N24">
        <f t="shared" si="0"/>
        <v>2026</v>
      </c>
      <c r="O24" t="str">
        <f t="shared" si="1"/>
        <v>Monday</v>
      </c>
    </row>
    <row r="25" spans="1:15" x14ac:dyDescent="0.3">
      <c r="A25" t="s">
        <v>132</v>
      </c>
      <c r="B25" t="s">
        <v>133</v>
      </c>
      <c r="C25" s="1">
        <v>46028.333333333343</v>
      </c>
      <c r="D25" t="s">
        <v>15</v>
      </c>
      <c r="E25" t="s">
        <v>16</v>
      </c>
      <c r="F25" t="s">
        <v>17</v>
      </c>
      <c r="G25" t="s">
        <v>43</v>
      </c>
      <c r="H25" t="s">
        <v>44</v>
      </c>
      <c r="I25" t="s">
        <v>45</v>
      </c>
      <c r="J25" t="s">
        <v>134</v>
      </c>
      <c r="K25" t="s">
        <v>74</v>
      </c>
      <c r="L25" s="1">
        <v>46028</v>
      </c>
      <c r="M25" t="s">
        <v>23</v>
      </c>
      <c r="N25">
        <f t="shared" si="0"/>
        <v>2026</v>
      </c>
      <c r="O25" t="str">
        <f t="shared" si="1"/>
        <v>Tuesday</v>
      </c>
    </row>
    <row r="26" spans="1:15" x14ac:dyDescent="0.3">
      <c r="A26" t="s">
        <v>135</v>
      </c>
      <c r="B26" t="s">
        <v>136</v>
      </c>
      <c r="C26" s="1">
        <v>46028.333333333343</v>
      </c>
      <c r="D26" t="s">
        <v>15</v>
      </c>
      <c r="E26" t="s">
        <v>26</v>
      </c>
      <c r="F26" t="s">
        <v>50</v>
      </c>
      <c r="G26" t="s">
        <v>18</v>
      </c>
      <c r="H26" t="s">
        <v>19</v>
      </c>
      <c r="I26" t="s">
        <v>20</v>
      </c>
      <c r="J26" t="s">
        <v>137</v>
      </c>
      <c r="K26" t="s">
        <v>31</v>
      </c>
      <c r="L26" s="1">
        <v>46028</v>
      </c>
      <c r="M26" t="s">
        <v>23</v>
      </c>
      <c r="N26">
        <f t="shared" si="0"/>
        <v>2026</v>
      </c>
      <c r="O26" t="str">
        <f t="shared" si="1"/>
        <v>Tuesday</v>
      </c>
    </row>
    <row r="27" spans="1:15" x14ac:dyDescent="0.3">
      <c r="A27" t="s">
        <v>138</v>
      </c>
      <c r="B27" t="s">
        <v>139</v>
      </c>
      <c r="C27" s="1">
        <v>46028.375</v>
      </c>
      <c r="D27" t="s">
        <v>15</v>
      </c>
      <c r="E27" t="s">
        <v>63</v>
      </c>
      <c r="F27" t="s">
        <v>50</v>
      </c>
      <c r="G27" t="s">
        <v>80</v>
      </c>
      <c r="H27" t="s">
        <v>81</v>
      </c>
      <c r="I27" t="s">
        <v>82</v>
      </c>
      <c r="J27" t="s">
        <v>140</v>
      </c>
      <c r="K27" t="s">
        <v>74</v>
      </c>
      <c r="L27" s="1">
        <v>46028</v>
      </c>
      <c r="M27" t="s">
        <v>23</v>
      </c>
      <c r="N27">
        <f t="shared" si="0"/>
        <v>2026</v>
      </c>
      <c r="O27" t="str">
        <f t="shared" si="1"/>
        <v>Tuesday</v>
      </c>
    </row>
    <row r="28" spans="1:15" x14ac:dyDescent="0.3">
      <c r="A28" t="s">
        <v>141</v>
      </c>
      <c r="B28" t="s">
        <v>142</v>
      </c>
      <c r="C28" s="1">
        <v>46028.583333333343</v>
      </c>
      <c r="D28" t="s">
        <v>15</v>
      </c>
      <c r="E28" t="s">
        <v>26</v>
      </c>
      <c r="F28" t="s">
        <v>42</v>
      </c>
      <c r="G28" t="s">
        <v>106</v>
      </c>
      <c r="H28" t="s">
        <v>107</v>
      </c>
      <c r="I28" t="s">
        <v>108</v>
      </c>
      <c r="J28" t="s">
        <v>143</v>
      </c>
      <c r="K28" t="s">
        <v>60</v>
      </c>
      <c r="L28" s="1">
        <v>46028</v>
      </c>
      <c r="M28" t="s">
        <v>23</v>
      </c>
      <c r="N28">
        <f t="shared" si="0"/>
        <v>2026</v>
      </c>
      <c r="O28" t="str">
        <f t="shared" si="1"/>
        <v>Tuesday</v>
      </c>
    </row>
    <row r="29" spans="1:15" x14ac:dyDescent="0.3">
      <c r="A29" t="s">
        <v>144</v>
      </c>
      <c r="B29" t="s">
        <v>145</v>
      </c>
      <c r="C29" s="1">
        <v>46028.666666666657</v>
      </c>
      <c r="D29" t="s">
        <v>15</v>
      </c>
      <c r="E29" t="s">
        <v>16</v>
      </c>
      <c r="F29" t="s">
        <v>17</v>
      </c>
      <c r="G29" t="s">
        <v>51</v>
      </c>
      <c r="H29" t="s">
        <v>52</v>
      </c>
      <c r="I29" t="s">
        <v>20</v>
      </c>
      <c r="J29" t="s">
        <v>146</v>
      </c>
      <c r="K29" t="s">
        <v>22</v>
      </c>
      <c r="L29" s="1">
        <v>46028</v>
      </c>
      <c r="M29" t="s">
        <v>23</v>
      </c>
      <c r="N29">
        <f t="shared" si="0"/>
        <v>2026</v>
      </c>
      <c r="O29" t="str">
        <f t="shared" si="1"/>
        <v>Tuesday</v>
      </c>
    </row>
    <row r="30" spans="1:15" x14ac:dyDescent="0.3">
      <c r="A30" t="s">
        <v>147</v>
      </c>
      <c r="B30" t="s">
        <v>148</v>
      </c>
      <c r="C30" s="1">
        <v>46028.666666666657</v>
      </c>
      <c r="D30" t="s">
        <v>15</v>
      </c>
      <c r="E30" t="s">
        <v>63</v>
      </c>
      <c r="F30" t="s">
        <v>17</v>
      </c>
      <c r="G30" t="s">
        <v>149</v>
      </c>
      <c r="H30" t="s">
        <v>150</v>
      </c>
      <c r="I30" t="s">
        <v>37</v>
      </c>
      <c r="J30" t="s">
        <v>151</v>
      </c>
      <c r="K30" t="s">
        <v>60</v>
      </c>
      <c r="L30" s="1">
        <v>46028</v>
      </c>
      <c r="M30" t="s">
        <v>23</v>
      </c>
      <c r="N30">
        <f t="shared" si="0"/>
        <v>2026</v>
      </c>
      <c r="O30" t="str">
        <f t="shared" si="1"/>
        <v>Tuesday</v>
      </c>
    </row>
    <row r="31" spans="1:15" x14ac:dyDescent="0.3">
      <c r="A31" t="s">
        <v>152</v>
      </c>
      <c r="B31" t="s">
        <v>153</v>
      </c>
      <c r="C31" s="1">
        <v>46028.708333333343</v>
      </c>
      <c r="D31" t="s">
        <v>15</v>
      </c>
      <c r="E31" t="s">
        <v>34</v>
      </c>
      <c r="F31" t="s">
        <v>50</v>
      </c>
      <c r="G31" t="s">
        <v>35</v>
      </c>
      <c r="H31" t="s">
        <v>36</v>
      </c>
      <c r="I31" t="s">
        <v>37</v>
      </c>
      <c r="J31" t="s">
        <v>154</v>
      </c>
      <c r="K31" t="s">
        <v>22</v>
      </c>
      <c r="L31" s="1">
        <v>46028</v>
      </c>
      <c r="M31" t="s">
        <v>23</v>
      </c>
      <c r="N31">
        <f t="shared" si="0"/>
        <v>2026</v>
      </c>
      <c r="O31" t="str">
        <f t="shared" si="1"/>
        <v>Tuesday</v>
      </c>
    </row>
    <row r="32" spans="1:15" x14ac:dyDescent="0.3">
      <c r="A32" t="s">
        <v>155</v>
      </c>
      <c r="B32" t="s">
        <v>156</v>
      </c>
      <c r="C32" s="1">
        <v>46028.791666666657</v>
      </c>
      <c r="D32" t="s">
        <v>15</v>
      </c>
      <c r="E32" t="s">
        <v>16</v>
      </c>
      <c r="F32" t="s">
        <v>17</v>
      </c>
      <c r="G32" t="s">
        <v>91</v>
      </c>
      <c r="H32" t="s">
        <v>92</v>
      </c>
      <c r="I32" t="s">
        <v>37</v>
      </c>
      <c r="J32" t="s">
        <v>157</v>
      </c>
      <c r="K32" t="s">
        <v>74</v>
      </c>
      <c r="L32" s="1">
        <v>46028</v>
      </c>
      <c r="M32" t="s">
        <v>23</v>
      </c>
      <c r="N32">
        <f t="shared" si="0"/>
        <v>2026</v>
      </c>
      <c r="O32" t="str">
        <f t="shared" si="1"/>
        <v>Tuesday</v>
      </c>
    </row>
    <row r="33" spans="1:15" x14ac:dyDescent="0.3">
      <c r="A33" t="s">
        <v>158</v>
      </c>
      <c r="B33" t="s">
        <v>159</v>
      </c>
      <c r="C33" s="1">
        <v>46029.333333333343</v>
      </c>
      <c r="D33" t="s">
        <v>15</v>
      </c>
      <c r="E33" t="s">
        <v>16</v>
      </c>
      <c r="F33" t="s">
        <v>50</v>
      </c>
      <c r="G33" t="s">
        <v>160</v>
      </c>
      <c r="H33" t="s">
        <v>161</v>
      </c>
      <c r="I33" t="s">
        <v>82</v>
      </c>
      <c r="J33" t="s">
        <v>162</v>
      </c>
      <c r="K33" t="s">
        <v>31</v>
      </c>
      <c r="L33" s="1">
        <v>46029</v>
      </c>
      <c r="M33" t="s">
        <v>23</v>
      </c>
      <c r="N33">
        <f t="shared" si="0"/>
        <v>2026</v>
      </c>
      <c r="O33" t="str">
        <f t="shared" si="1"/>
        <v>Wednesday</v>
      </c>
    </row>
    <row r="34" spans="1:15" x14ac:dyDescent="0.3">
      <c r="A34" t="s">
        <v>163</v>
      </c>
      <c r="B34" t="s">
        <v>164</v>
      </c>
      <c r="C34" s="1">
        <v>46029.416666666657</v>
      </c>
      <c r="D34" t="s">
        <v>15</v>
      </c>
      <c r="E34" t="s">
        <v>41</v>
      </c>
      <c r="F34" t="s">
        <v>50</v>
      </c>
      <c r="G34" t="s">
        <v>165</v>
      </c>
      <c r="H34" t="s">
        <v>166</v>
      </c>
      <c r="I34" t="s">
        <v>29</v>
      </c>
      <c r="J34" t="s">
        <v>167</v>
      </c>
      <c r="K34" t="s">
        <v>60</v>
      </c>
      <c r="L34" s="1">
        <v>46029</v>
      </c>
      <c r="M34" t="s">
        <v>23</v>
      </c>
      <c r="N34">
        <f t="shared" si="0"/>
        <v>2026</v>
      </c>
      <c r="O34" t="str">
        <f t="shared" si="1"/>
        <v>Wednesday</v>
      </c>
    </row>
    <row r="35" spans="1:15" x14ac:dyDescent="0.3">
      <c r="A35" t="s">
        <v>168</v>
      </c>
      <c r="B35" t="s">
        <v>169</v>
      </c>
      <c r="C35" s="1">
        <v>46029.583333333343</v>
      </c>
      <c r="D35" t="s">
        <v>15</v>
      </c>
      <c r="E35" t="s">
        <v>16</v>
      </c>
      <c r="F35" t="s">
        <v>17</v>
      </c>
      <c r="G35" t="s">
        <v>149</v>
      </c>
      <c r="H35" t="s">
        <v>150</v>
      </c>
      <c r="I35" t="s">
        <v>37</v>
      </c>
      <c r="J35" t="s">
        <v>170</v>
      </c>
      <c r="K35" t="s">
        <v>47</v>
      </c>
      <c r="L35" s="1">
        <v>46029</v>
      </c>
      <c r="M35" t="s">
        <v>23</v>
      </c>
      <c r="N35">
        <f t="shared" si="0"/>
        <v>2026</v>
      </c>
      <c r="O35" t="str">
        <f t="shared" si="1"/>
        <v>Wednesday</v>
      </c>
    </row>
    <row r="36" spans="1:15" x14ac:dyDescent="0.3">
      <c r="A36" t="s">
        <v>171</v>
      </c>
      <c r="B36" t="s">
        <v>172</v>
      </c>
      <c r="C36" s="1">
        <v>46029.583333333343</v>
      </c>
      <c r="D36" t="s">
        <v>15</v>
      </c>
      <c r="E36" t="s">
        <v>34</v>
      </c>
      <c r="F36" t="s">
        <v>50</v>
      </c>
      <c r="G36" t="s">
        <v>160</v>
      </c>
      <c r="H36" t="s">
        <v>161</v>
      </c>
      <c r="I36" t="s">
        <v>82</v>
      </c>
      <c r="J36" t="s">
        <v>173</v>
      </c>
      <c r="K36" t="s">
        <v>31</v>
      </c>
      <c r="L36" s="1">
        <v>46029</v>
      </c>
      <c r="M36" t="s">
        <v>23</v>
      </c>
      <c r="N36">
        <f t="shared" si="0"/>
        <v>2026</v>
      </c>
      <c r="O36" t="str">
        <f t="shared" si="1"/>
        <v>Wednesday</v>
      </c>
    </row>
    <row r="37" spans="1:15" x14ac:dyDescent="0.3">
      <c r="A37" t="s">
        <v>174</v>
      </c>
      <c r="B37" t="s">
        <v>175</v>
      </c>
      <c r="C37" s="1">
        <v>46029.666666666657</v>
      </c>
      <c r="D37" t="s">
        <v>15</v>
      </c>
      <c r="E37" t="s">
        <v>16</v>
      </c>
      <c r="F37" t="s">
        <v>17</v>
      </c>
      <c r="G37" t="s">
        <v>101</v>
      </c>
      <c r="H37" t="s">
        <v>102</v>
      </c>
      <c r="I37" t="s">
        <v>45</v>
      </c>
      <c r="J37" t="s">
        <v>176</v>
      </c>
      <c r="K37" t="s">
        <v>22</v>
      </c>
      <c r="L37" s="1">
        <v>46029</v>
      </c>
      <c r="M37" t="s">
        <v>23</v>
      </c>
      <c r="N37">
        <f t="shared" si="0"/>
        <v>2026</v>
      </c>
      <c r="O37" t="str">
        <f t="shared" si="1"/>
        <v>Wednesday</v>
      </c>
    </row>
    <row r="38" spans="1:15" x14ac:dyDescent="0.3">
      <c r="A38" t="s">
        <v>177</v>
      </c>
      <c r="B38" t="s">
        <v>178</v>
      </c>
      <c r="C38" s="1">
        <v>46029.708333333343</v>
      </c>
      <c r="D38" t="s">
        <v>15</v>
      </c>
      <c r="E38" t="s">
        <v>26</v>
      </c>
      <c r="F38" t="s">
        <v>17</v>
      </c>
      <c r="G38" t="s">
        <v>126</v>
      </c>
      <c r="H38" t="s">
        <v>127</v>
      </c>
      <c r="I38" t="s">
        <v>45</v>
      </c>
      <c r="J38" t="s">
        <v>179</v>
      </c>
      <c r="K38" t="s">
        <v>31</v>
      </c>
      <c r="L38" s="1">
        <v>46029</v>
      </c>
      <c r="M38" t="s">
        <v>23</v>
      </c>
      <c r="N38">
        <f t="shared" si="0"/>
        <v>2026</v>
      </c>
      <c r="O38" t="str">
        <f t="shared" si="1"/>
        <v>Wednesday</v>
      </c>
    </row>
    <row r="39" spans="1:15" x14ac:dyDescent="0.3">
      <c r="A39" t="s">
        <v>180</v>
      </c>
      <c r="B39" t="s">
        <v>181</v>
      </c>
      <c r="C39" s="1">
        <v>46029.75</v>
      </c>
      <c r="D39" t="s">
        <v>15</v>
      </c>
      <c r="E39" t="s">
        <v>16</v>
      </c>
      <c r="F39" t="s">
        <v>17</v>
      </c>
      <c r="G39" t="s">
        <v>86</v>
      </c>
      <c r="H39" t="s">
        <v>87</v>
      </c>
      <c r="I39" t="s">
        <v>82</v>
      </c>
      <c r="J39" t="s">
        <v>182</v>
      </c>
      <c r="K39" t="s">
        <v>22</v>
      </c>
      <c r="L39" s="1">
        <v>46029</v>
      </c>
      <c r="M39" t="s">
        <v>23</v>
      </c>
      <c r="N39">
        <f t="shared" si="0"/>
        <v>2026</v>
      </c>
      <c r="O39" t="str">
        <f t="shared" si="1"/>
        <v>Wednesday</v>
      </c>
    </row>
    <row r="40" spans="1:15" x14ac:dyDescent="0.3">
      <c r="A40" t="s">
        <v>183</v>
      </c>
      <c r="B40" t="s">
        <v>184</v>
      </c>
      <c r="C40" s="1">
        <v>46029.791666666657</v>
      </c>
      <c r="D40" t="s">
        <v>2971</v>
      </c>
      <c r="E40" t="s">
        <v>26</v>
      </c>
      <c r="F40" t="s">
        <v>17</v>
      </c>
      <c r="G40" t="s">
        <v>149</v>
      </c>
      <c r="H40" t="s">
        <v>150</v>
      </c>
      <c r="I40" t="s">
        <v>37</v>
      </c>
      <c r="J40" t="s">
        <v>185</v>
      </c>
      <c r="K40" t="s">
        <v>47</v>
      </c>
      <c r="L40" s="1">
        <v>46029</v>
      </c>
      <c r="M40" t="s">
        <v>23</v>
      </c>
      <c r="N40">
        <f t="shared" si="0"/>
        <v>2026</v>
      </c>
      <c r="O40" t="str">
        <f t="shared" si="1"/>
        <v>Wednesday</v>
      </c>
    </row>
    <row r="41" spans="1:15" x14ac:dyDescent="0.3">
      <c r="A41" t="s">
        <v>186</v>
      </c>
      <c r="B41" t="s">
        <v>187</v>
      </c>
      <c r="C41" s="1">
        <v>46029.833333333343</v>
      </c>
      <c r="D41" t="s">
        <v>2971</v>
      </c>
      <c r="E41" t="s">
        <v>63</v>
      </c>
      <c r="F41" t="s">
        <v>42</v>
      </c>
      <c r="G41" t="s">
        <v>35</v>
      </c>
      <c r="H41" t="s">
        <v>36</v>
      </c>
      <c r="I41" t="s">
        <v>37</v>
      </c>
      <c r="J41" t="s">
        <v>188</v>
      </c>
      <c r="K41" t="s">
        <v>47</v>
      </c>
      <c r="L41" s="1">
        <v>46029</v>
      </c>
      <c r="M41" t="s">
        <v>23</v>
      </c>
      <c r="N41">
        <f t="shared" si="0"/>
        <v>2026</v>
      </c>
      <c r="O41" t="str">
        <f t="shared" si="1"/>
        <v>Wednesday</v>
      </c>
    </row>
    <row r="42" spans="1:15" x14ac:dyDescent="0.3">
      <c r="A42" t="s">
        <v>189</v>
      </c>
      <c r="B42" t="s">
        <v>190</v>
      </c>
      <c r="C42" s="1">
        <v>46030.416666666657</v>
      </c>
      <c r="D42" t="s">
        <v>2971</v>
      </c>
      <c r="E42" t="s">
        <v>34</v>
      </c>
      <c r="F42" t="s">
        <v>42</v>
      </c>
      <c r="G42" t="s">
        <v>191</v>
      </c>
      <c r="H42" t="s">
        <v>192</v>
      </c>
      <c r="I42" t="s">
        <v>45</v>
      </c>
      <c r="J42" t="s">
        <v>193</v>
      </c>
      <c r="K42" t="s">
        <v>31</v>
      </c>
      <c r="L42" s="1">
        <v>46030</v>
      </c>
      <c r="M42" t="s">
        <v>23</v>
      </c>
      <c r="N42">
        <f t="shared" si="0"/>
        <v>2026</v>
      </c>
      <c r="O42" t="str">
        <f t="shared" si="1"/>
        <v>Thursday</v>
      </c>
    </row>
    <row r="43" spans="1:15" x14ac:dyDescent="0.3">
      <c r="A43" t="s">
        <v>194</v>
      </c>
      <c r="B43" t="s">
        <v>195</v>
      </c>
      <c r="C43" s="1">
        <v>46030.416666666657</v>
      </c>
      <c r="D43" t="s">
        <v>2971</v>
      </c>
      <c r="E43" t="s">
        <v>26</v>
      </c>
      <c r="F43" t="s">
        <v>50</v>
      </c>
      <c r="G43" t="s">
        <v>149</v>
      </c>
      <c r="H43" t="s">
        <v>150</v>
      </c>
      <c r="I43" t="s">
        <v>37</v>
      </c>
      <c r="J43" t="s">
        <v>196</v>
      </c>
      <c r="K43" t="s">
        <v>74</v>
      </c>
      <c r="L43" s="1">
        <v>46030</v>
      </c>
      <c r="M43" t="s">
        <v>23</v>
      </c>
      <c r="N43">
        <f t="shared" si="0"/>
        <v>2026</v>
      </c>
      <c r="O43" t="str">
        <f t="shared" si="1"/>
        <v>Thursday</v>
      </c>
    </row>
    <row r="44" spans="1:15" x14ac:dyDescent="0.3">
      <c r="A44" t="s">
        <v>197</v>
      </c>
      <c r="B44" t="s">
        <v>198</v>
      </c>
      <c r="C44" s="1">
        <v>46030.458333333343</v>
      </c>
      <c r="D44" t="s">
        <v>15</v>
      </c>
      <c r="E44" t="s">
        <v>16</v>
      </c>
      <c r="F44" t="s">
        <v>17</v>
      </c>
      <c r="G44" t="s">
        <v>149</v>
      </c>
      <c r="H44" t="s">
        <v>150</v>
      </c>
      <c r="I44" t="s">
        <v>37</v>
      </c>
      <c r="J44" t="s">
        <v>199</v>
      </c>
      <c r="K44" t="s">
        <v>74</v>
      </c>
      <c r="L44" s="1">
        <v>46030</v>
      </c>
      <c r="M44" t="s">
        <v>23</v>
      </c>
      <c r="N44">
        <f t="shared" si="0"/>
        <v>2026</v>
      </c>
      <c r="O44" t="str">
        <f t="shared" si="1"/>
        <v>Thursday</v>
      </c>
    </row>
    <row r="45" spans="1:15" x14ac:dyDescent="0.3">
      <c r="A45" t="s">
        <v>200</v>
      </c>
      <c r="B45" t="s">
        <v>201</v>
      </c>
      <c r="C45" s="1">
        <v>46030.708333333343</v>
      </c>
      <c r="D45" t="s">
        <v>15</v>
      </c>
      <c r="E45" t="s">
        <v>26</v>
      </c>
      <c r="F45" t="s">
        <v>17</v>
      </c>
      <c r="G45" t="s">
        <v>165</v>
      </c>
      <c r="H45" t="s">
        <v>166</v>
      </c>
      <c r="I45" t="s">
        <v>29</v>
      </c>
      <c r="J45" t="s">
        <v>202</v>
      </c>
      <c r="K45" t="s">
        <v>74</v>
      </c>
      <c r="L45" s="1">
        <v>46030</v>
      </c>
      <c r="M45" t="s">
        <v>23</v>
      </c>
      <c r="N45">
        <f t="shared" si="0"/>
        <v>2026</v>
      </c>
      <c r="O45" t="str">
        <f t="shared" si="1"/>
        <v>Thursday</v>
      </c>
    </row>
    <row r="46" spans="1:15" x14ac:dyDescent="0.3">
      <c r="A46" t="s">
        <v>203</v>
      </c>
      <c r="B46" t="s">
        <v>204</v>
      </c>
      <c r="C46" s="1">
        <v>46031.458333333343</v>
      </c>
      <c r="D46" t="s">
        <v>15</v>
      </c>
      <c r="E46" t="s">
        <v>34</v>
      </c>
      <c r="F46" t="s">
        <v>50</v>
      </c>
      <c r="G46" t="s">
        <v>86</v>
      </c>
      <c r="H46" t="s">
        <v>87</v>
      </c>
      <c r="I46" t="s">
        <v>82</v>
      </c>
      <c r="J46" t="s">
        <v>205</v>
      </c>
      <c r="K46" t="s">
        <v>74</v>
      </c>
      <c r="L46" s="1">
        <v>46031</v>
      </c>
      <c r="M46" t="s">
        <v>23</v>
      </c>
      <c r="N46">
        <f t="shared" si="0"/>
        <v>2026</v>
      </c>
      <c r="O46" t="str">
        <f t="shared" si="1"/>
        <v>Friday</v>
      </c>
    </row>
    <row r="47" spans="1:15" x14ac:dyDescent="0.3">
      <c r="A47" t="s">
        <v>206</v>
      </c>
      <c r="B47" t="s">
        <v>207</v>
      </c>
      <c r="C47" s="1">
        <v>46031.541666666657</v>
      </c>
      <c r="D47" t="s">
        <v>15</v>
      </c>
      <c r="E47" t="s">
        <v>63</v>
      </c>
      <c r="F47" t="s">
        <v>50</v>
      </c>
      <c r="G47" t="s">
        <v>160</v>
      </c>
      <c r="H47" t="s">
        <v>161</v>
      </c>
      <c r="I47" t="s">
        <v>82</v>
      </c>
      <c r="J47" t="s">
        <v>208</v>
      </c>
      <c r="K47" t="s">
        <v>47</v>
      </c>
      <c r="L47" s="1">
        <v>46031</v>
      </c>
      <c r="M47" t="s">
        <v>23</v>
      </c>
      <c r="N47">
        <f t="shared" si="0"/>
        <v>2026</v>
      </c>
      <c r="O47" t="str">
        <f t="shared" si="1"/>
        <v>Friday</v>
      </c>
    </row>
    <row r="48" spans="1:15" x14ac:dyDescent="0.3">
      <c r="A48" t="s">
        <v>209</v>
      </c>
      <c r="B48" t="s">
        <v>210</v>
      </c>
      <c r="C48" s="1">
        <v>46032.541666666657</v>
      </c>
      <c r="D48" t="s">
        <v>15</v>
      </c>
      <c r="E48" t="s">
        <v>26</v>
      </c>
      <c r="F48" t="s">
        <v>17</v>
      </c>
      <c r="G48" t="s">
        <v>56</v>
      </c>
      <c r="H48" t="s">
        <v>57</v>
      </c>
      <c r="I48" t="s">
        <v>58</v>
      </c>
      <c r="J48" t="s">
        <v>211</v>
      </c>
      <c r="K48" t="s">
        <v>31</v>
      </c>
      <c r="L48" s="1">
        <v>46032</v>
      </c>
      <c r="M48" t="s">
        <v>23</v>
      </c>
      <c r="N48">
        <f t="shared" si="0"/>
        <v>2026</v>
      </c>
      <c r="O48" t="str">
        <f t="shared" si="1"/>
        <v>Saturday</v>
      </c>
    </row>
    <row r="49" spans="1:15" x14ac:dyDescent="0.3">
      <c r="A49" t="s">
        <v>212</v>
      </c>
      <c r="B49" t="s">
        <v>213</v>
      </c>
      <c r="C49" s="1">
        <v>46032.583333333343</v>
      </c>
      <c r="D49" t="s">
        <v>15</v>
      </c>
      <c r="E49" t="s">
        <v>34</v>
      </c>
      <c r="F49" t="s">
        <v>17</v>
      </c>
      <c r="G49" t="s">
        <v>149</v>
      </c>
      <c r="H49" t="s">
        <v>150</v>
      </c>
      <c r="I49" t="s">
        <v>37</v>
      </c>
      <c r="J49" t="s">
        <v>214</v>
      </c>
      <c r="K49" t="s">
        <v>74</v>
      </c>
      <c r="L49" s="1">
        <v>46032</v>
      </c>
      <c r="M49" t="s">
        <v>23</v>
      </c>
      <c r="N49">
        <f t="shared" si="0"/>
        <v>2026</v>
      </c>
      <c r="O49" t="str">
        <f t="shared" si="1"/>
        <v>Saturday</v>
      </c>
    </row>
    <row r="50" spans="1:15" x14ac:dyDescent="0.3">
      <c r="A50" t="s">
        <v>215</v>
      </c>
      <c r="B50" t="s">
        <v>216</v>
      </c>
      <c r="C50" s="1">
        <v>46032.583333333343</v>
      </c>
      <c r="D50" t="s">
        <v>15</v>
      </c>
      <c r="E50" t="s">
        <v>26</v>
      </c>
      <c r="F50" t="s">
        <v>17</v>
      </c>
      <c r="G50" t="s">
        <v>51</v>
      </c>
      <c r="H50" t="s">
        <v>52</v>
      </c>
      <c r="I50" t="s">
        <v>20</v>
      </c>
      <c r="J50" t="s">
        <v>217</v>
      </c>
      <c r="K50" t="s">
        <v>31</v>
      </c>
      <c r="L50" s="1">
        <v>46032</v>
      </c>
      <c r="M50" t="s">
        <v>23</v>
      </c>
      <c r="N50">
        <f t="shared" si="0"/>
        <v>2026</v>
      </c>
      <c r="O50" t="str">
        <f t="shared" si="1"/>
        <v>Saturday</v>
      </c>
    </row>
    <row r="51" spans="1:15" x14ac:dyDescent="0.3">
      <c r="A51" t="s">
        <v>218</v>
      </c>
      <c r="B51" t="s">
        <v>219</v>
      </c>
      <c r="C51" s="1">
        <v>46032.666666666657</v>
      </c>
      <c r="D51" t="s">
        <v>15</v>
      </c>
      <c r="E51" t="s">
        <v>26</v>
      </c>
      <c r="F51" t="s">
        <v>17</v>
      </c>
      <c r="G51" t="s">
        <v>27</v>
      </c>
      <c r="H51" t="s">
        <v>28</v>
      </c>
      <c r="I51" t="s">
        <v>29</v>
      </c>
      <c r="J51" t="s">
        <v>220</v>
      </c>
      <c r="K51" t="s">
        <v>47</v>
      </c>
      <c r="L51" s="1">
        <v>46032</v>
      </c>
      <c r="M51" t="s">
        <v>23</v>
      </c>
      <c r="N51">
        <f t="shared" si="0"/>
        <v>2026</v>
      </c>
      <c r="O51" t="str">
        <f t="shared" si="1"/>
        <v>Saturday</v>
      </c>
    </row>
    <row r="52" spans="1:15" x14ac:dyDescent="0.3">
      <c r="A52" t="s">
        <v>221</v>
      </c>
      <c r="B52" t="s">
        <v>222</v>
      </c>
      <c r="C52" s="1">
        <v>46032.875</v>
      </c>
      <c r="D52" t="s">
        <v>15</v>
      </c>
      <c r="E52" t="s">
        <v>41</v>
      </c>
      <c r="F52" t="s">
        <v>42</v>
      </c>
      <c r="G52" t="s">
        <v>27</v>
      </c>
      <c r="H52" t="s">
        <v>28</v>
      </c>
      <c r="I52" t="s">
        <v>29</v>
      </c>
      <c r="J52" t="s">
        <v>223</v>
      </c>
      <c r="K52" t="s">
        <v>22</v>
      </c>
      <c r="L52" s="1">
        <v>46032</v>
      </c>
      <c r="M52" t="s">
        <v>23</v>
      </c>
      <c r="N52">
        <f t="shared" si="0"/>
        <v>2026</v>
      </c>
      <c r="O52" t="str">
        <f t="shared" si="1"/>
        <v>Saturday</v>
      </c>
    </row>
    <row r="53" spans="1:15" x14ac:dyDescent="0.3">
      <c r="A53" t="s">
        <v>224</v>
      </c>
      <c r="B53" t="s">
        <v>225</v>
      </c>
      <c r="C53" s="1">
        <v>46032.875</v>
      </c>
      <c r="D53" t="s">
        <v>15</v>
      </c>
      <c r="E53" t="s">
        <v>16</v>
      </c>
      <c r="F53" t="s">
        <v>50</v>
      </c>
      <c r="G53" t="s">
        <v>56</v>
      </c>
      <c r="H53" t="s">
        <v>57</v>
      </c>
      <c r="I53" t="s">
        <v>58</v>
      </c>
      <c r="J53" t="s">
        <v>226</v>
      </c>
      <c r="K53" t="s">
        <v>74</v>
      </c>
      <c r="L53" s="1">
        <v>46032</v>
      </c>
      <c r="M53" t="s">
        <v>23</v>
      </c>
      <c r="N53">
        <f t="shared" si="0"/>
        <v>2026</v>
      </c>
      <c r="O53" t="str">
        <f t="shared" si="1"/>
        <v>Saturday</v>
      </c>
    </row>
    <row r="54" spans="1:15" x14ac:dyDescent="0.3">
      <c r="A54" t="s">
        <v>227</v>
      </c>
      <c r="B54" t="s">
        <v>228</v>
      </c>
      <c r="C54" s="1">
        <v>46032.875</v>
      </c>
      <c r="D54" t="s">
        <v>15</v>
      </c>
      <c r="E54" t="s">
        <v>63</v>
      </c>
      <c r="F54" t="s">
        <v>50</v>
      </c>
      <c r="G54" t="s">
        <v>96</v>
      </c>
      <c r="H54" t="s">
        <v>97</v>
      </c>
      <c r="I54" t="s">
        <v>58</v>
      </c>
      <c r="J54" t="s">
        <v>229</v>
      </c>
      <c r="K54" t="s">
        <v>22</v>
      </c>
      <c r="L54" s="1">
        <v>46032</v>
      </c>
      <c r="M54" t="s">
        <v>23</v>
      </c>
      <c r="N54">
        <f t="shared" si="0"/>
        <v>2026</v>
      </c>
      <c r="O54" t="str">
        <f t="shared" si="1"/>
        <v>Saturday</v>
      </c>
    </row>
    <row r="55" spans="1:15" x14ac:dyDescent="0.3">
      <c r="A55" t="s">
        <v>230</v>
      </c>
      <c r="B55" t="s">
        <v>231</v>
      </c>
      <c r="C55" s="1">
        <v>46033.375</v>
      </c>
      <c r="D55" t="s">
        <v>15</v>
      </c>
      <c r="E55" t="s">
        <v>16</v>
      </c>
      <c r="F55" t="s">
        <v>50</v>
      </c>
      <c r="G55" t="s">
        <v>86</v>
      </c>
      <c r="H55" t="s">
        <v>87</v>
      </c>
      <c r="I55" t="s">
        <v>82</v>
      </c>
      <c r="J55" t="s">
        <v>232</v>
      </c>
      <c r="K55" t="s">
        <v>74</v>
      </c>
      <c r="L55" s="1">
        <v>46033</v>
      </c>
      <c r="M55" t="s">
        <v>23</v>
      </c>
      <c r="N55">
        <f t="shared" si="0"/>
        <v>2026</v>
      </c>
      <c r="O55" t="str">
        <f t="shared" si="1"/>
        <v>Sunday</v>
      </c>
    </row>
    <row r="56" spans="1:15" x14ac:dyDescent="0.3">
      <c r="A56" t="s">
        <v>233</v>
      </c>
      <c r="B56" t="s">
        <v>234</v>
      </c>
      <c r="C56" s="1">
        <v>46033.791666666657</v>
      </c>
      <c r="D56" t="s">
        <v>15</v>
      </c>
      <c r="E56" t="s">
        <v>26</v>
      </c>
      <c r="F56" t="s">
        <v>42</v>
      </c>
      <c r="G56" t="s">
        <v>160</v>
      </c>
      <c r="H56" t="s">
        <v>161</v>
      </c>
      <c r="I56" t="s">
        <v>82</v>
      </c>
      <c r="J56" t="s">
        <v>235</v>
      </c>
      <c r="K56" t="s">
        <v>60</v>
      </c>
      <c r="L56" s="1">
        <v>46033</v>
      </c>
      <c r="M56" t="s">
        <v>23</v>
      </c>
      <c r="N56">
        <f t="shared" si="0"/>
        <v>2026</v>
      </c>
      <c r="O56" t="str">
        <f t="shared" si="1"/>
        <v>Sunday</v>
      </c>
    </row>
    <row r="57" spans="1:15" x14ac:dyDescent="0.3">
      <c r="A57" t="s">
        <v>236</v>
      </c>
      <c r="B57" t="s">
        <v>237</v>
      </c>
      <c r="C57" s="1">
        <v>46033.875</v>
      </c>
      <c r="D57" t="s">
        <v>15</v>
      </c>
      <c r="E57" t="s">
        <v>16</v>
      </c>
      <c r="F57" t="s">
        <v>17</v>
      </c>
      <c r="G57" t="s">
        <v>149</v>
      </c>
      <c r="H57" t="s">
        <v>150</v>
      </c>
      <c r="I57" t="s">
        <v>37</v>
      </c>
      <c r="J57" t="s">
        <v>238</v>
      </c>
      <c r="K57" t="s">
        <v>74</v>
      </c>
      <c r="L57" s="1">
        <v>46033</v>
      </c>
      <c r="M57" t="s">
        <v>23</v>
      </c>
      <c r="N57">
        <f t="shared" si="0"/>
        <v>2026</v>
      </c>
      <c r="O57" t="str">
        <f t="shared" si="1"/>
        <v>Sunday</v>
      </c>
    </row>
    <row r="58" spans="1:15" x14ac:dyDescent="0.3">
      <c r="A58" t="s">
        <v>239</v>
      </c>
      <c r="B58" t="s">
        <v>240</v>
      </c>
      <c r="C58" s="1">
        <v>46034.458333333343</v>
      </c>
      <c r="D58" t="s">
        <v>15</v>
      </c>
      <c r="E58" t="s">
        <v>26</v>
      </c>
      <c r="F58" t="s">
        <v>17</v>
      </c>
      <c r="G58" t="s">
        <v>126</v>
      </c>
      <c r="H58" t="s">
        <v>127</v>
      </c>
      <c r="I58" t="s">
        <v>45</v>
      </c>
      <c r="J58" t="s">
        <v>241</v>
      </c>
      <c r="K58" t="s">
        <v>74</v>
      </c>
      <c r="L58" s="1">
        <v>46034</v>
      </c>
      <c r="M58" t="s">
        <v>23</v>
      </c>
      <c r="N58">
        <f t="shared" si="0"/>
        <v>2026</v>
      </c>
      <c r="O58" t="str">
        <f t="shared" si="1"/>
        <v>Monday</v>
      </c>
    </row>
    <row r="59" spans="1:15" x14ac:dyDescent="0.3">
      <c r="A59" t="s">
        <v>242</v>
      </c>
      <c r="B59" t="s">
        <v>243</v>
      </c>
      <c r="C59" s="1">
        <v>46034.625</v>
      </c>
      <c r="D59" t="s">
        <v>2971</v>
      </c>
      <c r="E59" t="s">
        <v>63</v>
      </c>
      <c r="F59" t="s">
        <v>17</v>
      </c>
      <c r="G59" t="s">
        <v>149</v>
      </c>
      <c r="H59" t="s">
        <v>150</v>
      </c>
      <c r="I59" t="s">
        <v>37</v>
      </c>
      <c r="J59" t="s">
        <v>244</v>
      </c>
      <c r="K59" t="s">
        <v>47</v>
      </c>
      <c r="L59" s="1">
        <v>46034</v>
      </c>
      <c r="M59" t="s">
        <v>23</v>
      </c>
      <c r="N59">
        <f t="shared" si="0"/>
        <v>2026</v>
      </c>
      <c r="O59" t="str">
        <f t="shared" si="1"/>
        <v>Monday</v>
      </c>
    </row>
    <row r="60" spans="1:15" x14ac:dyDescent="0.3">
      <c r="A60" t="s">
        <v>245</v>
      </c>
      <c r="B60" t="s">
        <v>246</v>
      </c>
      <c r="C60" s="1">
        <v>46034.666666666657</v>
      </c>
      <c r="D60" t="s">
        <v>15</v>
      </c>
      <c r="E60" t="s">
        <v>16</v>
      </c>
      <c r="F60" t="s">
        <v>17</v>
      </c>
      <c r="G60" t="s">
        <v>126</v>
      </c>
      <c r="H60" t="s">
        <v>127</v>
      </c>
      <c r="I60" t="s">
        <v>45</v>
      </c>
      <c r="J60" t="s">
        <v>247</v>
      </c>
      <c r="K60" t="s">
        <v>74</v>
      </c>
      <c r="L60" s="1">
        <v>46034</v>
      </c>
      <c r="M60" t="s">
        <v>23</v>
      </c>
      <c r="N60">
        <f t="shared" si="0"/>
        <v>2026</v>
      </c>
      <c r="O60" t="str">
        <f t="shared" si="1"/>
        <v>Monday</v>
      </c>
    </row>
    <row r="61" spans="1:15" x14ac:dyDescent="0.3">
      <c r="A61" t="s">
        <v>248</v>
      </c>
      <c r="B61" t="s">
        <v>249</v>
      </c>
      <c r="C61" s="1">
        <v>46034.75</v>
      </c>
      <c r="D61" t="s">
        <v>15</v>
      </c>
      <c r="E61" t="s">
        <v>63</v>
      </c>
      <c r="F61" t="s">
        <v>50</v>
      </c>
      <c r="G61" t="s">
        <v>250</v>
      </c>
      <c r="H61" t="s">
        <v>251</v>
      </c>
      <c r="I61" t="s">
        <v>108</v>
      </c>
      <c r="J61" t="s">
        <v>252</v>
      </c>
      <c r="K61" t="s">
        <v>31</v>
      </c>
      <c r="L61" s="1">
        <v>46034</v>
      </c>
      <c r="M61" t="s">
        <v>23</v>
      </c>
      <c r="N61">
        <f t="shared" si="0"/>
        <v>2026</v>
      </c>
      <c r="O61" t="str">
        <f t="shared" si="1"/>
        <v>Monday</v>
      </c>
    </row>
    <row r="62" spans="1:15" x14ac:dyDescent="0.3">
      <c r="A62" t="s">
        <v>253</v>
      </c>
      <c r="B62" t="s">
        <v>254</v>
      </c>
      <c r="C62" s="1">
        <v>46034.833333333343</v>
      </c>
      <c r="D62" t="s">
        <v>15</v>
      </c>
      <c r="E62" t="s">
        <v>41</v>
      </c>
      <c r="F62" t="s">
        <v>17</v>
      </c>
      <c r="G62" t="s">
        <v>250</v>
      </c>
      <c r="H62" t="s">
        <v>251</v>
      </c>
      <c r="I62" t="s">
        <v>108</v>
      </c>
      <c r="J62" t="s">
        <v>255</v>
      </c>
      <c r="K62" t="s">
        <v>74</v>
      </c>
      <c r="L62" s="1">
        <v>46034</v>
      </c>
      <c r="M62" t="s">
        <v>23</v>
      </c>
      <c r="N62">
        <f t="shared" si="0"/>
        <v>2026</v>
      </c>
      <c r="O62" t="str">
        <f t="shared" si="1"/>
        <v>Monday</v>
      </c>
    </row>
    <row r="63" spans="1:15" x14ac:dyDescent="0.3">
      <c r="A63" t="s">
        <v>256</v>
      </c>
      <c r="B63" t="s">
        <v>257</v>
      </c>
      <c r="C63" s="1">
        <v>46035.375</v>
      </c>
      <c r="D63" t="s">
        <v>15</v>
      </c>
      <c r="E63" t="s">
        <v>63</v>
      </c>
      <c r="F63" t="s">
        <v>17</v>
      </c>
      <c r="G63" t="s">
        <v>250</v>
      </c>
      <c r="H63" t="s">
        <v>251</v>
      </c>
      <c r="I63" t="s">
        <v>108</v>
      </c>
      <c r="J63" t="s">
        <v>258</v>
      </c>
      <c r="K63" t="s">
        <v>74</v>
      </c>
      <c r="L63" s="1">
        <v>46035</v>
      </c>
      <c r="M63" t="s">
        <v>23</v>
      </c>
      <c r="N63">
        <f t="shared" si="0"/>
        <v>2026</v>
      </c>
      <c r="O63" t="str">
        <f t="shared" si="1"/>
        <v>Tuesday</v>
      </c>
    </row>
    <row r="64" spans="1:15" x14ac:dyDescent="0.3">
      <c r="A64" t="s">
        <v>259</v>
      </c>
      <c r="B64" t="s">
        <v>260</v>
      </c>
      <c r="C64" s="1">
        <v>46035.375</v>
      </c>
      <c r="D64" t="s">
        <v>15</v>
      </c>
      <c r="E64" t="s">
        <v>16</v>
      </c>
      <c r="F64" t="s">
        <v>42</v>
      </c>
      <c r="G64" t="s">
        <v>106</v>
      </c>
      <c r="H64" t="s">
        <v>107</v>
      </c>
      <c r="I64" t="s">
        <v>108</v>
      </c>
      <c r="J64" t="s">
        <v>261</v>
      </c>
      <c r="K64" t="s">
        <v>74</v>
      </c>
      <c r="L64" s="1">
        <v>46035</v>
      </c>
      <c r="M64" t="s">
        <v>23</v>
      </c>
      <c r="N64">
        <f t="shared" si="0"/>
        <v>2026</v>
      </c>
      <c r="O64" t="str">
        <f t="shared" si="1"/>
        <v>Tuesday</v>
      </c>
    </row>
    <row r="65" spans="1:15" x14ac:dyDescent="0.3">
      <c r="A65" t="s">
        <v>262</v>
      </c>
      <c r="B65" t="s">
        <v>263</v>
      </c>
      <c r="C65" s="1">
        <v>46035.5</v>
      </c>
      <c r="D65" t="s">
        <v>15</v>
      </c>
      <c r="E65" t="s">
        <v>41</v>
      </c>
      <c r="F65" t="s">
        <v>50</v>
      </c>
      <c r="G65" t="s">
        <v>86</v>
      </c>
      <c r="H65" t="s">
        <v>87</v>
      </c>
      <c r="I65" t="s">
        <v>82</v>
      </c>
      <c r="J65" t="s">
        <v>264</v>
      </c>
      <c r="K65" t="s">
        <v>31</v>
      </c>
      <c r="L65" s="1">
        <v>46035</v>
      </c>
      <c r="M65" t="s">
        <v>23</v>
      </c>
      <c r="N65">
        <f t="shared" si="0"/>
        <v>2026</v>
      </c>
      <c r="O65" t="str">
        <f t="shared" si="1"/>
        <v>Tuesday</v>
      </c>
    </row>
    <row r="66" spans="1:15" x14ac:dyDescent="0.3">
      <c r="A66" t="s">
        <v>265</v>
      </c>
      <c r="B66" t="s">
        <v>266</v>
      </c>
      <c r="C66" s="1">
        <v>46035.583333333343</v>
      </c>
      <c r="D66" t="s">
        <v>15</v>
      </c>
      <c r="E66" t="s">
        <v>63</v>
      </c>
      <c r="F66" t="s">
        <v>17</v>
      </c>
      <c r="G66" t="s">
        <v>86</v>
      </c>
      <c r="H66" t="s">
        <v>87</v>
      </c>
      <c r="I66" t="s">
        <v>82</v>
      </c>
      <c r="J66" t="s">
        <v>267</v>
      </c>
      <c r="K66" t="s">
        <v>22</v>
      </c>
      <c r="L66" s="1">
        <v>46035</v>
      </c>
      <c r="M66" t="s">
        <v>23</v>
      </c>
      <c r="N66">
        <f t="shared" si="0"/>
        <v>2026</v>
      </c>
      <c r="O66" t="str">
        <f t="shared" si="1"/>
        <v>Tuesday</v>
      </c>
    </row>
    <row r="67" spans="1:15" x14ac:dyDescent="0.3">
      <c r="A67" t="s">
        <v>268</v>
      </c>
      <c r="B67" t="s">
        <v>269</v>
      </c>
      <c r="C67" s="1">
        <v>46035.583333333343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t="s">
        <v>270</v>
      </c>
      <c r="K67" t="s">
        <v>47</v>
      </c>
      <c r="L67" s="1">
        <v>46035</v>
      </c>
      <c r="M67" t="s">
        <v>23</v>
      </c>
      <c r="N67">
        <f t="shared" ref="N67:N130" si="2">YEAR(C67)</f>
        <v>2026</v>
      </c>
      <c r="O67" t="str">
        <f t="shared" ref="O67:O130" si="3">TEXT(C67,"dddd")</f>
        <v>Tuesday</v>
      </c>
    </row>
    <row r="68" spans="1:15" x14ac:dyDescent="0.3">
      <c r="A68" t="s">
        <v>271</v>
      </c>
      <c r="B68" t="s">
        <v>272</v>
      </c>
      <c r="C68" s="1">
        <v>46035.666666666657</v>
      </c>
      <c r="D68" t="s">
        <v>15</v>
      </c>
      <c r="E68" t="s">
        <v>16</v>
      </c>
      <c r="F68" t="s">
        <v>17</v>
      </c>
      <c r="G68" t="s">
        <v>191</v>
      </c>
      <c r="H68" t="s">
        <v>192</v>
      </c>
      <c r="I68" t="s">
        <v>45</v>
      </c>
      <c r="J68" t="s">
        <v>273</v>
      </c>
      <c r="K68" t="s">
        <v>22</v>
      </c>
      <c r="L68" s="1">
        <v>46035</v>
      </c>
      <c r="M68" t="s">
        <v>23</v>
      </c>
      <c r="N68">
        <f t="shared" si="2"/>
        <v>2026</v>
      </c>
      <c r="O68" t="str">
        <f t="shared" si="3"/>
        <v>Tuesday</v>
      </c>
    </row>
    <row r="69" spans="1:15" x14ac:dyDescent="0.3">
      <c r="A69" t="s">
        <v>274</v>
      </c>
      <c r="B69" t="s">
        <v>275</v>
      </c>
      <c r="C69" s="1">
        <v>46035.708333333343</v>
      </c>
      <c r="D69" t="s">
        <v>15</v>
      </c>
      <c r="E69" t="s">
        <v>41</v>
      </c>
      <c r="F69" t="s">
        <v>17</v>
      </c>
      <c r="G69" t="s">
        <v>86</v>
      </c>
      <c r="H69" t="s">
        <v>87</v>
      </c>
      <c r="I69" t="s">
        <v>82</v>
      </c>
      <c r="J69" t="s">
        <v>276</v>
      </c>
      <c r="K69" t="s">
        <v>60</v>
      </c>
      <c r="L69" s="1">
        <v>46035</v>
      </c>
      <c r="M69" t="s">
        <v>23</v>
      </c>
      <c r="N69">
        <f t="shared" si="2"/>
        <v>2026</v>
      </c>
      <c r="O69" t="str">
        <f t="shared" si="3"/>
        <v>Tuesday</v>
      </c>
    </row>
    <row r="70" spans="1:15" x14ac:dyDescent="0.3">
      <c r="A70" t="s">
        <v>277</v>
      </c>
      <c r="B70" t="s">
        <v>278</v>
      </c>
      <c r="C70" s="1">
        <v>46035.75</v>
      </c>
      <c r="D70" t="s">
        <v>15</v>
      </c>
      <c r="E70" t="s">
        <v>34</v>
      </c>
      <c r="F70" t="s">
        <v>50</v>
      </c>
      <c r="G70" t="s">
        <v>91</v>
      </c>
      <c r="H70" t="s">
        <v>92</v>
      </c>
      <c r="I70" t="s">
        <v>37</v>
      </c>
      <c r="J70" t="s">
        <v>279</v>
      </c>
      <c r="K70" t="s">
        <v>31</v>
      </c>
      <c r="L70" s="1">
        <v>46035</v>
      </c>
      <c r="M70" t="s">
        <v>23</v>
      </c>
      <c r="N70">
        <f t="shared" si="2"/>
        <v>2026</v>
      </c>
      <c r="O70" t="str">
        <f t="shared" si="3"/>
        <v>Tuesday</v>
      </c>
    </row>
    <row r="71" spans="1:15" x14ac:dyDescent="0.3">
      <c r="A71" t="s">
        <v>280</v>
      </c>
      <c r="B71" t="s">
        <v>281</v>
      </c>
      <c r="C71" s="1">
        <v>46035.75</v>
      </c>
      <c r="D71" t="s">
        <v>15</v>
      </c>
      <c r="E71" t="s">
        <v>34</v>
      </c>
      <c r="F71" t="s">
        <v>17</v>
      </c>
      <c r="G71" t="s">
        <v>106</v>
      </c>
      <c r="H71" t="s">
        <v>107</v>
      </c>
      <c r="I71" t="s">
        <v>108</v>
      </c>
      <c r="J71" t="s">
        <v>282</v>
      </c>
      <c r="K71" t="s">
        <v>47</v>
      </c>
      <c r="L71" s="1">
        <v>46035</v>
      </c>
      <c r="M71" t="s">
        <v>23</v>
      </c>
      <c r="N71">
        <f t="shared" si="2"/>
        <v>2026</v>
      </c>
      <c r="O71" t="str">
        <f t="shared" si="3"/>
        <v>Tuesday</v>
      </c>
    </row>
    <row r="72" spans="1:15" x14ac:dyDescent="0.3">
      <c r="A72" t="s">
        <v>283</v>
      </c>
      <c r="B72" t="s">
        <v>284</v>
      </c>
      <c r="C72" s="1">
        <v>46036.5</v>
      </c>
      <c r="D72" t="s">
        <v>15</v>
      </c>
      <c r="E72" t="s">
        <v>16</v>
      </c>
      <c r="F72" t="s">
        <v>17</v>
      </c>
      <c r="G72" t="s">
        <v>165</v>
      </c>
      <c r="H72" t="s">
        <v>166</v>
      </c>
      <c r="I72" t="s">
        <v>29</v>
      </c>
      <c r="J72" t="s">
        <v>285</v>
      </c>
      <c r="K72" t="s">
        <v>31</v>
      </c>
      <c r="L72" s="1">
        <v>46036</v>
      </c>
      <c r="M72" t="s">
        <v>23</v>
      </c>
      <c r="N72">
        <f t="shared" si="2"/>
        <v>2026</v>
      </c>
      <c r="O72" t="str">
        <f t="shared" si="3"/>
        <v>Wednesday</v>
      </c>
    </row>
    <row r="73" spans="1:15" x14ac:dyDescent="0.3">
      <c r="A73" t="s">
        <v>286</v>
      </c>
      <c r="B73" t="s">
        <v>287</v>
      </c>
      <c r="C73" s="1">
        <v>46036.833333333343</v>
      </c>
      <c r="D73" t="s">
        <v>15</v>
      </c>
      <c r="E73" t="s">
        <v>34</v>
      </c>
      <c r="F73" t="s">
        <v>50</v>
      </c>
      <c r="G73" t="s">
        <v>160</v>
      </c>
      <c r="H73" t="s">
        <v>161</v>
      </c>
      <c r="I73" t="s">
        <v>82</v>
      </c>
      <c r="J73" t="s">
        <v>288</v>
      </c>
      <c r="K73" t="s">
        <v>74</v>
      </c>
      <c r="L73" s="1">
        <v>46036</v>
      </c>
      <c r="M73" t="s">
        <v>23</v>
      </c>
      <c r="N73">
        <f t="shared" si="2"/>
        <v>2026</v>
      </c>
      <c r="O73" t="str">
        <f t="shared" si="3"/>
        <v>Wednesday</v>
      </c>
    </row>
    <row r="74" spans="1:15" x14ac:dyDescent="0.3">
      <c r="A74" t="s">
        <v>289</v>
      </c>
      <c r="B74" t="s">
        <v>290</v>
      </c>
      <c r="C74" s="1">
        <v>46036.875</v>
      </c>
      <c r="D74" t="s">
        <v>15</v>
      </c>
      <c r="E74" t="s">
        <v>16</v>
      </c>
      <c r="F74" t="s">
        <v>17</v>
      </c>
      <c r="G74" t="s">
        <v>149</v>
      </c>
      <c r="H74" t="s">
        <v>150</v>
      </c>
      <c r="I74" t="s">
        <v>37</v>
      </c>
      <c r="J74" t="s">
        <v>291</v>
      </c>
      <c r="K74" t="s">
        <v>22</v>
      </c>
      <c r="L74" s="1">
        <v>46036</v>
      </c>
      <c r="M74" t="s">
        <v>23</v>
      </c>
      <c r="N74">
        <f t="shared" si="2"/>
        <v>2026</v>
      </c>
      <c r="O74" t="str">
        <f t="shared" si="3"/>
        <v>Wednesday</v>
      </c>
    </row>
    <row r="75" spans="1:15" x14ac:dyDescent="0.3">
      <c r="A75" t="s">
        <v>292</v>
      </c>
      <c r="B75" t="s">
        <v>293</v>
      </c>
      <c r="C75" s="1">
        <v>46037.333333333343</v>
      </c>
      <c r="D75" t="s">
        <v>15</v>
      </c>
      <c r="E75" t="s">
        <v>16</v>
      </c>
      <c r="F75" t="s">
        <v>17</v>
      </c>
      <c r="G75" t="s">
        <v>149</v>
      </c>
      <c r="H75" t="s">
        <v>150</v>
      </c>
      <c r="I75" t="s">
        <v>37</v>
      </c>
      <c r="J75" t="s">
        <v>294</v>
      </c>
      <c r="K75" t="s">
        <v>74</v>
      </c>
      <c r="L75" s="1">
        <v>46037</v>
      </c>
      <c r="M75" t="s">
        <v>23</v>
      </c>
      <c r="N75">
        <f t="shared" si="2"/>
        <v>2026</v>
      </c>
      <c r="O75" t="str">
        <f t="shared" si="3"/>
        <v>Thursday</v>
      </c>
    </row>
    <row r="76" spans="1:15" x14ac:dyDescent="0.3">
      <c r="A76" t="s">
        <v>295</v>
      </c>
      <c r="B76" t="s">
        <v>296</v>
      </c>
      <c r="C76" s="1">
        <v>46037.416666666657</v>
      </c>
      <c r="D76" t="s">
        <v>15</v>
      </c>
      <c r="E76" t="s">
        <v>16</v>
      </c>
      <c r="F76" t="s">
        <v>17</v>
      </c>
      <c r="G76" t="s">
        <v>191</v>
      </c>
      <c r="H76" t="s">
        <v>192</v>
      </c>
      <c r="I76" t="s">
        <v>45</v>
      </c>
      <c r="J76" t="s">
        <v>297</v>
      </c>
      <c r="K76" t="s">
        <v>60</v>
      </c>
      <c r="L76" s="1">
        <v>46037</v>
      </c>
      <c r="M76" t="s">
        <v>23</v>
      </c>
      <c r="N76">
        <f t="shared" si="2"/>
        <v>2026</v>
      </c>
      <c r="O76" t="str">
        <f t="shared" si="3"/>
        <v>Thursday</v>
      </c>
    </row>
    <row r="77" spans="1:15" x14ac:dyDescent="0.3">
      <c r="A77" t="s">
        <v>298</v>
      </c>
      <c r="B77" t="s">
        <v>299</v>
      </c>
      <c r="C77" s="1">
        <v>46037.541666666657</v>
      </c>
      <c r="D77" t="s">
        <v>15</v>
      </c>
      <c r="E77" t="s">
        <v>41</v>
      </c>
      <c r="F77" t="s">
        <v>50</v>
      </c>
      <c r="G77" t="s">
        <v>250</v>
      </c>
      <c r="H77" t="s">
        <v>251</v>
      </c>
      <c r="I77" t="s">
        <v>108</v>
      </c>
      <c r="J77" t="s">
        <v>300</v>
      </c>
      <c r="K77" t="s">
        <v>47</v>
      </c>
      <c r="L77" s="1">
        <v>46037</v>
      </c>
      <c r="M77" t="s">
        <v>23</v>
      </c>
      <c r="N77">
        <f t="shared" si="2"/>
        <v>2026</v>
      </c>
      <c r="O77" t="str">
        <f t="shared" si="3"/>
        <v>Thursday</v>
      </c>
    </row>
    <row r="78" spans="1:15" x14ac:dyDescent="0.3">
      <c r="A78" t="s">
        <v>301</v>
      </c>
      <c r="B78" t="s">
        <v>302</v>
      </c>
      <c r="C78" s="1">
        <v>46037.833333333343</v>
      </c>
      <c r="D78" t="s">
        <v>15</v>
      </c>
      <c r="E78" t="s">
        <v>16</v>
      </c>
      <c r="F78" t="s">
        <v>50</v>
      </c>
      <c r="G78" t="s">
        <v>106</v>
      </c>
      <c r="H78" t="s">
        <v>107</v>
      </c>
      <c r="I78" t="s">
        <v>108</v>
      </c>
      <c r="J78" t="s">
        <v>303</v>
      </c>
      <c r="K78" t="s">
        <v>74</v>
      </c>
      <c r="L78" s="1">
        <v>46037</v>
      </c>
      <c r="M78" t="s">
        <v>23</v>
      </c>
      <c r="N78">
        <f t="shared" si="2"/>
        <v>2026</v>
      </c>
      <c r="O78" t="str">
        <f t="shared" si="3"/>
        <v>Thursday</v>
      </c>
    </row>
    <row r="79" spans="1:15" x14ac:dyDescent="0.3">
      <c r="A79" t="s">
        <v>304</v>
      </c>
      <c r="B79" t="s">
        <v>305</v>
      </c>
      <c r="C79" s="1">
        <v>46038.375</v>
      </c>
      <c r="D79" t="s">
        <v>15</v>
      </c>
      <c r="E79" t="s">
        <v>26</v>
      </c>
      <c r="F79" t="s">
        <v>42</v>
      </c>
      <c r="G79" t="s">
        <v>96</v>
      </c>
      <c r="H79" t="s">
        <v>97</v>
      </c>
      <c r="I79" t="s">
        <v>58</v>
      </c>
      <c r="J79" t="s">
        <v>306</v>
      </c>
      <c r="K79" t="s">
        <v>74</v>
      </c>
      <c r="L79" s="1">
        <v>46038</v>
      </c>
      <c r="M79" t="s">
        <v>23</v>
      </c>
      <c r="N79">
        <f t="shared" si="2"/>
        <v>2026</v>
      </c>
      <c r="O79" t="str">
        <f t="shared" si="3"/>
        <v>Friday</v>
      </c>
    </row>
    <row r="80" spans="1:15" x14ac:dyDescent="0.3">
      <c r="A80" t="s">
        <v>307</v>
      </c>
      <c r="B80" t="s">
        <v>308</v>
      </c>
      <c r="C80" s="1">
        <v>46038.458333333343</v>
      </c>
      <c r="D80" t="s">
        <v>15</v>
      </c>
      <c r="E80" t="s">
        <v>34</v>
      </c>
      <c r="F80" t="s">
        <v>50</v>
      </c>
      <c r="G80" t="s">
        <v>250</v>
      </c>
      <c r="H80" t="s">
        <v>251</v>
      </c>
      <c r="I80" t="s">
        <v>108</v>
      </c>
      <c r="J80" t="s">
        <v>309</v>
      </c>
      <c r="K80" t="s">
        <v>22</v>
      </c>
      <c r="L80" s="1">
        <v>46038</v>
      </c>
      <c r="M80" t="s">
        <v>23</v>
      </c>
      <c r="N80">
        <f t="shared" si="2"/>
        <v>2026</v>
      </c>
      <c r="O80" t="str">
        <f t="shared" si="3"/>
        <v>Friday</v>
      </c>
    </row>
    <row r="81" spans="1:15" x14ac:dyDescent="0.3">
      <c r="A81" t="s">
        <v>310</v>
      </c>
      <c r="B81" t="s">
        <v>311</v>
      </c>
      <c r="C81" s="1">
        <v>46038.541666666657</v>
      </c>
      <c r="D81" t="s">
        <v>15</v>
      </c>
      <c r="E81" t="s">
        <v>26</v>
      </c>
      <c r="F81" t="s">
        <v>17</v>
      </c>
      <c r="G81" t="s">
        <v>250</v>
      </c>
      <c r="H81" t="s">
        <v>251</v>
      </c>
      <c r="I81" t="s">
        <v>108</v>
      </c>
      <c r="J81" t="s">
        <v>312</v>
      </c>
      <c r="K81" t="s">
        <v>60</v>
      </c>
      <c r="L81" s="1">
        <v>46038</v>
      </c>
      <c r="M81" t="s">
        <v>23</v>
      </c>
      <c r="N81">
        <f t="shared" si="2"/>
        <v>2026</v>
      </c>
      <c r="O81" t="str">
        <f t="shared" si="3"/>
        <v>Friday</v>
      </c>
    </row>
    <row r="82" spans="1:15" x14ac:dyDescent="0.3">
      <c r="A82" t="s">
        <v>313</v>
      </c>
      <c r="B82" t="s">
        <v>314</v>
      </c>
      <c r="C82" s="1">
        <v>46038.541666666657</v>
      </c>
      <c r="D82" t="s">
        <v>15</v>
      </c>
      <c r="E82" t="s">
        <v>26</v>
      </c>
      <c r="F82" t="s">
        <v>17</v>
      </c>
      <c r="G82" t="s">
        <v>112</v>
      </c>
      <c r="H82" t="s">
        <v>113</v>
      </c>
      <c r="I82" t="s">
        <v>37</v>
      </c>
      <c r="J82" t="s">
        <v>315</v>
      </c>
      <c r="K82" t="s">
        <v>60</v>
      </c>
      <c r="L82" s="1">
        <v>46038</v>
      </c>
      <c r="M82" t="s">
        <v>23</v>
      </c>
      <c r="N82">
        <f t="shared" si="2"/>
        <v>2026</v>
      </c>
      <c r="O82" t="str">
        <f t="shared" si="3"/>
        <v>Friday</v>
      </c>
    </row>
    <row r="83" spans="1:15" x14ac:dyDescent="0.3">
      <c r="A83" t="s">
        <v>316</v>
      </c>
      <c r="B83" t="s">
        <v>317</v>
      </c>
      <c r="C83" s="1">
        <v>46038.708333333343</v>
      </c>
      <c r="D83" t="s">
        <v>15</v>
      </c>
      <c r="E83" t="s">
        <v>16</v>
      </c>
      <c r="F83" t="s">
        <v>17</v>
      </c>
      <c r="G83" t="s">
        <v>43</v>
      </c>
      <c r="H83" t="s">
        <v>44</v>
      </c>
      <c r="I83" t="s">
        <v>45</v>
      </c>
      <c r="J83" t="s">
        <v>318</v>
      </c>
      <c r="K83" t="s">
        <v>31</v>
      </c>
      <c r="L83" s="1">
        <v>46038</v>
      </c>
      <c r="M83" t="s">
        <v>23</v>
      </c>
      <c r="N83">
        <f t="shared" si="2"/>
        <v>2026</v>
      </c>
      <c r="O83" t="str">
        <f t="shared" si="3"/>
        <v>Friday</v>
      </c>
    </row>
    <row r="84" spans="1:15" x14ac:dyDescent="0.3">
      <c r="A84" t="s">
        <v>319</v>
      </c>
      <c r="B84" t="s">
        <v>269</v>
      </c>
      <c r="C84" s="1">
        <v>46039.333333333343</v>
      </c>
      <c r="D84" t="s">
        <v>15</v>
      </c>
      <c r="E84" t="s">
        <v>34</v>
      </c>
      <c r="F84" t="s">
        <v>17</v>
      </c>
      <c r="G84" t="s">
        <v>149</v>
      </c>
      <c r="H84" t="s">
        <v>150</v>
      </c>
      <c r="I84" t="s">
        <v>37</v>
      </c>
      <c r="J84" t="s">
        <v>320</v>
      </c>
      <c r="K84" t="s">
        <v>31</v>
      </c>
      <c r="L84" s="1">
        <v>46039</v>
      </c>
      <c r="M84" t="s">
        <v>23</v>
      </c>
      <c r="N84">
        <f t="shared" si="2"/>
        <v>2026</v>
      </c>
      <c r="O84" t="str">
        <f t="shared" si="3"/>
        <v>Saturday</v>
      </c>
    </row>
    <row r="85" spans="1:15" x14ac:dyDescent="0.3">
      <c r="A85" t="s">
        <v>321</v>
      </c>
      <c r="B85" t="s">
        <v>322</v>
      </c>
      <c r="C85" s="1">
        <v>46039.416666666657</v>
      </c>
      <c r="D85" t="s">
        <v>15</v>
      </c>
      <c r="E85" t="s">
        <v>16</v>
      </c>
      <c r="F85" t="s">
        <v>50</v>
      </c>
      <c r="G85" t="s">
        <v>56</v>
      </c>
      <c r="H85" t="s">
        <v>57</v>
      </c>
      <c r="I85" t="s">
        <v>58</v>
      </c>
      <c r="J85" t="s">
        <v>323</v>
      </c>
      <c r="K85" t="s">
        <v>22</v>
      </c>
      <c r="L85" s="1">
        <v>46039</v>
      </c>
      <c r="M85" t="s">
        <v>23</v>
      </c>
      <c r="N85">
        <f t="shared" si="2"/>
        <v>2026</v>
      </c>
      <c r="O85" t="str">
        <f t="shared" si="3"/>
        <v>Saturday</v>
      </c>
    </row>
    <row r="86" spans="1:15" x14ac:dyDescent="0.3">
      <c r="A86" t="s">
        <v>324</v>
      </c>
      <c r="B86" t="s">
        <v>325</v>
      </c>
      <c r="C86" s="1">
        <v>46039.5</v>
      </c>
      <c r="D86" t="s">
        <v>15</v>
      </c>
      <c r="E86" t="s">
        <v>34</v>
      </c>
      <c r="F86" t="s">
        <v>50</v>
      </c>
      <c r="G86" t="s">
        <v>51</v>
      </c>
      <c r="H86" t="s">
        <v>52</v>
      </c>
      <c r="I86" t="s">
        <v>20</v>
      </c>
      <c r="J86" t="s">
        <v>326</v>
      </c>
      <c r="K86" t="s">
        <v>74</v>
      </c>
      <c r="L86" s="1">
        <v>46039</v>
      </c>
      <c r="M86" t="s">
        <v>23</v>
      </c>
      <c r="N86">
        <f t="shared" si="2"/>
        <v>2026</v>
      </c>
      <c r="O86" t="str">
        <f t="shared" si="3"/>
        <v>Saturday</v>
      </c>
    </row>
    <row r="87" spans="1:15" x14ac:dyDescent="0.3">
      <c r="A87" t="s">
        <v>327</v>
      </c>
      <c r="B87" t="s">
        <v>328</v>
      </c>
      <c r="C87" s="1">
        <v>46039.666666666657</v>
      </c>
      <c r="D87" t="s">
        <v>15</v>
      </c>
      <c r="E87" t="s">
        <v>63</v>
      </c>
      <c r="F87" t="s">
        <v>17</v>
      </c>
      <c r="G87" t="s">
        <v>91</v>
      </c>
      <c r="H87" t="s">
        <v>92</v>
      </c>
      <c r="I87" t="s">
        <v>37</v>
      </c>
      <c r="J87" t="s">
        <v>329</v>
      </c>
      <c r="K87" t="s">
        <v>31</v>
      </c>
      <c r="L87" s="1">
        <v>46039</v>
      </c>
      <c r="M87" t="s">
        <v>23</v>
      </c>
      <c r="N87">
        <f t="shared" si="2"/>
        <v>2026</v>
      </c>
      <c r="O87" t="str">
        <f t="shared" si="3"/>
        <v>Saturday</v>
      </c>
    </row>
    <row r="88" spans="1:15" x14ac:dyDescent="0.3">
      <c r="A88" t="s">
        <v>330</v>
      </c>
      <c r="B88" t="s">
        <v>331</v>
      </c>
      <c r="C88" s="1">
        <v>46039.75</v>
      </c>
      <c r="D88" t="s">
        <v>15</v>
      </c>
      <c r="E88" t="s">
        <v>16</v>
      </c>
      <c r="F88" t="s">
        <v>17</v>
      </c>
      <c r="G88" t="s">
        <v>96</v>
      </c>
      <c r="H88" t="s">
        <v>97</v>
      </c>
      <c r="I88" t="s">
        <v>58</v>
      </c>
      <c r="J88" t="s">
        <v>332</v>
      </c>
      <c r="K88" t="s">
        <v>74</v>
      </c>
      <c r="L88" s="1">
        <v>46039</v>
      </c>
      <c r="M88" t="s">
        <v>23</v>
      </c>
      <c r="N88">
        <f t="shared" si="2"/>
        <v>2026</v>
      </c>
      <c r="O88" t="str">
        <f t="shared" si="3"/>
        <v>Saturday</v>
      </c>
    </row>
    <row r="89" spans="1:15" x14ac:dyDescent="0.3">
      <c r="A89" t="s">
        <v>333</v>
      </c>
      <c r="B89" t="s">
        <v>334</v>
      </c>
      <c r="C89" s="1">
        <v>46040.5</v>
      </c>
      <c r="D89" t="s">
        <v>15</v>
      </c>
      <c r="E89" t="s">
        <v>34</v>
      </c>
      <c r="F89" t="s">
        <v>50</v>
      </c>
      <c r="G89" t="s">
        <v>250</v>
      </c>
      <c r="H89" t="s">
        <v>251</v>
      </c>
      <c r="I89" t="s">
        <v>108</v>
      </c>
      <c r="J89" t="s">
        <v>335</v>
      </c>
      <c r="K89" t="s">
        <v>31</v>
      </c>
      <c r="L89" s="1">
        <v>46040</v>
      </c>
      <c r="M89" t="s">
        <v>23</v>
      </c>
      <c r="N89">
        <f t="shared" si="2"/>
        <v>2026</v>
      </c>
      <c r="O89" t="str">
        <f t="shared" si="3"/>
        <v>Sunday</v>
      </c>
    </row>
    <row r="90" spans="1:15" x14ac:dyDescent="0.3">
      <c r="A90" t="s">
        <v>336</v>
      </c>
      <c r="B90" t="s">
        <v>337</v>
      </c>
      <c r="C90" s="1">
        <v>46040.708333333343</v>
      </c>
      <c r="D90" t="s">
        <v>15</v>
      </c>
      <c r="E90" t="s">
        <v>16</v>
      </c>
      <c r="F90" t="s">
        <v>17</v>
      </c>
      <c r="G90" t="s">
        <v>112</v>
      </c>
      <c r="H90" t="s">
        <v>113</v>
      </c>
      <c r="I90" t="s">
        <v>37</v>
      </c>
      <c r="J90" t="s">
        <v>338</v>
      </c>
      <c r="K90" t="s">
        <v>47</v>
      </c>
      <c r="L90" s="1">
        <v>46040</v>
      </c>
      <c r="M90" t="s">
        <v>23</v>
      </c>
      <c r="N90">
        <f t="shared" si="2"/>
        <v>2026</v>
      </c>
      <c r="O90" t="str">
        <f t="shared" si="3"/>
        <v>Sunday</v>
      </c>
    </row>
    <row r="91" spans="1:15" x14ac:dyDescent="0.3">
      <c r="A91" t="s">
        <v>339</v>
      </c>
      <c r="B91" t="s">
        <v>340</v>
      </c>
      <c r="C91" s="1">
        <v>46040.875</v>
      </c>
      <c r="D91" t="s">
        <v>15</v>
      </c>
      <c r="E91" t="s">
        <v>63</v>
      </c>
      <c r="F91" t="s">
        <v>50</v>
      </c>
      <c r="G91" t="s">
        <v>18</v>
      </c>
      <c r="H91" t="s">
        <v>19</v>
      </c>
      <c r="I91" t="s">
        <v>20</v>
      </c>
      <c r="J91" t="s">
        <v>341</v>
      </c>
      <c r="K91" t="s">
        <v>60</v>
      </c>
      <c r="L91" s="1">
        <v>46040</v>
      </c>
      <c r="M91" t="s">
        <v>23</v>
      </c>
      <c r="N91">
        <f t="shared" si="2"/>
        <v>2026</v>
      </c>
      <c r="O91" t="str">
        <f t="shared" si="3"/>
        <v>Sunday</v>
      </c>
    </row>
    <row r="92" spans="1:15" x14ac:dyDescent="0.3">
      <c r="A92" t="s">
        <v>342</v>
      </c>
      <c r="B92" t="s">
        <v>343</v>
      </c>
      <c r="C92" s="1">
        <v>46041.333333333343</v>
      </c>
      <c r="D92" t="s">
        <v>15</v>
      </c>
      <c r="E92" t="s">
        <v>26</v>
      </c>
      <c r="F92" t="s">
        <v>50</v>
      </c>
      <c r="G92" t="s">
        <v>56</v>
      </c>
      <c r="H92" t="s">
        <v>57</v>
      </c>
      <c r="I92" t="s">
        <v>58</v>
      </c>
      <c r="J92" t="s">
        <v>344</v>
      </c>
      <c r="K92" t="s">
        <v>60</v>
      </c>
      <c r="L92" s="1">
        <v>46041</v>
      </c>
      <c r="M92" t="s">
        <v>23</v>
      </c>
      <c r="N92">
        <f t="shared" si="2"/>
        <v>2026</v>
      </c>
      <c r="O92" t="str">
        <f t="shared" si="3"/>
        <v>Monday</v>
      </c>
    </row>
    <row r="93" spans="1:15" x14ac:dyDescent="0.3">
      <c r="A93" t="s">
        <v>345</v>
      </c>
      <c r="B93" t="s">
        <v>346</v>
      </c>
      <c r="C93" s="1">
        <v>46041.416666666657</v>
      </c>
      <c r="D93" t="s">
        <v>15</v>
      </c>
      <c r="E93" t="s">
        <v>41</v>
      </c>
      <c r="F93" t="s">
        <v>17</v>
      </c>
      <c r="G93" t="s">
        <v>56</v>
      </c>
      <c r="H93" t="s">
        <v>57</v>
      </c>
      <c r="I93" t="s">
        <v>58</v>
      </c>
      <c r="J93" t="s">
        <v>347</v>
      </c>
      <c r="K93" t="s">
        <v>74</v>
      </c>
      <c r="L93" s="1">
        <v>46041</v>
      </c>
      <c r="M93" t="s">
        <v>23</v>
      </c>
      <c r="N93">
        <f t="shared" si="2"/>
        <v>2026</v>
      </c>
      <c r="O93" t="str">
        <f t="shared" si="3"/>
        <v>Monday</v>
      </c>
    </row>
    <row r="94" spans="1:15" x14ac:dyDescent="0.3">
      <c r="A94" t="s">
        <v>348</v>
      </c>
      <c r="B94" t="s">
        <v>349</v>
      </c>
      <c r="C94" s="1">
        <v>46041.458333333343</v>
      </c>
      <c r="D94" t="s">
        <v>2972</v>
      </c>
      <c r="E94" t="s">
        <v>34</v>
      </c>
      <c r="F94" t="s">
        <v>17</v>
      </c>
      <c r="G94" t="s">
        <v>106</v>
      </c>
      <c r="H94" t="s">
        <v>107</v>
      </c>
      <c r="I94" t="s">
        <v>108</v>
      </c>
      <c r="J94" t="s">
        <v>350</v>
      </c>
      <c r="K94" t="s">
        <v>31</v>
      </c>
      <c r="L94" s="1">
        <v>46041</v>
      </c>
      <c r="M94" t="s">
        <v>23</v>
      </c>
      <c r="N94">
        <f t="shared" si="2"/>
        <v>2026</v>
      </c>
      <c r="O94" t="str">
        <f t="shared" si="3"/>
        <v>Monday</v>
      </c>
    </row>
    <row r="95" spans="1:15" x14ac:dyDescent="0.3">
      <c r="A95" t="s">
        <v>351</v>
      </c>
      <c r="B95" t="s">
        <v>352</v>
      </c>
      <c r="C95" s="1">
        <v>46041.625</v>
      </c>
      <c r="D95" t="s">
        <v>2972</v>
      </c>
      <c r="E95" t="s">
        <v>16</v>
      </c>
      <c r="F95" t="s">
        <v>50</v>
      </c>
      <c r="G95" t="s">
        <v>101</v>
      </c>
      <c r="H95" t="s">
        <v>102</v>
      </c>
      <c r="I95" t="s">
        <v>45</v>
      </c>
      <c r="J95" t="s">
        <v>353</v>
      </c>
      <c r="K95" t="s">
        <v>31</v>
      </c>
      <c r="L95" s="1">
        <v>46041</v>
      </c>
      <c r="M95" t="s">
        <v>23</v>
      </c>
      <c r="N95">
        <f t="shared" si="2"/>
        <v>2026</v>
      </c>
      <c r="O95" t="str">
        <f t="shared" si="3"/>
        <v>Monday</v>
      </c>
    </row>
    <row r="96" spans="1:15" x14ac:dyDescent="0.3">
      <c r="A96" t="s">
        <v>354</v>
      </c>
      <c r="B96" t="s">
        <v>190</v>
      </c>
      <c r="C96" s="1">
        <v>46041.875</v>
      </c>
      <c r="D96" t="s">
        <v>2972</v>
      </c>
      <c r="E96" t="s">
        <v>63</v>
      </c>
      <c r="F96" t="s">
        <v>17</v>
      </c>
      <c r="G96" t="s">
        <v>355</v>
      </c>
      <c r="H96" t="s">
        <v>356</v>
      </c>
      <c r="I96" t="s">
        <v>82</v>
      </c>
      <c r="J96" t="s">
        <v>357</v>
      </c>
      <c r="K96" t="s">
        <v>31</v>
      </c>
      <c r="L96" s="1">
        <v>46041</v>
      </c>
      <c r="M96" t="s">
        <v>23</v>
      </c>
      <c r="N96">
        <f t="shared" si="2"/>
        <v>2026</v>
      </c>
      <c r="O96" t="str">
        <f t="shared" si="3"/>
        <v>Monday</v>
      </c>
    </row>
    <row r="97" spans="1:15" x14ac:dyDescent="0.3">
      <c r="A97" t="s">
        <v>358</v>
      </c>
      <c r="B97" t="s">
        <v>359</v>
      </c>
      <c r="C97" s="1">
        <v>46042.416666666657</v>
      </c>
      <c r="D97" t="s">
        <v>2972</v>
      </c>
      <c r="E97" t="s">
        <v>26</v>
      </c>
      <c r="F97" t="s">
        <v>50</v>
      </c>
      <c r="G97" t="s">
        <v>250</v>
      </c>
      <c r="H97" t="s">
        <v>251</v>
      </c>
      <c r="I97" t="s">
        <v>108</v>
      </c>
      <c r="J97" t="s">
        <v>360</v>
      </c>
      <c r="K97" t="s">
        <v>47</v>
      </c>
      <c r="L97" s="1">
        <v>46042</v>
      </c>
      <c r="M97" t="s">
        <v>23</v>
      </c>
      <c r="N97">
        <f t="shared" si="2"/>
        <v>2026</v>
      </c>
      <c r="O97" t="str">
        <f t="shared" si="3"/>
        <v>Tuesday</v>
      </c>
    </row>
    <row r="98" spans="1:15" x14ac:dyDescent="0.3">
      <c r="A98" t="s">
        <v>361</v>
      </c>
      <c r="B98" t="s">
        <v>362</v>
      </c>
      <c r="C98" s="1">
        <v>46042.541666666657</v>
      </c>
      <c r="D98" t="s">
        <v>2972</v>
      </c>
      <c r="E98" t="s">
        <v>63</v>
      </c>
      <c r="F98" t="s">
        <v>17</v>
      </c>
      <c r="G98" t="s">
        <v>80</v>
      </c>
      <c r="H98" t="s">
        <v>81</v>
      </c>
      <c r="I98" t="s">
        <v>82</v>
      </c>
      <c r="J98" t="s">
        <v>363</v>
      </c>
      <c r="K98" t="s">
        <v>31</v>
      </c>
      <c r="L98" s="1">
        <v>46042</v>
      </c>
      <c r="M98" t="s">
        <v>23</v>
      </c>
      <c r="N98">
        <f t="shared" si="2"/>
        <v>2026</v>
      </c>
      <c r="O98" t="str">
        <f t="shared" si="3"/>
        <v>Tuesday</v>
      </c>
    </row>
    <row r="99" spans="1:15" x14ac:dyDescent="0.3">
      <c r="A99" t="s">
        <v>364</v>
      </c>
      <c r="B99" t="s">
        <v>365</v>
      </c>
      <c r="C99" s="1">
        <v>46042.583333333343</v>
      </c>
      <c r="D99" t="s">
        <v>15</v>
      </c>
      <c r="E99" t="s">
        <v>16</v>
      </c>
      <c r="F99" t="s">
        <v>17</v>
      </c>
      <c r="G99" t="s">
        <v>355</v>
      </c>
      <c r="H99" t="s">
        <v>356</v>
      </c>
      <c r="I99" t="s">
        <v>82</v>
      </c>
      <c r="J99" t="s">
        <v>366</v>
      </c>
      <c r="K99" t="s">
        <v>74</v>
      </c>
      <c r="L99" s="1">
        <v>46042</v>
      </c>
      <c r="M99" t="s">
        <v>23</v>
      </c>
      <c r="N99">
        <f t="shared" si="2"/>
        <v>2026</v>
      </c>
      <c r="O99" t="str">
        <f t="shared" si="3"/>
        <v>Tuesday</v>
      </c>
    </row>
    <row r="100" spans="1:15" x14ac:dyDescent="0.3">
      <c r="A100" t="s">
        <v>367</v>
      </c>
      <c r="B100" t="s">
        <v>368</v>
      </c>
      <c r="C100" s="1">
        <v>46042.75</v>
      </c>
      <c r="D100" t="s">
        <v>15</v>
      </c>
      <c r="E100" t="s">
        <v>26</v>
      </c>
      <c r="F100" t="s">
        <v>17</v>
      </c>
      <c r="G100" t="s">
        <v>101</v>
      </c>
      <c r="H100" t="s">
        <v>102</v>
      </c>
      <c r="I100" t="s">
        <v>45</v>
      </c>
      <c r="J100" t="s">
        <v>369</v>
      </c>
      <c r="K100" t="s">
        <v>31</v>
      </c>
      <c r="L100" s="1">
        <v>46042</v>
      </c>
      <c r="M100" t="s">
        <v>23</v>
      </c>
      <c r="N100">
        <f t="shared" si="2"/>
        <v>2026</v>
      </c>
      <c r="O100" t="str">
        <f t="shared" si="3"/>
        <v>Tuesday</v>
      </c>
    </row>
    <row r="101" spans="1:15" x14ac:dyDescent="0.3">
      <c r="A101" t="s">
        <v>370</v>
      </c>
      <c r="B101" t="s">
        <v>371</v>
      </c>
      <c r="C101" s="1">
        <v>46042.791666666657</v>
      </c>
      <c r="D101" t="s">
        <v>15</v>
      </c>
      <c r="E101" t="s">
        <v>41</v>
      </c>
      <c r="F101" t="s">
        <v>50</v>
      </c>
      <c r="G101" t="s">
        <v>43</v>
      </c>
      <c r="H101" t="s">
        <v>44</v>
      </c>
      <c r="I101" t="s">
        <v>45</v>
      </c>
      <c r="J101" t="s">
        <v>372</v>
      </c>
      <c r="K101" t="s">
        <v>31</v>
      </c>
      <c r="L101" s="1">
        <v>46042</v>
      </c>
      <c r="M101" t="s">
        <v>23</v>
      </c>
      <c r="N101">
        <f t="shared" si="2"/>
        <v>2026</v>
      </c>
      <c r="O101" t="str">
        <f t="shared" si="3"/>
        <v>Tuesday</v>
      </c>
    </row>
    <row r="102" spans="1:15" x14ac:dyDescent="0.3">
      <c r="A102" t="s">
        <v>373</v>
      </c>
      <c r="B102" t="s">
        <v>374</v>
      </c>
      <c r="C102" s="1">
        <v>46043.333333333343</v>
      </c>
      <c r="D102" t="s">
        <v>15</v>
      </c>
      <c r="E102" t="s">
        <v>63</v>
      </c>
      <c r="F102" t="s">
        <v>17</v>
      </c>
      <c r="G102" t="s">
        <v>355</v>
      </c>
      <c r="H102" t="s">
        <v>356</v>
      </c>
      <c r="I102" t="s">
        <v>82</v>
      </c>
      <c r="J102" t="s">
        <v>375</v>
      </c>
      <c r="K102" t="s">
        <v>47</v>
      </c>
      <c r="L102" s="1">
        <v>46043</v>
      </c>
      <c r="M102" t="s">
        <v>23</v>
      </c>
      <c r="N102">
        <f t="shared" si="2"/>
        <v>2026</v>
      </c>
      <c r="O102" t="str">
        <f t="shared" si="3"/>
        <v>Wednesday</v>
      </c>
    </row>
    <row r="103" spans="1:15" x14ac:dyDescent="0.3">
      <c r="A103" t="s">
        <v>376</v>
      </c>
      <c r="B103" t="s">
        <v>343</v>
      </c>
      <c r="C103" s="1">
        <v>46043.375</v>
      </c>
      <c r="D103" t="s">
        <v>15</v>
      </c>
      <c r="E103" t="s">
        <v>26</v>
      </c>
      <c r="F103" t="s">
        <v>17</v>
      </c>
      <c r="G103" t="s">
        <v>91</v>
      </c>
      <c r="H103" t="s">
        <v>92</v>
      </c>
      <c r="I103" t="s">
        <v>37</v>
      </c>
      <c r="J103" t="s">
        <v>377</v>
      </c>
      <c r="K103" t="s">
        <v>74</v>
      </c>
      <c r="L103" s="1">
        <v>46043</v>
      </c>
      <c r="M103" t="s">
        <v>23</v>
      </c>
      <c r="N103">
        <f t="shared" si="2"/>
        <v>2026</v>
      </c>
      <c r="O103" t="str">
        <f t="shared" si="3"/>
        <v>Wednesday</v>
      </c>
    </row>
    <row r="104" spans="1:15" x14ac:dyDescent="0.3">
      <c r="A104" t="s">
        <v>378</v>
      </c>
      <c r="B104" t="s">
        <v>379</v>
      </c>
      <c r="C104" s="1">
        <v>46043.416666666657</v>
      </c>
      <c r="D104" t="s">
        <v>15</v>
      </c>
      <c r="E104" t="s">
        <v>26</v>
      </c>
      <c r="F104" t="s">
        <v>17</v>
      </c>
      <c r="G104" t="s">
        <v>80</v>
      </c>
      <c r="H104" t="s">
        <v>81</v>
      </c>
      <c r="I104" t="s">
        <v>82</v>
      </c>
      <c r="J104" t="s">
        <v>380</v>
      </c>
      <c r="K104" t="s">
        <v>60</v>
      </c>
      <c r="L104" s="1">
        <v>46043</v>
      </c>
      <c r="M104" t="s">
        <v>23</v>
      </c>
      <c r="N104">
        <f t="shared" si="2"/>
        <v>2026</v>
      </c>
      <c r="O104" t="str">
        <f t="shared" si="3"/>
        <v>Wednesday</v>
      </c>
    </row>
    <row r="105" spans="1:15" x14ac:dyDescent="0.3">
      <c r="A105" t="s">
        <v>381</v>
      </c>
      <c r="B105" t="s">
        <v>382</v>
      </c>
      <c r="C105" s="1">
        <v>46043.875</v>
      </c>
      <c r="D105" t="s">
        <v>15</v>
      </c>
      <c r="E105" t="s">
        <v>16</v>
      </c>
      <c r="F105" t="s">
        <v>17</v>
      </c>
      <c r="G105" t="s">
        <v>126</v>
      </c>
      <c r="H105" t="s">
        <v>127</v>
      </c>
      <c r="I105" t="s">
        <v>45</v>
      </c>
      <c r="J105" t="s">
        <v>383</v>
      </c>
      <c r="K105" t="s">
        <v>74</v>
      </c>
      <c r="L105" s="1">
        <v>46043</v>
      </c>
      <c r="M105" t="s">
        <v>23</v>
      </c>
      <c r="N105">
        <f t="shared" si="2"/>
        <v>2026</v>
      </c>
      <c r="O105" t="str">
        <f t="shared" si="3"/>
        <v>Wednesday</v>
      </c>
    </row>
    <row r="106" spans="1:15" x14ac:dyDescent="0.3">
      <c r="A106" t="s">
        <v>384</v>
      </c>
      <c r="B106" t="s">
        <v>385</v>
      </c>
      <c r="C106" s="1">
        <v>46044.333333333343</v>
      </c>
      <c r="D106" t="s">
        <v>15</v>
      </c>
      <c r="E106" t="s">
        <v>41</v>
      </c>
      <c r="F106" t="s">
        <v>50</v>
      </c>
      <c r="G106" t="s">
        <v>250</v>
      </c>
      <c r="H106" t="s">
        <v>251</v>
      </c>
      <c r="I106" t="s">
        <v>108</v>
      </c>
      <c r="J106" t="s">
        <v>386</v>
      </c>
      <c r="K106" t="s">
        <v>47</v>
      </c>
      <c r="L106" s="1">
        <v>46044</v>
      </c>
      <c r="M106" t="s">
        <v>23</v>
      </c>
      <c r="N106">
        <f t="shared" si="2"/>
        <v>2026</v>
      </c>
      <c r="O106" t="str">
        <f t="shared" si="3"/>
        <v>Thursday</v>
      </c>
    </row>
    <row r="107" spans="1:15" x14ac:dyDescent="0.3">
      <c r="A107" t="s">
        <v>387</v>
      </c>
      <c r="B107" t="s">
        <v>388</v>
      </c>
      <c r="C107" s="1">
        <v>46044.375</v>
      </c>
      <c r="D107" t="s">
        <v>15</v>
      </c>
      <c r="E107" t="s">
        <v>63</v>
      </c>
      <c r="F107" t="s">
        <v>17</v>
      </c>
      <c r="G107" t="s">
        <v>91</v>
      </c>
      <c r="H107" t="s">
        <v>92</v>
      </c>
      <c r="I107" t="s">
        <v>37</v>
      </c>
      <c r="J107" t="s">
        <v>389</v>
      </c>
      <c r="K107" t="s">
        <v>47</v>
      </c>
      <c r="L107" s="1">
        <v>46044</v>
      </c>
      <c r="M107" t="s">
        <v>23</v>
      </c>
      <c r="N107">
        <f t="shared" si="2"/>
        <v>2026</v>
      </c>
      <c r="O107" t="str">
        <f t="shared" si="3"/>
        <v>Thursday</v>
      </c>
    </row>
    <row r="108" spans="1:15" x14ac:dyDescent="0.3">
      <c r="A108" t="s">
        <v>390</v>
      </c>
      <c r="B108" t="s">
        <v>391</v>
      </c>
      <c r="C108" s="1">
        <v>46044.5</v>
      </c>
      <c r="D108" t="s">
        <v>15</v>
      </c>
      <c r="E108" t="s">
        <v>16</v>
      </c>
      <c r="F108" t="s">
        <v>50</v>
      </c>
      <c r="G108" t="s">
        <v>355</v>
      </c>
      <c r="H108" t="s">
        <v>356</v>
      </c>
      <c r="I108" t="s">
        <v>82</v>
      </c>
      <c r="J108" t="s">
        <v>392</v>
      </c>
      <c r="K108" t="s">
        <v>60</v>
      </c>
      <c r="L108" s="1">
        <v>46044</v>
      </c>
      <c r="M108" t="s">
        <v>23</v>
      </c>
      <c r="N108">
        <f t="shared" si="2"/>
        <v>2026</v>
      </c>
      <c r="O108" t="str">
        <f t="shared" si="3"/>
        <v>Thursday</v>
      </c>
    </row>
    <row r="109" spans="1:15" x14ac:dyDescent="0.3">
      <c r="A109" t="s">
        <v>393</v>
      </c>
      <c r="B109" t="s">
        <v>394</v>
      </c>
      <c r="C109" s="1">
        <v>46044.791666666657</v>
      </c>
      <c r="D109" t="s">
        <v>15</v>
      </c>
      <c r="E109" t="s">
        <v>41</v>
      </c>
      <c r="F109" t="s">
        <v>17</v>
      </c>
      <c r="G109" t="s">
        <v>191</v>
      </c>
      <c r="H109" t="s">
        <v>192</v>
      </c>
      <c r="I109" t="s">
        <v>45</v>
      </c>
      <c r="J109" t="s">
        <v>395</v>
      </c>
      <c r="K109" t="s">
        <v>31</v>
      </c>
      <c r="L109" s="1">
        <v>46044</v>
      </c>
      <c r="M109" t="s">
        <v>23</v>
      </c>
      <c r="N109">
        <f t="shared" si="2"/>
        <v>2026</v>
      </c>
      <c r="O109" t="str">
        <f t="shared" si="3"/>
        <v>Thursday</v>
      </c>
    </row>
    <row r="110" spans="1:15" x14ac:dyDescent="0.3">
      <c r="A110" t="s">
        <v>396</v>
      </c>
      <c r="B110" t="s">
        <v>397</v>
      </c>
      <c r="C110" s="1">
        <v>46044.791666666657</v>
      </c>
      <c r="D110" t="s">
        <v>15</v>
      </c>
      <c r="E110" t="s">
        <v>16</v>
      </c>
      <c r="F110" t="s">
        <v>17</v>
      </c>
      <c r="G110" t="s">
        <v>112</v>
      </c>
      <c r="H110" t="s">
        <v>113</v>
      </c>
      <c r="I110" t="s">
        <v>37</v>
      </c>
      <c r="J110" t="s">
        <v>398</v>
      </c>
      <c r="K110" t="s">
        <v>22</v>
      </c>
      <c r="L110" s="1">
        <v>46044</v>
      </c>
      <c r="M110" t="s">
        <v>23</v>
      </c>
      <c r="N110">
        <f t="shared" si="2"/>
        <v>2026</v>
      </c>
      <c r="O110" t="str">
        <f t="shared" si="3"/>
        <v>Thursday</v>
      </c>
    </row>
    <row r="111" spans="1:15" x14ac:dyDescent="0.3">
      <c r="A111" t="s">
        <v>399</v>
      </c>
      <c r="B111" t="s">
        <v>400</v>
      </c>
      <c r="C111" s="1">
        <v>46045.416666666657</v>
      </c>
      <c r="D111" t="s">
        <v>15</v>
      </c>
      <c r="E111" t="s">
        <v>16</v>
      </c>
      <c r="F111" t="s">
        <v>17</v>
      </c>
      <c r="G111" t="s">
        <v>250</v>
      </c>
      <c r="H111" t="s">
        <v>251</v>
      </c>
      <c r="I111" t="s">
        <v>108</v>
      </c>
      <c r="J111" t="s">
        <v>401</v>
      </c>
      <c r="K111" t="s">
        <v>60</v>
      </c>
      <c r="L111" s="1">
        <v>46045</v>
      </c>
      <c r="M111" t="s">
        <v>23</v>
      </c>
      <c r="N111">
        <f t="shared" si="2"/>
        <v>2026</v>
      </c>
      <c r="O111" t="str">
        <f t="shared" si="3"/>
        <v>Friday</v>
      </c>
    </row>
    <row r="112" spans="1:15" x14ac:dyDescent="0.3">
      <c r="A112" t="s">
        <v>402</v>
      </c>
      <c r="B112" t="s">
        <v>403</v>
      </c>
      <c r="C112" s="1">
        <v>46045.583333333343</v>
      </c>
      <c r="D112" t="s">
        <v>15</v>
      </c>
      <c r="E112" t="s">
        <v>63</v>
      </c>
      <c r="F112" t="s">
        <v>50</v>
      </c>
      <c r="G112" t="s">
        <v>250</v>
      </c>
      <c r="H112" t="s">
        <v>251</v>
      </c>
      <c r="I112" t="s">
        <v>108</v>
      </c>
      <c r="J112" t="s">
        <v>404</v>
      </c>
      <c r="K112" t="s">
        <v>60</v>
      </c>
      <c r="L112" s="1">
        <v>46045</v>
      </c>
      <c r="M112" t="s">
        <v>23</v>
      </c>
      <c r="N112">
        <f t="shared" si="2"/>
        <v>2026</v>
      </c>
      <c r="O112" t="str">
        <f t="shared" si="3"/>
        <v>Friday</v>
      </c>
    </row>
    <row r="113" spans="1:15" x14ac:dyDescent="0.3">
      <c r="A113" t="s">
        <v>405</v>
      </c>
      <c r="B113" t="s">
        <v>406</v>
      </c>
      <c r="C113" s="1">
        <v>46045.875</v>
      </c>
      <c r="D113" t="s">
        <v>15</v>
      </c>
      <c r="E113" t="s">
        <v>26</v>
      </c>
      <c r="F113" t="s">
        <v>50</v>
      </c>
      <c r="G113" t="s">
        <v>86</v>
      </c>
      <c r="H113" t="s">
        <v>87</v>
      </c>
      <c r="I113" t="s">
        <v>82</v>
      </c>
      <c r="J113" t="s">
        <v>407</v>
      </c>
      <c r="K113" t="s">
        <v>31</v>
      </c>
      <c r="L113" s="1">
        <v>46045</v>
      </c>
      <c r="M113" t="s">
        <v>23</v>
      </c>
      <c r="N113">
        <f t="shared" si="2"/>
        <v>2026</v>
      </c>
      <c r="O113" t="str">
        <f t="shared" si="3"/>
        <v>Friday</v>
      </c>
    </row>
    <row r="114" spans="1:15" x14ac:dyDescent="0.3">
      <c r="A114" t="s">
        <v>408</v>
      </c>
      <c r="B114" t="s">
        <v>409</v>
      </c>
      <c r="C114" s="1">
        <v>46046.333333333343</v>
      </c>
      <c r="D114" t="s">
        <v>15</v>
      </c>
      <c r="E114" t="s">
        <v>26</v>
      </c>
      <c r="F114" t="s">
        <v>42</v>
      </c>
      <c r="G114" t="s">
        <v>56</v>
      </c>
      <c r="H114" t="s">
        <v>57</v>
      </c>
      <c r="I114" t="s">
        <v>58</v>
      </c>
      <c r="J114" t="s">
        <v>410</v>
      </c>
      <c r="K114" t="s">
        <v>60</v>
      </c>
      <c r="L114" s="1">
        <v>46046</v>
      </c>
      <c r="M114" t="s">
        <v>23</v>
      </c>
      <c r="N114">
        <f t="shared" si="2"/>
        <v>2026</v>
      </c>
      <c r="O114" t="str">
        <f t="shared" si="3"/>
        <v>Saturday</v>
      </c>
    </row>
    <row r="115" spans="1:15" x14ac:dyDescent="0.3">
      <c r="A115" t="s">
        <v>411</v>
      </c>
      <c r="B115" t="s">
        <v>412</v>
      </c>
      <c r="C115" s="1">
        <v>46046.708333333343</v>
      </c>
      <c r="D115" t="s">
        <v>15</v>
      </c>
      <c r="E115" t="s">
        <v>16</v>
      </c>
      <c r="F115" t="s">
        <v>50</v>
      </c>
      <c r="G115" t="s">
        <v>96</v>
      </c>
      <c r="H115" t="s">
        <v>97</v>
      </c>
      <c r="I115" t="s">
        <v>58</v>
      </c>
      <c r="J115" t="s">
        <v>413</v>
      </c>
      <c r="K115" t="s">
        <v>31</v>
      </c>
      <c r="L115" s="1">
        <v>46046</v>
      </c>
      <c r="M115" t="s">
        <v>23</v>
      </c>
      <c r="N115">
        <f t="shared" si="2"/>
        <v>2026</v>
      </c>
      <c r="O115" t="str">
        <f t="shared" si="3"/>
        <v>Saturday</v>
      </c>
    </row>
    <row r="116" spans="1:15" x14ac:dyDescent="0.3">
      <c r="A116" t="s">
        <v>414</v>
      </c>
      <c r="B116" t="s">
        <v>415</v>
      </c>
      <c r="C116" s="1">
        <v>46046.791666666657</v>
      </c>
      <c r="D116" t="s">
        <v>15</v>
      </c>
      <c r="E116" t="s">
        <v>26</v>
      </c>
      <c r="F116" t="s">
        <v>17</v>
      </c>
      <c r="G116" t="s">
        <v>96</v>
      </c>
      <c r="H116" t="s">
        <v>97</v>
      </c>
      <c r="I116" t="s">
        <v>58</v>
      </c>
      <c r="J116" t="s">
        <v>416</v>
      </c>
      <c r="K116" t="s">
        <v>60</v>
      </c>
      <c r="L116" s="1">
        <v>46046</v>
      </c>
      <c r="M116" t="s">
        <v>23</v>
      </c>
      <c r="N116">
        <f t="shared" si="2"/>
        <v>2026</v>
      </c>
      <c r="O116" t="str">
        <f t="shared" si="3"/>
        <v>Saturday</v>
      </c>
    </row>
    <row r="117" spans="1:15" x14ac:dyDescent="0.3">
      <c r="A117" t="s">
        <v>417</v>
      </c>
      <c r="B117" t="s">
        <v>418</v>
      </c>
      <c r="C117" s="1">
        <v>46047.375</v>
      </c>
      <c r="D117" t="s">
        <v>15</v>
      </c>
      <c r="E117" t="s">
        <v>63</v>
      </c>
      <c r="F117" t="s">
        <v>17</v>
      </c>
      <c r="G117" t="s">
        <v>355</v>
      </c>
      <c r="H117" t="s">
        <v>356</v>
      </c>
      <c r="I117" t="s">
        <v>82</v>
      </c>
      <c r="J117" t="s">
        <v>419</v>
      </c>
      <c r="K117" t="s">
        <v>74</v>
      </c>
      <c r="L117" s="1">
        <v>46047</v>
      </c>
      <c r="M117" t="s">
        <v>23</v>
      </c>
      <c r="N117">
        <f t="shared" si="2"/>
        <v>2026</v>
      </c>
      <c r="O117" t="str">
        <f t="shared" si="3"/>
        <v>Sunday</v>
      </c>
    </row>
    <row r="118" spans="1:15" x14ac:dyDescent="0.3">
      <c r="A118" t="s">
        <v>420</v>
      </c>
      <c r="B118" t="s">
        <v>421</v>
      </c>
      <c r="C118" s="1">
        <v>46047.541666666657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20</v>
      </c>
      <c r="J118" t="s">
        <v>422</v>
      </c>
      <c r="K118" t="s">
        <v>22</v>
      </c>
      <c r="L118" s="1">
        <v>46047</v>
      </c>
      <c r="M118" t="s">
        <v>23</v>
      </c>
      <c r="N118">
        <f t="shared" si="2"/>
        <v>2026</v>
      </c>
      <c r="O118" t="str">
        <f t="shared" si="3"/>
        <v>Sunday</v>
      </c>
    </row>
    <row r="119" spans="1:15" x14ac:dyDescent="0.3">
      <c r="A119" t="s">
        <v>423</v>
      </c>
      <c r="B119" t="s">
        <v>424</v>
      </c>
      <c r="C119" s="1">
        <v>46047.625</v>
      </c>
      <c r="D119" t="s">
        <v>15</v>
      </c>
      <c r="E119" t="s">
        <v>34</v>
      </c>
      <c r="F119" t="s">
        <v>17</v>
      </c>
      <c r="G119" t="s">
        <v>126</v>
      </c>
      <c r="H119" t="s">
        <v>127</v>
      </c>
      <c r="I119" t="s">
        <v>45</v>
      </c>
      <c r="J119" t="s">
        <v>425</v>
      </c>
      <c r="K119" t="s">
        <v>31</v>
      </c>
      <c r="L119" s="1">
        <v>46047</v>
      </c>
      <c r="M119" t="s">
        <v>23</v>
      </c>
      <c r="N119">
        <f t="shared" si="2"/>
        <v>2026</v>
      </c>
      <c r="O119" t="str">
        <f t="shared" si="3"/>
        <v>Sunday</v>
      </c>
    </row>
    <row r="120" spans="1:15" x14ac:dyDescent="0.3">
      <c r="A120" t="s">
        <v>426</v>
      </c>
      <c r="B120" t="s">
        <v>427</v>
      </c>
      <c r="C120" s="1">
        <v>46047.833333333343</v>
      </c>
      <c r="D120" t="s">
        <v>15</v>
      </c>
      <c r="E120" t="s">
        <v>63</v>
      </c>
      <c r="F120" t="s">
        <v>17</v>
      </c>
      <c r="G120" t="s">
        <v>149</v>
      </c>
      <c r="H120" t="s">
        <v>150</v>
      </c>
      <c r="I120" t="s">
        <v>37</v>
      </c>
      <c r="J120" t="s">
        <v>428</v>
      </c>
      <c r="K120" t="s">
        <v>22</v>
      </c>
      <c r="L120" s="1">
        <v>46047</v>
      </c>
      <c r="M120" t="s">
        <v>23</v>
      </c>
      <c r="N120">
        <f t="shared" si="2"/>
        <v>2026</v>
      </c>
      <c r="O120" t="str">
        <f t="shared" si="3"/>
        <v>Sunday</v>
      </c>
    </row>
    <row r="121" spans="1:15" x14ac:dyDescent="0.3">
      <c r="A121" t="s">
        <v>429</v>
      </c>
      <c r="B121" t="s">
        <v>430</v>
      </c>
      <c r="C121" s="1">
        <v>46048.333333333343</v>
      </c>
      <c r="D121" t="s">
        <v>15</v>
      </c>
      <c r="E121" t="s">
        <v>16</v>
      </c>
      <c r="F121" t="s">
        <v>50</v>
      </c>
      <c r="G121" t="s">
        <v>355</v>
      </c>
      <c r="H121" t="s">
        <v>356</v>
      </c>
      <c r="I121" t="s">
        <v>82</v>
      </c>
      <c r="J121" t="s">
        <v>431</v>
      </c>
      <c r="K121" t="s">
        <v>22</v>
      </c>
      <c r="L121" s="1">
        <v>46048</v>
      </c>
      <c r="M121" t="s">
        <v>23</v>
      </c>
      <c r="N121">
        <f t="shared" si="2"/>
        <v>2026</v>
      </c>
      <c r="O121" t="str">
        <f t="shared" si="3"/>
        <v>Monday</v>
      </c>
    </row>
    <row r="122" spans="1:15" x14ac:dyDescent="0.3">
      <c r="A122" t="s">
        <v>432</v>
      </c>
      <c r="B122" t="s">
        <v>433</v>
      </c>
      <c r="C122" s="1">
        <v>46048.375</v>
      </c>
      <c r="D122" t="s">
        <v>15</v>
      </c>
      <c r="E122" t="s">
        <v>26</v>
      </c>
      <c r="F122" t="s">
        <v>17</v>
      </c>
      <c r="G122" t="s">
        <v>149</v>
      </c>
      <c r="H122" t="s">
        <v>150</v>
      </c>
      <c r="I122" t="s">
        <v>37</v>
      </c>
      <c r="J122" t="s">
        <v>434</v>
      </c>
      <c r="K122" t="s">
        <v>60</v>
      </c>
      <c r="L122" s="1">
        <v>46048</v>
      </c>
      <c r="M122" t="s">
        <v>23</v>
      </c>
      <c r="N122">
        <f t="shared" si="2"/>
        <v>2026</v>
      </c>
      <c r="O122" t="str">
        <f t="shared" si="3"/>
        <v>Monday</v>
      </c>
    </row>
    <row r="123" spans="1:15" x14ac:dyDescent="0.3">
      <c r="A123" t="s">
        <v>435</v>
      </c>
      <c r="B123" t="s">
        <v>436</v>
      </c>
      <c r="C123" s="1">
        <v>46048.375</v>
      </c>
      <c r="D123" t="s">
        <v>15</v>
      </c>
      <c r="E123" t="s">
        <v>63</v>
      </c>
      <c r="F123" t="s">
        <v>50</v>
      </c>
      <c r="G123" t="s">
        <v>56</v>
      </c>
      <c r="H123" t="s">
        <v>57</v>
      </c>
      <c r="I123" t="s">
        <v>58</v>
      </c>
      <c r="J123" t="s">
        <v>437</v>
      </c>
      <c r="K123" t="s">
        <v>74</v>
      </c>
      <c r="L123" s="1">
        <v>46048</v>
      </c>
      <c r="M123" t="s">
        <v>23</v>
      </c>
      <c r="N123">
        <f t="shared" si="2"/>
        <v>2026</v>
      </c>
      <c r="O123" t="str">
        <f t="shared" si="3"/>
        <v>Monday</v>
      </c>
    </row>
    <row r="124" spans="1:15" x14ac:dyDescent="0.3">
      <c r="A124" t="s">
        <v>438</v>
      </c>
      <c r="B124" t="s">
        <v>439</v>
      </c>
      <c r="C124" s="1">
        <v>46048.375</v>
      </c>
      <c r="D124" t="s">
        <v>15</v>
      </c>
      <c r="E124" t="s">
        <v>63</v>
      </c>
      <c r="F124" t="s">
        <v>17</v>
      </c>
      <c r="G124" t="s">
        <v>355</v>
      </c>
      <c r="H124" t="s">
        <v>356</v>
      </c>
      <c r="I124" t="s">
        <v>82</v>
      </c>
      <c r="J124" t="s">
        <v>440</v>
      </c>
      <c r="K124" t="s">
        <v>31</v>
      </c>
      <c r="L124" s="1">
        <v>46048</v>
      </c>
      <c r="M124" t="s">
        <v>23</v>
      </c>
      <c r="N124">
        <f t="shared" si="2"/>
        <v>2026</v>
      </c>
      <c r="O124" t="str">
        <f t="shared" si="3"/>
        <v>Monday</v>
      </c>
    </row>
    <row r="125" spans="1:15" x14ac:dyDescent="0.3">
      <c r="A125" t="s">
        <v>441</v>
      </c>
      <c r="B125" t="s">
        <v>442</v>
      </c>
      <c r="C125" s="1">
        <v>46048.541666666657</v>
      </c>
      <c r="D125" t="s">
        <v>2972</v>
      </c>
      <c r="E125" t="s">
        <v>26</v>
      </c>
      <c r="F125" t="s">
        <v>17</v>
      </c>
      <c r="G125" t="s">
        <v>96</v>
      </c>
      <c r="H125" t="s">
        <v>97</v>
      </c>
      <c r="I125" t="s">
        <v>58</v>
      </c>
      <c r="J125" t="s">
        <v>443</v>
      </c>
      <c r="K125" t="s">
        <v>60</v>
      </c>
      <c r="L125" s="1">
        <v>46048</v>
      </c>
      <c r="M125" t="s">
        <v>23</v>
      </c>
      <c r="N125">
        <f t="shared" si="2"/>
        <v>2026</v>
      </c>
      <c r="O125" t="str">
        <f t="shared" si="3"/>
        <v>Monday</v>
      </c>
    </row>
    <row r="126" spans="1:15" x14ac:dyDescent="0.3">
      <c r="A126" t="s">
        <v>444</v>
      </c>
      <c r="B126" t="s">
        <v>445</v>
      </c>
      <c r="C126" s="1">
        <v>46048.75</v>
      </c>
      <c r="D126" t="s">
        <v>15</v>
      </c>
      <c r="E126" t="s">
        <v>26</v>
      </c>
      <c r="F126" t="s">
        <v>50</v>
      </c>
      <c r="G126" t="s">
        <v>96</v>
      </c>
      <c r="H126" t="s">
        <v>97</v>
      </c>
      <c r="I126" t="s">
        <v>58</v>
      </c>
      <c r="J126" t="s">
        <v>446</v>
      </c>
      <c r="K126" t="s">
        <v>60</v>
      </c>
      <c r="L126" s="1">
        <v>46048</v>
      </c>
      <c r="M126" t="s">
        <v>23</v>
      </c>
      <c r="N126">
        <f t="shared" si="2"/>
        <v>2026</v>
      </c>
      <c r="O126" t="str">
        <f t="shared" si="3"/>
        <v>Monday</v>
      </c>
    </row>
    <row r="127" spans="1:15" x14ac:dyDescent="0.3">
      <c r="A127" t="s">
        <v>447</v>
      </c>
      <c r="B127" t="s">
        <v>448</v>
      </c>
      <c r="C127" s="1">
        <v>46048.875</v>
      </c>
      <c r="D127" t="s">
        <v>15</v>
      </c>
      <c r="E127" t="s">
        <v>34</v>
      </c>
      <c r="F127" t="s">
        <v>17</v>
      </c>
      <c r="G127" t="s">
        <v>160</v>
      </c>
      <c r="H127" t="s">
        <v>161</v>
      </c>
      <c r="I127" t="s">
        <v>82</v>
      </c>
      <c r="J127" t="s">
        <v>449</v>
      </c>
      <c r="K127" t="s">
        <v>60</v>
      </c>
      <c r="L127" s="1">
        <v>46048</v>
      </c>
      <c r="M127" t="s">
        <v>23</v>
      </c>
      <c r="N127">
        <f t="shared" si="2"/>
        <v>2026</v>
      </c>
      <c r="O127" t="str">
        <f t="shared" si="3"/>
        <v>Monday</v>
      </c>
    </row>
    <row r="128" spans="1:15" x14ac:dyDescent="0.3">
      <c r="A128" t="s">
        <v>450</v>
      </c>
      <c r="B128" t="s">
        <v>451</v>
      </c>
      <c r="C128" s="1">
        <v>46049.333333333343</v>
      </c>
      <c r="D128" t="s">
        <v>15</v>
      </c>
      <c r="E128" t="s">
        <v>34</v>
      </c>
      <c r="F128" t="s">
        <v>17</v>
      </c>
      <c r="G128" t="s">
        <v>86</v>
      </c>
      <c r="H128" t="s">
        <v>87</v>
      </c>
      <c r="I128" t="s">
        <v>82</v>
      </c>
      <c r="J128" t="s">
        <v>452</v>
      </c>
      <c r="K128" t="s">
        <v>31</v>
      </c>
      <c r="L128" s="1">
        <v>46049</v>
      </c>
      <c r="M128" t="s">
        <v>23</v>
      </c>
      <c r="N128">
        <f t="shared" si="2"/>
        <v>2026</v>
      </c>
      <c r="O128" t="str">
        <f t="shared" si="3"/>
        <v>Tuesday</v>
      </c>
    </row>
    <row r="129" spans="1:15" x14ac:dyDescent="0.3">
      <c r="A129" t="s">
        <v>453</v>
      </c>
      <c r="B129" t="s">
        <v>85</v>
      </c>
      <c r="C129" s="1">
        <v>46049.5</v>
      </c>
      <c r="D129" t="s">
        <v>15</v>
      </c>
      <c r="E129" t="s">
        <v>63</v>
      </c>
      <c r="F129" t="s">
        <v>17</v>
      </c>
      <c r="G129" t="s">
        <v>27</v>
      </c>
      <c r="H129" t="s">
        <v>28</v>
      </c>
      <c r="I129" t="s">
        <v>29</v>
      </c>
      <c r="J129" t="s">
        <v>454</v>
      </c>
      <c r="K129" t="s">
        <v>22</v>
      </c>
      <c r="L129" s="1">
        <v>46049</v>
      </c>
      <c r="M129" t="s">
        <v>23</v>
      </c>
      <c r="N129">
        <f t="shared" si="2"/>
        <v>2026</v>
      </c>
      <c r="O129" t="str">
        <f t="shared" si="3"/>
        <v>Tuesday</v>
      </c>
    </row>
    <row r="130" spans="1:15" x14ac:dyDescent="0.3">
      <c r="A130" t="s">
        <v>455</v>
      </c>
      <c r="B130" t="s">
        <v>456</v>
      </c>
      <c r="C130" s="1">
        <v>46049.583333333343</v>
      </c>
      <c r="D130" t="s">
        <v>15</v>
      </c>
      <c r="E130" t="s">
        <v>16</v>
      </c>
      <c r="F130" t="s">
        <v>42</v>
      </c>
      <c r="G130" t="s">
        <v>112</v>
      </c>
      <c r="H130" t="s">
        <v>113</v>
      </c>
      <c r="I130" t="s">
        <v>37</v>
      </c>
      <c r="J130" t="s">
        <v>457</v>
      </c>
      <c r="K130" t="s">
        <v>60</v>
      </c>
      <c r="L130" s="1">
        <v>46049</v>
      </c>
      <c r="M130" t="s">
        <v>23</v>
      </c>
      <c r="N130">
        <f t="shared" si="2"/>
        <v>2026</v>
      </c>
      <c r="O130" t="str">
        <f t="shared" si="3"/>
        <v>Tuesday</v>
      </c>
    </row>
    <row r="131" spans="1:15" x14ac:dyDescent="0.3">
      <c r="A131" t="s">
        <v>458</v>
      </c>
      <c r="B131" t="s">
        <v>314</v>
      </c>
      <c r="C131" s="1">
        <v>46049.708333333343</v>
      </c>
      <c r="D131" t="s">
        <v>15</v>
      </c>
      <c r="E131" t="s">
        <v>26</v>
      </c>
      <c r="F131" t="s">
        <v>42</v>
      </c>
      <c r="G131" t="s">
        <v>126</v>
      </c>
      <c r="H131" t="s">
        <v>127</v>
      </c>
      <c r="I131" t="s">
        <v>45</v>
      </c>
      <c r="J131" t="s">
        <v>459</v>
      </c>
      <c r="K131" t="s">
        <v>47</v>
      </c>
      <c r="L131" s="1">
        <v>46049</v>
      </c>
      <c r="M131" t="s">
        <v>23</v>
      </c>
      <c r="N131">
        <f t="shared" ref="N131:N194" si="4">YEAR(C131)</f>
        <v>2026</v>
      </c>
      <c r="O131" t="str">
        <f t="shared" ref="O131:O194" si="5">TEXT(C131,"dddd")</f>
        <v>Tuesday</v>
      </c>
    </row>
    <row r="132" spans="1:15" x14ac:dyDescent="0.3">
      <c r="A132" t="s">
        <v>460</v>
      </c>
      <c r="B132" t="s">
        <v>461</v>
      </c>
      <c r="C132" s="1">
        <v>46049.791666666657</v>
      </c>
      <c r="D132" t="s">
        <v>15</v>
      </c>
      <c r="E132" t="s">
        <v>63</v>
      </c>
      <c r="F132" t="s">
        <v>17</v>
      </c>
      <c r="G132" t="s">
        <v>18</v>
      </c>
      <c r="H132" t="s">
        <v>19</v>
      </c>
      <c r="I132" t="s">
        <v>20</v>
      </c>
      <c r="J132" t="s">
        <v>462</v>
      </c>
      <c r="K132" t="s">
        <v>31</v>
      </c>
      <c r="L132" s="1">
        <v>46049</v>
      </c>
      <c r="M132" t="s">
        <v>23</v>
      </c>
      <c r="N132">
        <f t="shared" si="4"/>
        <v>2026</v>
      </c>
      <c r="O132" t="str">
        <f t="shared" si="5"/>
        <v>Tuesday</v>
      </c>
    </row>
    <row r="133" spans="1:15" x14ac:dyDescent="0.3">
      <c r="A133" t="s">
        <v>463</v>
      </c>
      <c r="B133" t="s">
        <v>464</v>
      </c>
      <c r="C133" s="1">
        <v>46050.416666666657</v>
      </c>
      <c r="D133" t="s">
        <v>2972</v>
      </c>
      <c r="E133" t="s">
        <v>16</v>
      </c>
      <c r="F133" t="s">
        <v>42</v>
      </c>
      <c r="G133" t="s">
        <v>80</v>
      </c>
      <c r="H133" t="s">
        <v>81</v>
      </c>
      <c r="I133" t="s">
        <v>82</v>
      </c>
      <c r="J133" t="s">
        <v>465</v>
      </c>
      <c r="K133" t="s">
        <v>74</v>
      </c>
      <c r="L133" s="1">
        <v>46050</v>
      </c>
      <c r="M133" t="s">
        <v>23</v>
      </c>
      <c r="N133">
        <f t="shared" si="4"/>
        <v>2026</v>
      </c>
      <c r="O133" t="str">
        <f t="shared" si="5"/>
        <v>Wednesday</v>
      </c>
    </row>
    <row r="134" spans="1:15" x14ac:dyDescent="0.3">
      <c r="A134" t="s">
        <v>466</v>
      </c>
      <c r="B134" t="s">
        <v>467</v>
      </c>
      <c r="C134" s="1">
        <v>46051.666666666657</v>
      </c>
      <c r="D134" t="s">
        <v>15</v>
      </c>
      <c r="E134" t="s">
        <v>26</v>
      </c>
      <c r="F134" t="s">
        <v>50</v>
      </c>
      <c r="G134" t="s">
        <v>165</v>
      </c>
      <c r="H134" t="s">
        <v>166</v>
      </c>
      <c r="I134" t="s">
        <v>29</v>
      </c>
      <c r="J134" t="s">
        <v>468</v>
      </c>
      <c r="K134" t="s">
        <v>22</v>
      </c>
      <c r="L134" s="1">
        <v>46051</v>
      </c>
      <c r="M134" t="s">
        <v>23</v>
      </c>
      <c r="N134">
        <f t="shared" si="4"/>
        <v>2026</v>
      </c>
      <c r="O134" t="str">
        <f t="shared" si="5"/>
        <v>Thursday</v>
      </c>
    </row>
    <row r="135" spans="1:15" x14ac:dyDescent="0.3">
      <c r="A135" t="s">
        <v>469</v>
      </c>
      <c r="B135" t="s">
        <v>470</v>
      </c>
      <c r="C135" s="1">
        <v>46052.333333333343</v>
      </c>
      <c r="D135" t="s">
        <v>15</v>
      </c>
      <c r="E135" t="s">
        <v>16</v>
      </c>
      <c r="F135" t="s">
        <v>17</v>
      </c>
      <c r="G135" t="s">
        <v>86</v>
      </c>
      <c r="H135" t="s">
        <v>87</v>
      </c>
      <c r="I135" t="s">
        <v>82</v>
      </c>
      <c r="J135" t="s">
        <v>471</v>
      </c>
      <c r="K135" t="s">
        <v>74</v>
      </c>
      <c r="L135" s="1">
        <v>46052</v>
      </c>
      <c r="M135" t="s">
        <v>23</v>
      </c>
      <c r="N135">
        <f t="shared" si="4"/>
        <v>2026</v>
      </c>
      <c r="O135" t="str">
        <f t="shared" si="5"/>
        <v>Friday</v>
      </c>
    </row>
    <row r="136" spans="1:15" x14ac:dyDescent="0.3">
      <c r="A136" t="s">
        <v>472</v>
      </c>
      <c r="B136" t="s">
        <v>473</v>
      </c>
      <c r="C136" s="1">
        <v>46052.458333333343</v>
      </c>
      <c r="D136" t="s">
        <v>15</v>
      </c>
      <c r="E136" t="s">
        <v>34</v>
      </c>
      <c r="F136" t="s">
        <v>17</v>
      </c>
      <c r="G136" t="s">
        <v>149</v>
      </c>
      <c r="H136" t="s">
        <v>150</v>
      </c>
      <c r="I136" t="s">
        <v>37</v>
      </c>
      <c r="J136" t="s">
        <v>474</v>
      </c>
      <c r="K136" t="s">
        <v>74</v>
      </c>
      <c r="L136" s="1">
        <v>46052</v>
      </c>
      <c r="M136" t="s">
        <v>23</v>
      </c>
      <c r="N136">
        <f t="shared" si="4"/>
        <v>2026</v>
      </c>
      <c r="O136" t="str">
        <f t="shared" si="5"/>
        <v>Friday</v>
      </c>
    </row>
    <row r="137" spans="1:15" x14ac:dyDescent="0.3">
      <c r="A137" t="s">
        <v>475</v>
      </c>
      <c r="B137" t="s">
        <v>476</v>
      </c>
      <c r="C137" s="1">
        <v>46052.541666666657</v>
      </c>
      <c r="D137" t="s">
        <v>15</v>
      </c>
      <c r="E137" t="s">
        <v>34</v>
      </c>
      <c r="F137" t="s">
        <v>17</v>
      </c>
      <c r="G137" t="s">
        <v>86</v>
      </c>
      <c r="H137" t="s">
        <v>87</v>
      </c>
      <c r="I137" t="s">
        <v>82</v>
      </c>
      <c r="J137" t="s">
        <v>477</v>
      </c>
      <c r="K137" t="s">
        <v>31</v>
      </c>
      <c r="L137" s="1">
        <v>46052</v>
      </c>
      <c r="M137" t="s">
        <v>23</v>
      </c>
      <c r="N137">
        <f t="shared" si="4"/>
        <v>2026</v>
      </c>
      <c r="O137" t="str">
        <f t="shared" si="5"/>
        <v>Friday</v>
      </c>
    </row>
    <row r="138" spans="1:15" x14ac:dyDescent="0.3">
      <c r="A138" t="s">
        <v>478</v>
      </c>
      <c r="B138" t="s">
        <v>479</v>
      </c>
      <c r="C138" s="1">
        <v>46052.583333333343</v>
      </c>
      <c r="D138" t="s">
        <v>15</v>
      </c>
      <c r="E138" t="s">
        <v>41</v>
      </c>
      <c r="F138" t="s">
        <v>17</v>
      </c>
      <c r="G138" t="s">
        <v>51</v>
      </c>
      <c r="H138" t="s">
        <v>52</v>
      </c>
      <c r="I138" t="s">
        <v>20</v>
      </c>
      <c r="J138" t="s">
        <v>480</v>
      </c>
      <c r="K138" t="s">
        <v>22</v>
      </c>
      <c r="L138" s="1">
        <v>46052</v>
      </c>
      <c r="M138" t="s">
        <v>23</v>
      </c>
      <c r="N138">
        <f t="shared" si="4"/>
        <v>2026</v>
      </c>
      <c r="O138" t="str">
        <f t="shared" si="5"/>
        <v>Friday</v>
      </c>
    </row>
    <row r="139" spans="1:15" x14ac:dyDescent="0.3">
      <c r="A139" t="s">
        <v>481</v>
      </c>
      <c r="B139" t="s">
        <v>482</v>
      </c>
      <c r="C139" s="1">
        <v>46053.333333333343</v>
      </c>
      <c r="D139" t="s">
        <v>2972</v>
      </c>
      <c r="E139" t="s">
        <v>63</v>
      </c>
      <c r="F139" t="s">
        <v>50</v>
      </c>
      <c r="G139" t="s">
        <v>126</v>
      </c>
      <c r="H139" t="s">
        <v>127</v>
      </c>
      <c r="I139" t="s">
        <v>45</v>
      </c>
      <c r="J139" t="s">
        <v>483</v>
      </c>
      <c r="K139" t="s">
        <v>47</v>
      </c>
      <c r="L139" s="1">
        <v>46053</v>
      </c>
      <c r="M139" t="s">
        <v>23</v>
      </c>
      <c r="N139">
        <f t="shared" si="4"/>
        <v>2026</v>
      </c>
      <c r="O139" t="str">
        <f t="shared" si="5"/>
        <v>Saturday</v>
      </c>
    </row>
    <row r="140" spans="1:15" x14ac:dyDescent="0.3">
      <c r="A140" t="s">
        <v>484</v>
      </c>
      <c r="B140" t="s">
        <v>485</v>
      </c>
      <c r="C140" s="1">
        <v>46053.5</v>
      </c>
      <c r="D140" t="s">
        <v>15</v>
      </c>
      <c r="E140" t="s">
        <v>26</v>
      </c>
      <c r="F140" t="s">
        <v>50</v>
      </c>
      <c r="G140" t="s">
        <v>27</v>
      </c>
      <c r="H140" t="s">
        <v>28</v>
      </c>
      <c r="I140" t="s">
        <v>29</v>
      </c>
      <c r="J140" t="s">
        <v>486</v>
      </c>
      <c r="K140" t="s">
        <v>60</v>
      </c>
      <c r="L140" s="1">
        <v>46053</v>
      </c>
      <c r="M140" t="s">
        <v>23</v>
      </c>
      <c r="N140">
        <f t="shared" si="4"/>
        <v>2026</v>
      </c>
      <c r="O140" t="str">
        <f t="shared" si="5"/>
        <v>Saturday</v>
      </c>
    </row>
    <row r="141" spans="1:15" x14ac:dyDescent="0.3">
      <c r="A141" t="s">
        <v>487</v>
      </c>
      <c r="B141" t="s">
        <v>374</v>
      </c>
      <c r="C141" s="1">
        <v>46053.666666666657</v>
      </c>
      <c r="D141" t="s">
        <v>15</v>
      </c>
      <c r="E141" t="s">
        <v>16</v>
      </c>
      <c r="F141" t="s">
        <v>17</v>
      </c>
      <c r="G141" t="s">
        <v>91</v>
      </c>
      <c r="H141" t="s">
        <v>92</v>
      </c>
      <c r="I141" t="s">
        <v>37</v>
      </c>
      <c r="J141" t="s">
        <v>488</v>
      </c>
      <c r="K141" t="s">
        <v>31</v>
      </c>
      <c r="L141" s="1">
        <v>46053</v>
      </c>
      <c r="M141" t="s">
        <v>23</v>
      </c>
      <c r="N141">
        <f t="shared" si="4"/>
        <v>2026</v>
      </c>
      <c r="O141" t="str">
        <f t="shared" si="5"/>
        <v>Saturday</v>
      </c>
    </row>
    <row r="142" spans="1:15" x14ac:dyDescent="0.3">
      <c r="A142" t="s">
        <v>489</v>
      </c>
      <c r="B142" t="s">
        <v>490</v>
      </c>
      <c r="C142" s="1">
        <v>46053.875</v>
      </c>
      <c r="D142" t="s">
        <v>15</v>
      </c>
      <c r="E142" t="s">
        <v>16</v>
      </c>
      <c r="F142" t="s">
        <v>17</v>
      </c>
      <c r="G142" t="s">
        <v>355</v>
      </c>
      <c r="H142" t="s">
        <v>356</v>
      </c>
      <c r="I142" t="s">
        <v>82</v>
      </c>
      <c r="J142" t="s">
        <v>491</v>
      </c>
      <c r="K142" t="s">
        <v>31</v>
      </c>
      <c r="L142" s="1">
        <v>46053</v>
      </c>
      <c r="M142" t="s">
        <v>23</v>
      </c>
      <c r="N142">
        <f t="shared" si="4"/>
        <v>2026</v>
      </c>
      <c r="O142" t="str">
        <f t="shared" si="5"/>
        <v>Saturday</v>
      </c>
    </row>
    <row r="143" spans="1:15" x14ac:dyDescent="0.3">
      <c r="A143" t="s">
        <v>492</v>
      </c>
      <c r="B143" t="s">
        <v>493</v>
      </c>
      <c r="C143" s="1">
        <v>46053.875</v>
      </c>
      <c r="D143" t="s">
        <v>15</v>
      </c>
      <c r="E143" t="s">
        <v>34</v>
      </c>
      <c r="F143" t="s">
        <v>50</v>
      </c>
      <c r="G143" t="s">
        <v>56</v>
      </c>
      <c r="H143" t="s">
        <v>57</v>
      </c>
      <c r="I143" t="s">
        <v>58</v>
      </c>
      <c r="J143" t="s">
        <v>494</v>
      </c>
      <c r="K143" t="s">
        <v>47</v>
      </c>
      <c r="L143" s="1">
        <v>46053</v>
      </c>
      <c r="M143" t="s">
        <v>23</v>
      </c>
      <c r="N143">
        <f t="shared" si="4"/>
        <v>2026</v>
      </c>
      <c r="O143" t="str">
        <f t="shared" si="5"/>
        <v>Saturday</v>
      </c>
    </row>
    <row r="144" spans="1:15" x14ac:dyDescent="0.3">
      <c r="A144" t="s">
        <v>495</v>
      </c>
      <c r="B144" t="s">
        <v>496</v>
      </c>
      <c r="C144" s="1">
        <v>46054.333333333343</v>
      </c>
      <c r="D144" t="s">
        <v>15</v>
      </c>
      <c r="E144" t="s">
        <v>16</v>
      </c>
      <c r="F144" t="s">
        <v>50</v>
      </c>
      <c r="G144" t="s">
        <v>191</v>
      </c>
      <c r="H144" t="s">
        <v>192</v>
      </c>
      <c r="I144" t="s">
        <v>45</v>
      </c>
      <c r="J144" t="s">
        <v>497</v>
      </c>
      <c r="K144" t="s">
        <v>22</v>
      </c>
      <c r="L144" s="1">
        <v>46054</v>
      </c>
      <c r="M144" t="s">
        <v>498</v>
      </c>
      <c r="N144">
        <f t="shared" si="4"/>
        <v>2026</v>
      </c>
      <c r="O144" t="str">
        <f t="shared" si="5"/>
        <v>Sunday</v>
      </c>
    </row>
    <row r="145" spans="1:15" x14ac:dyDescent="0.3">
      <c r="A145" t="s">
        <v>499</v>
      </c>
      <c r="B145" t="s">
        <v>500</v>
      </c>
      <c r="C145" s="1">
        <v>46054.333333333343</v>
      </c>
      <c r="D145" t="s">
        <v>15</v>
      </c>
      <c r="E145" t="s">
        <v>34</v>
      </c>
      <c r="F145" t="s">
        <v>50</v>
      </c>
      <c r="G145" t="s">
        <v>51</v>
      </c>
      <c r="H145" t="s">
        <v>52</v>
      </c>
      <c r="I145" t="s">
        <v>20</v>
      </c>
      <c r="J145" t="s">
        <v>501</v>
      </c>
      <c r="K145" t="s">
        <v>31</v>
      </c>
      <c r="L145" s="1">
        <v>46054</v>
      </c>
      <c r="M145" t="s">
        <v>498</v>
      </c>
      <c r="N145">
        <f t="shared" si="4"/>
        <v>2026</v>
      </c>
      <c r="O145" t="str">
        <f t="shared" si="5"/>
        <v>Sunday</v>
      </c>
    </row>
    <row r="146" spans="1:15" x14ac:dyDescent="0.3">
      <c r="A146" t="s">
        <v>502</v>
      </c>
      <c r="B146" t="s">
        <v>308</v>
      </c>
      <c r="C146" s="1">
        <v>46054.416666666657</v>
      </c>
      <c r="D146" t="s">
        <v>2972</v>
      </c>
      <c r="E146" t="s">
        <v>34</v>
      </c>
      <c r="F146" t="s">
        <v>50</v>
      </c>
      <c r="G146" t="s">
        <v>80</v>
      </c>
      <c r="H146" t="s">
        <v>81</v>
      </c>
      <c r="I146" t="s">
        <v>82</v>
      </c>
      <c r="J146" t="s">
        <v>503</v>
      </c>
      <c r="K146" t="s">
        <v>22</v>
      </c>
      <c r="L146" s="1">
        <v>46054</v>
      </c>
      <c r="M146" t="s">
        <v>498</v>
      </c>
      <c r="N146">
        <f t="shared" si="4"/>
        <v>2026</v>
      </c>
      <c r="O146" t="str">
        <f t="shared" si="5"/>
        <v>Sunday</v>
      </c>
    </row>
    <row r="147" spans="1:15" x14ac:dyDescent="0.3">
      <c r="A147" t="s">
        <v>504</v>
      </c>
      <c r="B147" t="s">
        <v>505</v>
      </c>
      <c r="C147" s="1">
        <v>46054.458333333343</v>
      </c>
      <c r="D147" t="s">
        <v>2972</v>
      </c>
      <c r="E147" t="s">
        <v>63</v>
      </c>
      <c r="F147" t="s">
        <v>50</v>
      </c>
      <c r="G147" t="s">
        <v>149</v>
      </c>
      <c r="H147" t="s">
        <v>150</v>
      </c>
      <c r="I147" t="s">
        <v>37</v>
      </c>
      <c r="J147" t="s">
        <v>506</v>
      </c>
      <c r="K147" t="s">
        <v>47</v>
      </c>
      <c r="L147" s="1">
        <v>46054</v>
      </c>
      <c r="M147" t="s">
        <v>498</v>
      </c>
      <c r="N147">
        <f t="shared" si="4"/>
        <v>2026</v>
      </c>
      <c r="O147" t="str">
        <f t="shared" si="5"/>
        <v>Sunday</v>
      </c>
    </row>
    <row r="148" spans="1:15" x14ac:dyDescent="0.3">
      <c r="A148" t="s">
        <v>507</v>
      </c>
      <c r="B148" t="s">
        <v>508</v>
      </c>
      <c r="C148" s="1">
        <v>46054.875</v>
      </c>
      <c r="D148" t="s">
        <v>2972</v>
      </c>
      <c r="E148" t="s">
        <v>16</v>
      </c>
      <c r="F148" t="s">
        <v>17</v>
      </c>
      <c r="G148" t="s">
        <v>101</v>
      </c>
      <c r="H148" t="s">
        <v>102</v>
      </c>
      <c r="I148" t="s">
        <v>45</v>
      </c>
      <c r="J148" t="s">
        <v>509</v>
      </c>
      <c r="K148" t="s">
        <v>22</v>
      </c>
      <c r="L148" s="1">
        <v>46054</v>
      </c>
      <c r="M148" t="s">
        <v>498</v>
      </c>
      <c r="N148">
        <f t="shared" si="4"/>
        <v>2026</v>
      </c>
      <c r="O148" t="str">
        <f t="shared" si="5"/>
        <v>Sunday</v>
      </c>
    </row>
    <row r="149" spans="1:15" x14ac:dyDescent="0.3">
      <c r="A149" t="s">
        <v>510</v>
      </c>
      <c r="B149" t="s">
        <v>511</v>
      </c>
      <c r="C149" s="1">
        <v>46055.875</v>
      </c>
      <c r="D149" t="s">
        <v>2972</v>
      </c>
      <c r="E149" t="s">
        <v>16</v>
      </c>
      <c r="F149" t="s">
        <v>17</v>
      </c>
      <c r="G149" t="s">
        <v>250</v>
      </c>
      <c r="H149" t="s">
        <v>251</v>
      </c>
      <c r="I149" t="s">
        <v>108</v>
      </c>
      <c r="J149" t="s">
        <v>512</v>
      </c>
      <c r="K149" t="s">
        <v>47</v>
      </c>
      <c r="L149" s="1">
        <v>46055</v>
      </c>
      <c r="M149" t="s">
        <v>498</v>
      </c>
      <c r="N149">
        <f t="shared" si="4"/>
        <v>2026</v>
      </c>
      <c r="O149" t="str">
        <f t="shared" si="5"/>
        <v>Monday</v>
      </c>
    </row>
    <row r="150" spans="1:15" x14ac:dyDescent="0.3">
      <c r="A150" t="s">
        <v>513</v>
      </c>
      <c r="B150" t="s">
        <v>514</v>
      </c>
      <c r="C150" s="1">
        <v>46056.5</v>
      </c>
      <c r="D150" t="s">
        <v>2972</v>
      </c>
      <c r="E150" t="s">
        <v>41</v>
      </c>
      <c r="F150" t="s">
        <v>50</v>
      </c>
      <c r="G150" t="s">
        <v>43</v>
      </c>
      <c r="H150" t="s">
        <v>44</v>
      </c>
      <c r="I150" t="s">
        <v>45</v>
      </c>
      <c r="J150" t="s">
        <v>515</v>
      </c>
      <c r="K150" t="s">
        <v>60</v>
      </c>
      <c r="L150" s="1">
        <v>46056</v>
      </c>
      <c r="M150" t="s">
        <v>498</v>
      </c>
      <c r="N150">
        <f t="shared" si="4"/>
        <v>2026</v>
      </c>
      <c r="O150" t="str">
        <f t="shared" si="5"/>
        <v>Tuesday</v>
      </c>
    </row>
    <row r="151" spans="1:15" x14ac:dyDescent="0.3">
      <c r="A151" t="s">
        <v>516</v>
      </c>
      <c r="B151" t="s">
        <v>479</v>
      </c>
      <c r="C151" s="1">
        <v>46056.583333333343</v>
      </c>
      <c r="D151" t="s">
        <v>2972</v>
      </c>
      <c r="E151" t="s">
        <v>26</v>
      </c>
      <c r="F151" t="s">
        <v>50</v>
      </c>
      <c r="G151" t="s">
        <v>86</v>
      </c>
      <c r="H151" t="s">
        <v>87</v>
      </c>
      <c r="I151" t="s">
        <v>82</v>
      </c>
      <c r="J151" t="s">
        <v>517</v>
      </c>
      <c r="K151" t="s">
        <v>47</v>
      </c>
      <c r="L151" s="1">
        <v>46056</v>
      </c>
      <c r="M151" t="s">
        <v>498</v>
      </c>
      <c r="N151">
        <f t="shared" si="4"/>
        <v>2026</v>
      </c>
      <c r="O151" t="str">
        <f t="shared" si="5"/>
        <v>Tuesday</v>
      </c>
    </row>
    <row r="152" spans="1:15" x14ac:dyDescent="0.3">
      <c r="A152" t="s">
        <v>518</v>
      </c>
      <c r="B152" t="s">
        <v>519</v>
      </c>
      <c r="C152" s="1">
        <v>46056.583333333343</v>
      </c>
      <c r="D152" t="s">
        <v>15</v>
      </c>
      <c r="E152" t="s">
        <v>41</v>
      </c>
      <c r="F152" t="s">
        <v>50</v>
      </c>
      <c r="G152" t="s">
        <v>43</v>
      </c>
      <c r="H152" t="s">
        <v>44</v>
      </c>
      <c r="I152" t="s">
        <v>45</v>
      </c>
      <c r="J152" t="s">
        <v>520</v>
      </c>
      <c r="K152" t="s">
        <v>60</v>
      </c>
      <c r="L152" s="1">
        <v>46056</v>
      </c>
      <c r="M152" t="s">
        <v>498</v>
      </c>
      <c r="N152">
        <f t="shared" si="4"/>
        <v>2026</v>
      </c>
      <c r="O152" t="str">
        <f t="shared" si="5"/>
        <v>Tuesday</v>
      </c>
    </row>
    <row r="153" spans="1:15" x14ac:dyDescent="0.3">
      <c r="A153" t="s">
        <v>521</v>
      </c>
      <c r="B153" t="s">
        <v>311</v>
      </c>
      <c r="C153" s="1">
        <v>46056.666666666657</v>
      </c>
      <c r="D153" t="s">
        <v>15</v>
      </c>
      <c r="E153" t="s">
        <v>41</v>
      </c>
      <c r="F153" t="s">
        <v>17</v>
      </c>
      <c r="G153" t="s">
        <v>35</v>
      </c>
      <c r="H153" t="s">
        <v>36</v>
      </c>
      <c r="I153" t="s">
        <v>37</v>
      </c>
      <c r="J153" t="s">
        <v>522</v>
      </c>
      <c r="K153" t="s">
        <v>22</v>
      </c>
      <c r="L153" s="1">
        <v>46056</v>
      </c>
      <c r="M153" t="s">
        <v>498</v>
      </c>
      <c r="N153">
        <f t="shared" si="4"/>
        <v>2026</v>
      </c>
      <c r="O153" t="str">
        <f t="shared" si="5"/>
        <v>Tuesday</v>
      </c>
    </row>
    <row r="154" spans="1:15" x14ac:dyDescent="0.3">
      <c r="A154" t="s">
        <v>523</v>
      </c>
      <c r="B154" t="s">
        <v>524</v>
      </c>
      <c r="C154" s="1">
        <v>46056.666666666657</v>
      </c>
      <c r="D154" t="s">
        <v>15</v>
      </c>
      <c r="E154" t="s">
        <v>26</v>
      </c>
      <c r="F154" t="s">
        <v>50</v>
      </c>
      <c r="G154" t="s">
        <v>96</v>
      </c>
      <c r="H154" t="s">
        <v>97</v>
      </c>
      <c r="I154" t="s">
        <v>58</v>
      </c>
      <c r="J154" t="s">
        <v>525</v>
      </c>
      <c r="K154" t="s">
        <v>74</v>
      </c>
      <c r="L154" s="1">
        <v>46056</v>
      </c>
      <c r="M154" t="s">
        <v>498</v>
      </c>
      <c r="N154">
        <f t="shared" si="4"/>
        <v>2026</v>
      </c>
      <c r="O154" t="str">
        <f t="shared" si="5"/>
        <v>Tuesday</v>
      </c>
    </row>
    <row r="155" spans="1:15" x14ac:dyDescent="0.3">
      <c r="A155" t="s">
        <v>526</v>
      </c>
      <c r="B155" t="s">
        <v>527</v>
      </c>
      <c r="C155" s="1">
        <v>46056.791666666657</v>
      </c>
      <c r="D155" t="s">
        <v>15</v>
      </c>
      <c r="E155" t="s">
        <v>34</v>
      </c>
      <c r="F155" t="s">
        <v>17</v>
      </c>
      <c r="G155" t="s">
        <v>126</v>
      </c>
      <c r="H155" t="s">
        <v>127</v>
      </c>
      <c r="I155" t="s">
        <v>45</v>
      </c>
      <c r="J155" t="s">
        <v>528</v>
      </c>
      <c r="K155" t="s">
        <v>60</v>
      </c>
      <c r="L155" s="1">
        <v>46056</v>
      </c>
      <c r="M155" t="s">
        <v>498</v>
      </c>
      <c r="N155">
        <f t="shared" si="4"/>
        <v>2026</v>
      </c>
      <c r="O155" t="str">
        <f t="shared" si="5"/>
        <v>Tuesday</v>
      </c>
    </row>
    <row r="156" spans="1:15" x14ac:dyDescent="0.3">
      <c r="A156" t="s">
        <v>529</v>
      </c>
      <c r="B156" t="s">
        <v>530</v>
      </c>
      <c r="C156" s="1">
        <v>46056.875</v>
      </c>
      <c r="D156" t="s">
        <v>15</v>
      </c>
      <c r="E156" t="s">
        <v>16</v>
      </c>
      <c r="F156" t="s">
        <v>17</v>
      </c>
      <c r="G156" t="s">
        <v>101</v>
      </c>
      <c r="H156" t="s">
        <v>102</v>
      </c>
      <c r="I156" t="s">
        <v>45</v>
      </c>
      <c r="J156" t="s">
        <v>531</v>
      </c>
      <c r="K156" t="s">
        <v>22</v>
      </c>
      <c r="L156" s="1">
        <v>46056</v>
      </c>
      <c r="M156" t="s">
        <v>498</v>
      </c>
      <c r="N156">
        <f t="shared" si="4"/>
        <v>2026</v>
      </c>
      <c r="O156" t="str">
        <f t="shared" si="5"/>
        <v>Tuesday</v>
      </c>
    </row>
    <row r="157" spans="1:15" x14ac:dyDescent="0.3">
      <c r="A157" t="s">
        <v>532</v>
      </c>
      <c r="B157" t="s">
        <v>533</v>
      </c>
      <c r="C157" s="1">
        <v>46056.875</v>
      </c>
      <c r="D157" t="s">
        <v>15</v>
      </c>
      <c r="E157" t="s">
        <v>16</v>
      </c>
      <c r="F157" t="s">
        <v>50</v>
      </c>
      <c r="G157" t="s">
        <v>149</v>
      </c>
      <c r="H157" t="s">
        <v>150</v>
      </c>
      <c r="I157" t="s">
        <v>37</v>
      </c>
      <c r="J157" t="s">
        <v>534</v>
      </c>
      <c r="K157" t="s">
        <v>22</v>
      </c>
      <c r="L157" s="1">
        <v>46056</v>
      </c>
      <c r="M157" t="s">
        <v>498</v>
      </c>
      <c r="N157">
        <f t="shared" si="4"/>
        <v>2026</v>
      </c>
      <c r="O157" t="str">
        <f t="shared" si="5"/>
        <v>Tuesday</v>
      </c>
    </row>
    <row r="158" spans="1:15" x14ac:dyDescent="0.3">
      <c r="A158" t="s">
        <v>535</v>
      </c>
      <c r="B158" t="s">
        <v>536</v>
      </c>
      <c r="C158" s="1">
        <v>46057.625</v>
      </c>
      <c r="D158" t="s">
        <v>2973</v>
      </c>
      <c r="E158" t="s">
        <v>16</v>
      </c>
      <c r="F158" t="s">
        <v>17</v>
      </c>
      <c r="G158" t="s">
        <v>101</v>
      </c>
      <c r="H158" t="s">
        <v>102</v>
      </c>
      <c r="I158" t="s">
        <v>45</v>
      </c>
      <c r="J158" t="s">
        <v>537</v>
      </c>
      <c r="K158" t="s">
        <v>47</v>
      </c>
      <c r="L158" s="1">
        <v>46057</v>
      </c>
      <c r="M158" t="s">
        <v>498</v>
      </c>
      <c r="N158">
        <f t="shared" si="4"/>
        <v>2026</v>
      </c>
      <c r="O158" t="str">
        <f t="shared" si="5"/>
        <v>Wednesday</v>
      </c>
    </row>
    <row r="159" spans="1:15" x14ac:dyDescent="0.3">
      <c r="A159" t="s">
        <v>538</v>
      </c>
      <c r="B159" t="s">
        <v>539</v>
      </c>
      <c r="C159" s="1">
        <v>46058.375</v>
      </c>
      <c r="D159" t="s">
        <v>2973</v>
      </c>
      <c r="E159" t="s">
        <v>26</v>
      </c>
      <c r="F159" t="s">
        <v>42</v>
      </c>
      <c r="G159" t="s">
        <v>91</v>
      </c>
      <c r="H159" t="s">
        <v>92</v>
      </c>
      <c r="I159" t="s">
        <v>37</v>
      </c>
      <c r="J159" t="s">
        <v>540</v>
      </c>
      <c r="K159" t="s">
        <v>22</v>
      </c>
      <c r="L159" s="1">
        <v>46058</v>
      </c>
      <c r="M159" t="s">
        <v>498</v>
      </c>
      <c r="N159">
        <f t="shared" si="4"/>
        <v>2026</v>
      </c>
      <c r="O159" t="str">
        <f t="shared" si="5"/>
        <v>Thursday</v>
      </c>
    </row>
    <row r="160" spans="1:15" x14ac:dyDescent="0.3">
      <c r="A160" t="s">
        <v>541</v>
      </c>
      <c r="B160" t="s">
        <v>542</v>
      </c>
      <c r="C160" s="1">
        <v>46058.458333333343</v>
      </c>
      <c r="D160" t="s">
        <v>2973</v>
      </c>
      <c r="E160" t="s">
        <v>16</v>
      </c>
      <c r="F160" t="s">
        <v>17</v>
      </c>
      <c r="G160" t="s">
        <v>18</v>
      </c>
      <c r="H160" t="s">
        <v>19</v>
      </c>
      <c r="I160" t="s">
        <v>20</v>
      </c>
      <c r="J160" t="s">
        <v>543</v>
      </c>
      <c r="K160" t="s">
        <v>60</v>
      </c>
      <c r="L160" s="1">
        <v>46058</v>
      </c>
      <c r="M160" t="s">
        <v>498</v>
      </c>
      <c r="N160">
        <f t="shared" si="4"/>
        <v>2026</v>
      </c>
      <c r="O160" t="str">
        <f t="shared" si="5"/>
        <v>Thursday</v>
      </c>
    </row>
    <row r="161" spans="1:15" x14ac:dyDescent="0.3">
      <c r="A161" t="s">
        <v>544</v>
      </c>
      <c r="B161" t="s">
        <v>545</v>
      </c>
      <c r="C161" s="1">
        <v>46058.708333333343</v>
      </c>
      <c r="D161" t="s">
        <v>2973</v>
      </c>
      <c r="E161" t="s">
        <v>16</v>
      </c>
      <c r="F161" t="s">
        <v>17</v>
      </c>
      <c r="G161" t="s">
        <v>160</v>
      </c>
      <c r="H161" t="s">
        <v>161</v>
      </c>
      <c r="I161" t="s">
        <v>82</v>
      </c>
      <c r="J161" t="s">
        <v>546</v>
      </c>
      <c r="K161" t="s">
        <v>74</v>
      </c>
      <c r="L161" s="1">
        <v>46058</v>
      </c>
      <c r="M161" t="s">
        <v>498</v>
      </c>
      <c r="N161">
        <f t="shared" si="4"/>
        <v>2026</v>
      </c>
      <c r="O161" t="str">
        <f t="shared" si="5"/>
        <v>Thursday</v>
      </c>
    </row>
    <row r="162" spans="1:15" x14ac:dyDescent="0.3">
      <c r="A162" t="s">
        <v>547</v>
      </c>
      <c r="B162" t="s">
        <v>219</v>
      </c>
      <c r="C162" s="1">
        <v>46058.708333333343</v>
      </c>
      <c r="D162" t="s">
        <v>2973</v>
      </c>
      <c r="E162" t="s">
        <v>16</v>
      </c>
      <c r="F162" t="s">
        <v>50</v>
      </c>
      <c r="G162" t="s">
        <v>126</v>
      </c>
      <c r="H162" t="s">
        <v>127</v>
      </c>
      <c r="I162" t="s">
        <v>45</v>
      </c>
      <c r="J162" t="s">
        <v>548</v>
      </c>
      <c r="K162" t="s">
        <v>22</v>
      </c>
      <c r="L162" s="1">
        <v>46058</v>
      </c>
      <c r="M162" t="s">
        <v>498</v>
      </c>
      <c r="N162">
        <f t="shared" si="4"/>
        <v>2026</v>
      </c>
      <c r="O162" t="str">
        <f t="shared" si="5"/>
        <v>Thursday</v>
      </c>
    </row>
    <row r="163" spans="1:15" x14ac:dyDescent="0.3">
      <c r="A163" t="s">
        <v>549</v>
      </c>
      <c r="B163" t="s">
        <v>536</v>
      </c>
      <c r="C163" s="1">
        <v>46058.75</v>
      </c>
      <c r="D163" t="s">
        <v>2973</v>
      </c>
      <c r="E163" t="s">
        <v>41</v>
      </c>
      <c r="F163" t="s">
        <v>50</v>
      </c>
      <c r="G163" t="s">
        <v>27</v>
      </c>
      <c r="H163" t="s">
        <v>28</v>
      </c>
      <c r="I163" t="s">
        <v>29</v>
      </c>
      <c r="J163" t="s">
        <v>550</v>
      </c>
      <c r="K163" t="s">
        <v>22</v>
      </c>
      <c r="L163" s="1">
        <v>46058</v>
      </c>
      <c r="M163" t="s">
        <v>498</v>
      </c>
      <c r="N163">
        <f t="shared" si="4"/>
        <v>2026</v>
      </c>
      <c r="O163" t="str">
        <f t="shared" si="5"/>
        <v>Thursday</v>
      </c>
    </row>
    <row r="164" spans="1:15" x14ac:dyDescent="0.3">
      <c r="A164" t="s">
        <v>551</v>
      </c>
      <c r="B164" t="s">
        <v>552</v>
      </c>
      <c r="C164" s="1">
        <v>46059.333333333343</v>
      </c>
      <c r="D164" t="s">
        <v>15</v>
      </c>
      <c r="E164" t="s">
        <v>26</v>
      </c>
      <c r="F164" t="s">
        <v>50</v>
      </c>
      <c r="G164" t="s">
        <v>160</v>
      </c>
      <c r="H164" t="s">
        <v>161</v>
      </c>
      <c r="I164" t="s">
        <v>82</v>
      </c>
      <c r="J164" t="s">
        <v>553</v>
      </c>
      <c r="K164" t="s">
        <v>31</v>
      </c>
      <c r="L164" s="1">
        <v>46059</v>
      </c>
      <c r="M164" t="s">
        <v>498</v>
      </c>
      <c r="N164">
        <f t="shared" si="4"/>
        <v>2026</v>
      </c>
      <c r="O164" t="str">
        <f t="shared" si="5"/>
        <v>Friday</v>
      </c>
    </row>
    <row r="165" spans="1:15" x14ac:dyDescent="0.3">
      <c r="A165" t="s">
        <v>554</v>
      </c>
      <c r="B165" t="s">
        <v>412</v>
      </c>
      <c r="C165" s="1">
        <v>46059.625</v>
      </c>
      <c r="D165" t="s">
        <v>15</v>
      </c>
      <c r="E165" t="s">
        <v>16</v>
      </c>
      <c r="F165" t="s">
        <v>17</v>
      </c>
      <c r="G165" t="s">
        <v>250</v>
      </c>
      <c r="H165" t="s">
        <v>251</v>
      </c>
      <c r="I165" t="s">
        <v>108</v>
      </c>
      <c r="J165" t="s">
        <v>555</v>
      </c>
      <c r="K165" t="s">
        <v>60</v>
      </c>
      <c r="L165" s="1">
        <v>46059</v>
      </c>
      <c r="M165" t="s">
        <v>498</v>
      </c>
      <c r="N165">
        <f t="shared" si="4"/>
        <v>2026</v>
      </c>
      <c r="O165" t="str">
        <f t="shared" si="5"/>
        <v>Friday</v>
      </c>
    </row>
    <row r="166" spans="1:15" x14ac:dyDescent="0.3">
      <c r="A166" t="s">
        <v>556</v>
      </c>
      <c r="B166" t="s">
        <v>557</v>
      </c>
      <c r="C166" s="1">
        <v>46059.75</v>
      </c>
      <c r="D166" t="s">
        <v>15</v>
      </c>
      <c r="E166" t="s">
        <v>26</v>
      </c>
      <c r="F166" t="s">
        <v>17</v>
      </c>
      <c r="G166" t="s">
        <v>80</v>
      </c>
      <c r="H166" t="s">
        <v>81</v>
      </c>
      <c r="I166" t="s">
        <v>82</v>
      </c>
      <c r="J166" t="s">
        <v>558</v>
      </c>
      <c r="K166" t="s">
        <v>31</v>
      </c>
      <c r="L166" s="1">
        <v>46059</v>
      </c>
      <c r="M166" t="s">
        <v>498</v>
      </c>
      <c r="N166">
        <f t="shared" si="4"/>
        <v>2026</v>
      </c>
      <c r="O166" t="str">
        <f t="shared" si="5"/>
        <v>Friday</v>
      </c>
    </row>
    <row r="167" spans="1:15" x14ac:dyDescent="0.3">
      <c r="A167" t="s">
        <v>559</v>
      </c>
      <c r="B167" t="s">
        <v>560</v>
      </c>
      <c r="C167" s="1">
        <v>46059.833333333343</v>
      </c>
      <c r="D167" t="s">
        <v>15</v>
      </c>
      <c r="E167" t="s">
        <v>63</v>
      </c>
      <c r="F167" t="s">
        <v>42</v>
      </c>
      <c r="G167" t="s">
        <v>18</v>
      </c>
      <c r="H167" t="s">
        <v>19</v>
      </c>
      <c r="I167" t="s">
        <v>20</v>
      </c>
      <c r="J167" t="s">
        <v>561</v>
      </c>
      <c r="K167" t="s">
        <v>47</v>
      </c>
      <c r="L167" s="1">
        <v>46059</v>
      </c>
      <c r="M167" t="s">
        <v>498</v>
      </c>
      <c r="N167">
        <f t="shared" si="4"/>
        <v>2026</v>
      </c>
      <c r="O167" t="str">
        <f t="shared" si="5"/>
        <v>Friday</v>
      </c>
    </row>
    <row r="168" spans="1:15" x14ac:dyDescent="0.3">
      <c r="A168" t="s">
        <v>562</v>
      </c>
      <c r="B168" t="s">
        <v>563</v>
      </c>
      <c r="C168" s="1">
        <v>46059.875</v>
      </c>
      <c r="D168" t="s">
        <v>15</v>
      </c>
      <c r="E168" t="s">
        <v>16</v>
      </c>
      <c r="F168" t="s">
        <v>42</v>
      </c>
      <c r="G168" t="s">
        <v>112</v>
      </c>
      <c r="H168" t="s">
        <v>113</v>
      </c>
      <c r="I168" t="s">
        <v>37</v>
      </c>
      <c r="J168" t="s">
        <v>564</v>
      </c>
      <c r="K168" t="s">
        <v>31</v>
      </c>
      <c r="L168" s="1">
        <v>46059</v>
      </c>
      <c r="M168" t="s">
        <v>498</v>
      </c>
      <c r="N168">
        <f t="shared" si="4"/>
        <v>2026</v>
      </c>
      <c r="O168" t="str">
        <f t="shared" si="5"/>
        <v>Friday</v>
      </c>
    </row>
    <row r="169" spans="1:15" x14ac:dyDescent="0.3">
      <c r="A169" t="s">
        <v>565</v>
      </c>
      <c r="B169" t="s">
        <v>566</v>
      </c>
      <c r="C169" s="1">
        <v>46060.541666666657</v>
      </c>
      <c r="D169" t="s">
        <v>15</v>
      </c>
      <c r="E169" t="s">
        <v>63</v>
      </c>
      <c r="F169" t="s">
        <v>50</v>
      </c>
      <c r="G169" t="s">
        <v>51</v>
      </c>
      <c r="H169" t="s">
        <v>52</v>
      </c>
      <c r="I169" t="s">
        <v>20</v>
      </c>
      <c r="J169" t="s">
        <v>567</v>
      </c>
      <c r="K169" t="s">
        <v>60</v>
      </c>
      <c r="L169" s="1">
        <v>46060</v>
      </c>
      <c r="M169" t="s">
        <v>498</v>
      </c>
      <c r="N169">
        <f t="shared" si="4"/>
        <v>2026</v>
      </c>
      <c r="O169" t="str">
        <f t="shared" si="5"/>
        <v>Saturday</v>
      </c>
    </row>
    <row r="170" spans="1:15" x14ac:dyDescent="0.3">
      <c r="A170" t="s">
        <v>568</v>
      </c>
      <c r="B170" t="s">
        <v>263</v>
      </c>
      <c r="C170" s="1">
        <v>46060.75</v>
      </c>
      <c r="D170" t="s">
        <v>15</v>
      </c>
      <c r="E170" t="s">
        <v>34</v>
      </c>
      <c r="F170" t="s">
        <v>17</v>
      </c>
      <c r="G170" t="s">
        <v>191</v>
      </c>
      <c r="H170" t="s">
        <v>192</v>
      </c>
      <c r="I170" t="s">
        <v>45</v>
      </c>
      <c r="J170" t="s">
        <v>569</v>
      </c>
      <c r="K170" t="s">
        <v>74</v>
      </c>
      <c r="L170" s="1">
        <v>46060</v>
      </c>
      <c r="M170" t="s">
        <v>498</v>
      </c>
      <c r="N170">
        <f t="shared" si="4"/>
        <v>2026</v>
      </c>
      <c r="O170" t="str">
        <f t="shared" si="5"/>
        <v>Saturday</v>
      </c>
    </row>
    <row r="171" spans="1:15" x14ac:dyDescent="0.3">
      <c r="A171" t="s">
        <v>570</v>
      </c>
      <c r="B171" t="s">
        <v>571</v>
      </c>
      <c r="C171" s="1">
        <v>46061.583333333343</v>
      </c>
      <c r="D171" t="s">
        <v>2973</v>
      </c>
      <c r="E171" t="s">
        <v>63</v>
      </c>
      <c r="F171" t="s">
        <v>17</v>
      </c>
      <c r="G171" t="s">
        <v>101</v>
      </c>
      <c r="H171" t="s">
        <v>102</v>
      </c>
      <c r="I171" t="s">
        <v>45</v>
      </c>
      <c r="J171" t="s">
        <v>572</v>
      </c>
      <c r="K171" t="s">
        <v>31</v>
      </c>
      <c r="L171" s="1">
        <v>46061</v>
      </c>
      <c r="M171" t="s">
        <v>498</v>
      </c>
      <c r="N171">
        <f t="shared" si="4"/>
        <v>2026</v>
      </c>
      <c r="O171" t="str">
        <f t="shared" si="5"/>
        <v>Sunday</v>
      </c>
    </row>
    <row r="172" spans="1:15" x14ac:dyDescent="0.3">
      <c r="A172" t="s">
        <v>573</v>
      </c>
      <c r="B172" t="s">
        <v>574</v>
      </c>
      <c r="C172" s="1">
        <v>46061.625</v>
      </c>
      <c r="D172" t="s">
        <v>15</v>
      </c>
      <c r="E172" t="s">
        <v>16</v>
      </c>
      <c r="F172" t="s">
        <v>42</v>
      </c>
      <c r="G172" t="s">
        <v>101</v>
      </c>
      <c r="H172" t="s">
        <v>102</v>
      </c>
      <c r="I172" t="s">
        <v>45</v>
      </c>
      <c r="J172" t="s">
        <v>575</v>
      </c>
      <c r="K172" t="s">
        <v>47</v>
      </c>
      <c r="L172" s="1">
        <v>46061</v>
      </c>
      <c r="M172" t="s">
        <v>498</v>
      </c>
      <c r="N172">
        <f t="shared" si="4"/>
        <v>2026</v>
      </c>
      <c r="O172" t="str">
        <f t="shared" si="5"/>
        <v>Sunday</v>
      </c>
    </row>
    <row r="173" spans="1:15" x14ac:dyDescent="0.3">
      <c r="A173" t="s">
        <v>576</v>
      </c>
      <c r="B173" t="s">
        <v>577</v>
      </c>
      <c r="C173" s="1">
        <v>46061.625</v>
      </c>
      <c r="D173" t="s">
        <v>15</v>
      </c>
      <c r="E173" t="s">
        <v>34</v>
      </c>
      <c r="F173" t="s">
        <v>17</v>
      </c>
      <c r="G173" t="s">
        <v>27</v>
      </c>
      <c r="H173" t="s">
        <v>28</v>
      </c>
      <c r="I173" t="s">
        <v>29</v>
      </c>
      <c r="J173" t="s">
        <v>578</v>
      </c>
      <c r="K173" t="s">
        <v>47</v>
      </c>
      <c r="L173" s="1">
        <v>46061</v>
      </c>
      <c r="M173" t="s">
        <v>498</v>
      </c>
      <c r="N173">
        <f t="shared" si="4"/>
        <v>2026</v>
      </c>
      <c r="O173" t="str">
        <f t="shared" si="5"/>
        <v>Sunday</v>
      </c>
    </row>
    <row r="174" spans="1:15" x14ac:dyDescent="0.3">
      <c r="A174" t="s">
        <v>579</v>
      </c>
      <c r="B174" t="s">
        <v>580</v>
      </c>
      <c r="C174" s="1">
        <v>46061.708333333343</v>
      </c>
      <c r="D174" t="s">
        <v>15</v>
      </c>
      <c r="E174" t="s">
        <v>63</v>
      </c>
      <c r="F174" t="s">
        <v>17</v>
      </c>
      <c r="G174" t="s">
        <v>165</v>
      </c>
      <c r="H174" t="s">
        <v>166</v>
      </c>
      <c r="I174" t="s">
        <v>29</v>
      </c>
      <c r="J174" t="s">
        <v>581</v>
      </c>
      <c r="K174" t="s">
        <v>74</v>
      </c>
      <c r="L174" s="1">
        <v>46061</v>
      </c>
      <c r="M174" t="s">
        <v>498</v>
      </c>
      <c r="N174">
        <f t="shared" si="4"/>
        <v>2026</v>
      </c>
      <c r="O174" t="str">
        <f t="shared" si="5"/>
        <v>Sunday</v>
      </c>
    </row>
    <row r="175" spans="1:15" x14ac:dyDescent="0.3">
      <c r="A175" t="s">
        <v>582</v>
      </c>
      <c r="B175" t="s">
        <v>583</v>
      </c>
      <c r="C175" s="1">
        <v>46062.333333333343</v>
      </c>
      <c r="D175" t="s">
        <v>15</v>
      </c>
      <c r="E175" t="s">
        <v>41</v>
      </c>
      <c r="F175" t="s">
        <v>50</v>
      </c>
      <c r="G175" t="s">
        <v>96</v>
      </c>
      <c r="H175" t="s">
        <v>97</v>
      </c>
      <c r="I175" t="s">
        <v>58</v>
      </c>
      <c r="J175" t="s">
        <v>584</v>
      </c>
      <c r="K175" t="s">
        <v>22</v>
      </c>
      <c r="L175" s="1">
        <v>46062</v>
      </c>
      <c r="M175" t="s">
        <v>498</v>
      </c>
      <c r="N175">
        <f t="shared" si="4"/>
        <v>2026</v>
      </c>
      <c r="O175" t="str">
        <f t="shared" si="5"/>
        <v>Monday</v>
      </c>
    </row>
    <row r="176" spans="1:15" x14ac:dyDescent="0.3">
      <c r="A176" t="s">
        <v>585</v>
      </c>
      <c r="B176" t="s">
        <v>586</v>
      </c>
      <c r="C176" s="1">
        <v>46062.375</v>
      </c>
      <c r="D176" t="s">
        <v>2973</v>
      </c>
      <c r="E176" t="s">
        <v>16</v>
      </c>
      <c r="F176" t="s">
        <v>17</v>
      </c>
      <c r="G176" t="s">
        <v>35</v>
      </c>
      <c r="H176" t="s">
        <v>36</v>
      </c>
      <c r="I176" t="s">
        <v>37</v>
      </c>
      <c r="J176" t="s">
        <v>587</v>
      </c>
      <c r="K176" t="s">
        <v>22</v>
      </c>
      <c r="L176" s="1">
        <v>46062</v>
      </c>
      <c r="M176" t="s">
        <v>498</v>
      </c>
      <c r="N176">
        <f t="shared" si="4"/>
        <v>2026</v>
      </c>
      <c r="O176" t="str">
        <f t="shared" si="5"/>
        <v>Monday</v>
      </c>
    </row>
    <row r="177" spans="1:15" x14ac:dyDescent="0.3">
      <c r="A177" t="s">
        <v>588</v>
      </c>
      <c r="B177" t="s">
        <v>589</v>
      </c>
      <c r="C177" s="1">
        <v>46062.583333333343</v>
      </c>
      <c r="D177" t="s">
        <v>15</v>
      </c>
      <c r="E177" t="s">
        <v>34</v>
      </c>
      <c r="F177" t="s">
        <v>17</v>
      </c>
      <c r="G177" t="s">
        <v>91</v>
      </c>
      <c r="H177" t="s">
        <v>92</v>
      </c>
      <c r="I177" t="s">
        <v>37</v>
      </c>
      <c r="J177" t="s">
        <v>590</v>
      </c>
      <c r="K177" t="s">
        <v>31</v>
      </c>
      <c r="L177" s="1">
        <v>46062</v>
      </c>
      <c r="M177" t="s">
        <v>498</v>
      </c>
      <c r="N177">
        <f t="shared" si="4"/>
        <v>2026</v>
      </c>
      <c r="O177" t="str">
        <f t="shared" si="5"/>
        <v>Monday</v>
      </c>
    </row>
    <row r="178" spans="1:15" x14ac:dyDescent="0.3">
      <c r="A178" t="s">
        <v>591</v>
      </c>
      <c r="B178" t="s">
        <v>592</v>
      </c>
      <c r="C178" s="1">
        <v>46062.625</v>
      </c>
      <c r="D178" t="s">
        <v>15</v>
      </c>
      <c r="E178" t="s">
        <v>26</v>
      </c>
      <c r="F178" t="s">
        <v>17</v>
      </c>
      <c r="G178" t="s">
        <v>355</v>
      </c>
      <c r="H178" t="s">
        <v>356</v>
      </c>
      <c r="I178" t="s">
        <v>82</v>
      </c>
      <c r="J178" t="s">
        <v>593</v>
      </c>
      <c r="K178" t="s">
        <v>60</v>
      </c>
      <c r="L178" s="1">
        <v>46062</v>
      </c>
      <c r="M178" t="s">
        <v>498</v>
      </c>
      <c r="N178">
        <f t="shared" si="4"/>
        <v>2026</v>
      </c>
      <c r="O178" t="str">
        <f t="shared" si="5"/>
        <v>Monday</v>
      </c>
    </row>
    <row r="179" spans="1:15" x14ac:dyDescent="0.3">
      <c r="A179" t="s">
        <v>594</v>
      </c>
      <c r="B179" t="s">
        <v>595</v>
      </c>
      <c r="C179" s="1">
        <v>46062.75</v>
      </c>
      <c r="D179" t="s">
        <v>15</v>
      </c>
      <c r="E179" t="s">
        <v>26</v>
      </c>
      <c r="F179" t="s">
        <v>42</v>
      </c>
      <c r="G179" t="s">
        <v>250</v>
      </c>
      <c r="H179" t="s">
        <v>251</v>
      </c>
      <c r="I179" t="s">
        <v>108</v>
      </c>
      <c r="J179" t="s">
        <v>596</v>
      </c>
      <c r="K179" t="s">
        <v>47</v>
      </c>
      <c r="L179" s="1">
        <v>46062</v>
      </c>
      <c r="M179" t="s">
        <v>498</v>
      </c>
      <c r="N179">
        <f t="shared" si="4"/>
        <v>2026</v>
      </c>
      <c r="O179" t="str">
        <f t="shared" si="5"/>
        <v>Monday</v>
      </c>
    </row>
    <row r="180" spans="1:15" x14ac:dyDescent="0.3">
      <c r="A180" t="s">
        <v>597</v>
      </c>
      <c r="B180" t="s">
        <v>598</v>
      </c>
      <c r="C180" s="1">
        <v>46063.708333333343</v>
      </c>
      <c r="D180" t="s">
        <v>15</v>
      </c>
      <c r="E180" t="s">
        <v>41</v>
      </c>
      <c r="F180" t="s">
        <v>42</v>
      </c>
      <c r="G180" t="s">
        <v>149</v>
      </c>
      <c r="H180" t="s">
        <v>150</v>
      </c>
      <c r="I180" t="s">
        <v>37</v>
      </c>
      <c r="J180" t="s">
        <v>599</v>
      </c>
      <c r="K180" t="s">
        <v>60</v>
      </c>
      <c r="L180" s="1">
        <v>46063</v>
      </c>
      <c r="M180" t="s">
        <v>498</v>
      </c>
      <c r="N180">
        <f t="shared" si="4"/>
        <v>2026</v>
      </c>
      <c r="O180" t="str">
        <f t="shared" si="5"/>
        <v>Tuesday</v>
      </c>
    </row>
    <row r="181" spans="1:15" x14ac:dyDescent="0.3">
      <c r="A181" t="s">
        <v>600</v>
      </c>
      <c r="B181" t="s">
        <v>601</v>
      </c>
      <c r="C181" s="1">
        <v>46063.833333333343</v>
      </c>
      <c r="D181" t="s">
        <v>15</v>
      </c>
      <c r="E181" t="s">
        <v>16</v>
      </c>
      <c r="F181" t="s">
        <v>17</v>
      </c>
      <c r="G181" t="s">
        <v>51</v>
      </c>
      <c r="H181" t="s">
        <v>52</v>
      </c>
      <c r="I181" t="s">
        <v>20</v>
      </c>
      <c r="J181" t="s">
        <v>602</v>
      </c>
      <c r="K181" t="s">
        <v>31</v>
      </c>
      <c r="L181" s="1">
        <v>46063</v>
      </c>
      <c r="M181" t="s">
        <v>498</v>
      </c>
      <c r="N181">
        <f t="shared" si="4"/>
        <v>2026</v>
      </c>
      <c r="O181" t="str">
        <f t="shared" si="5"/>
        <v>Tuesday</v>
      </c>
    </row>
    <row r="182" spans="1:15" x14ac:dyDescent="0.3">
      <c r="A182" t="s">
        <v>603</v>
      </c>
      <c r="B182" t="s">
        <v>604</v>
      </c>
      <c r="C182" s="1">
        <v>46063.875</v>
      </c>
      <c r="D182" t="s">
        <v>15</v>
      </c>
      <c r="E182" t="s">
        <v>34</v>
      </c>
      <c r="F182" t="s">
        <v>17</v>
      </c>
      <c r="G182" t="s">
        <v>80</v>
      </c>
      <c r="H182" t="s">
        <v>81</v>
      </c>
      <c r="I182" t="s">
        <v>82</v>
      </c>
      <c r="J182" t="s">
        <v>605</v>
      </c>
      <c r="K182" t="s">
        <v>60</v>
      </c>
      <c r="L182" s="1">
        <v>46063</v>
      </c>
      <c r="M182" t="s">
        <v>498</v>
      </c>
      <c r="N182">
        <f t="shared" si="4"/>
        <v>2026</v>
      </c>
      <c r="O182" t="str">
        <f t="shared" si="5"/>
        <v>Tuesday</v>
      </c>
    </row>
    <row r="183" spans="1:15" x14ac:dyDescent="0.3">
      <c r="A183" t="s">
        <v>606</v>
      </c>
      <c r="B183" t="s">
        <v>607</v>
      </c>
      <c r="C183" s="1">
        <v>46063.875</v>
      </c>
      <c r="D183" t="s">
        <v>2973</v>
      </c>
      <c r="E183" t="s">
        <v>26</v>
      </c>
      <c r="F183" t="s">
        <v>17</v>
      </c>
      <c r="G183" t="s">
        <v>106</v>
      </c>
      <c r="H183" t="s">
        <v>107</v>
      </c>
      <c r="I183" t="s">
        <v>108</v>
      </c>
      <c r="J183" t="s">
        <v>608</v>
      </c>
      <c r="K183" t="s">
        <v>74</v>
      </c>
      <c r="L183" s="1">
        <v>46063</v>
      </c>
      <c r="M183" t="s">
        <v>498</v>
      </c>
      <c r="N183">
        <f t="shared" si="4"/>
        <v>2026</v>
      </c>
      <c r="O183" t="str">
        <f t="shared" si="5"/>
        <v>Tuesday</v>
      </c>
    </row>
    <row r="184" spans="1:15" x14ac:dyDescent="0.3">
      <c r="A184" t="s">
        <v>609</v>
      </c>
      <c r="B184" t="s">
        <v>610</v>
      </c>
      <c r="C184" s="1">
        <v>46064.458333333343</v>
      </c>
      <c r="D184" t="s">
        <v>15</v>
      </c>
      <c r="E184" t="s">
        <v>41</v>
      </c>
      <c r="F184" t="s">
        <v>17</v>
      </c>
      <c r="G184" t="s">
        <v>160</v>
      </c>
      <c r="H184" t="s">
        <v>161</v>
      </c>
      <c r="I184" t="s">
        <v>82</v>
      </c>
      <c r="J184" t="s">
        <v>611</v>
      </c>
      <c r="K184" t="s">
        <v>47</v>
      </c>
      <c r="L184" s="1">
        <v>46064</v>
      </c>
      <c r="M184" t="s">
        <v>498</v>
      </c>
      <c r="N184">
        <f t="shared" si="4"/>
        <v>2026</v>
      </c>
      <c r="O184" t="str">
        <f t="shared" si="5"/>
        <v>Wednesday</v>
      </c>
    </row>
    <row r="185" spans="1:15" x14ac:dyDescent="0.3">
      <c r="A185" t="s">
        <v>612</v>
      </c>
      <c r="B185" t="s">
        <v>613</v>
      </c>
      <c r="C185" s="1">
        <v>46064.541666666657</v>
      </c>
      <c r="D185" t="s">
        <v>15</v>
      </c>
      <c r="E185" t="s">
        <v>26</v>
      </c>
      <c r="F185" t="s">
        <v>17</v>
      </c>
      <c r="G185" t="s">
        <v>160</v>
      </c>
      <c r="H185" t="s">
        <v>161</v>
      </c>
      <c r="I185" t="s">
        <v>82</v>
      </c>
      <c r="J185" t="s">
        <v>614</v>
      </c>
      <c r="K185" t="s">
        <v>47</v>
      </c>
      <c r="L185" s="1">
        <v>46064</v>
      </c>
      <c r="M185" t="s">
        <v>498</v>
      </c>
      <c r="N185">
        <f t="shared" si="4"/>
        <v>2026</v>
      </c>
      <c r="O185" t="str">
        <f t="shared" si="5"/>
        <v>Wednesday</v>
      </c>
    </row>
    <row r="186" spans="1:15" x14ac:dyDescent="0.3">
      <c r="A186" t="s">
        <v>615</v>
      </c>
      <c r="B186" t="s">
        <v>616</v>
      </c>
      <c r="C186" s="1">
        <v>46064.875</v>
      </c>
      <c r="D186" t="s">
        <v>15</v>
      </c>
      <c r="E186" t="s">
        <v>16</v>
      </c>
      <c r="F186" t="s">
        <v>50</v>
      </c>
      <c r="G186" t="s">
        <v>112</v>
      </c>
      <c r="H186" t="s">
        <v>113</v>
      </c>
      <c r="I186" t="s">
        <v>37</v>
      </c>
      <c r="J186" t="s">
        <v>617</v>
      </c>
      <c r="K186" t="s">
        <v>60</v>
      </c>
      <c r="L186" s="1">
        <v>46064</v>
      </c>
      <c r="M186" t="s">
        <v>498</v>
      </c>
      <c r="N186">
        <f t="shared" si="4"/>
        <v>2026</v>
      </c>
      <c r="O186" t="str">
        <f t="shared" si="5"/>
        <v>Wednesday</v>
      </c>
    </row>
    <row r="187" spans="1:15" x14ac:dyDescent="0.3">
      <c r="A187" t="s">
        <v>618</v>
      </c>
      <c r="B187" t="s">
        <v>231</v>
      </c>
      <c r="C187" s="1">
        <v>46065.375</v>
      </c>
      <c r="D187" t="s">
        <v>15</v>
      </c>
      <c r="E187" t="s">
        <v>16</v>
      </c>
      <c r="F187" t="s">
        <v>17</v>
      </c>
      <c r="G187" t="s">
        <v>191</v>
      </c>
      <c r="H187" t="s">
        <v>192</v>
      </c>
      <c r="I187" t="s">
        <v>45</v>
      </c>
      <c r="J187" t="s">
        <v>619</v>
      </c>
      <c r="K187" t="s">
        <v>31</v>
      </c>
      <c r="L187" s="1">
        <v>46065</v>
      </c>
      <c r="M187" t="s">
        <v>498</v>
      </c>
      <c r="N187">
        <f t="shared" si="4"/>
        <v>2026</v>
      </c>
      <c r="O187" t="str">
        <f t="shared" si="5"/>
        <v>Thursday</v>
      </c>
    </row>
    <row r="188" spans="1:15" x14ac:dyDescent="0.3">
      <c r="A188" t="s">
        <v>620</v>
      </c>
      <c r="B188" t="s">
        <v>621</v>
      </c>
      <c r="C188" s="1">
        <v>46065.708333333343</v>
      </c>
      <c r="D188" t="s">
        <v>15</v>
      </c>
      <c r="E188" t="s">
        <v>26</v>
      </c>
      <c r="F188" t="s">
        <v>17</v>
      </c>
      <c r="G188" t="s">
        <v>106</v>
      </c>
      <c r="H188" t="s">
        <v>107</v>
      </c>
      <c r="I188" t="s">
        <v>108</v>
      </c>
      <c r="J188" t="s">
        <v>622</v>
      </c>
      <c r="K188" t="s">
        <v>31</v>
      </c>
      <c r="L188" s="1">
        <v>46065</v>
      </c>
      <c r="M188" t="s">
        <v>498</v>
      </c>
      <c r="N188">
        <f t="shared" si="4"/>
        <v>2026</v>
      </c>
      <c r="O188" t="str">
        <f t="shared" si="5"/>
        <v>Thursday</v>
      </c>
    </row>
    <row r="189" spans="1:15" x14ac:dyDescent="0.3">
      <c r="A189" t="s">
        <v>623</v>
      </c>
      <c r="B189" t="s">
        <v>624</v>
      </c>
      <c r="C189" s="1">
        <v>46065.791666666657</v>
      </c>
      <c r="D189" t="s">
        <v>15</v>
      </c>
      <c r="E189" t="s">
        <v>41</v>
      </c>
      <c r="F189" t="s">
        <v>50</v>
      </c>
      <c r="G189" t="s">
        <v>43</v>
      </c>
      <c r="H189" t="s">
        <v>44</v>
      </c>
      <c r="I189" t="s">
        <v>45</v>
      </c>
      <c r="J189" t="s">
        <v>625</v>
      </c>
      <c r="K189" t="s">
        <v>31</v>
      </c>
      <c r="L189" s="1">
        <v>46065</v>
      </c>
      <c r="M189" t="s">
        <v>498</v>
      </c>
      <c r="N189">
        <f t="shared" si="4"/>
        <v>2026</v>
      </c>
      <c r="O189" t="str">
        <f t="shared" si="5"/>
        <v>Thursday</v>
      </c>
    </row>
    <row r="190" spans="1:15" x14ac:dyDescent="0.3">
      <c r="A190" t="s">
        <v>626</v>
      </c>
      <c r="B190" t="s">
        <v>627</v>
      </c>
      <c r="C190" s="1">
        <v>46065.791666666657</v>
      </c>
      <c r="D190" t="s">
        <v>15</v>
      </c>
      <c r="E190" t="s">
        <v>16</v>
      </c>
      <c r="F190" t="s">
        <v>50</v>
      </c>
      <c r="G190" t="s">
        <v>56</v>
      </c>
      <c r="H190" t="s">
        <v>57</v>
      </c>
      <c r="I190" t="s">
        <v>58</v>
      </c>
      <c r="J190" t="s">
        <v>628</v>
      </c>
      <c r="K190" t="s">
        <v>22</v>
      </c>
      <c r="L190" s="1">
        <v>46065</v>
      </c>
      <c r="M190" t="s">
        <v>498</v>
      </c>
      <c r="N190">
        <f t="shared" si="4"/>
        <v>2026</v>
      </c>
      <c r="O190" t="str">
        <f t="shared" si="5"/>
        <v>Thursday</v>
      </c>
    </row>
    <row r="191" spans="1:15" x14ac:dyDescent="0.3">
      <c r="A191" t="s">
        <v>629</v>
      </c>
      <c r="B191" t="s">
        <v>630</v>
      </c>
      <c r="C191" s="1">
        <v>46066.458333333343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 t="s">
        <v>20</v>
      </c>
      <c r="J191" t="s">
        <v>631</v>
      </c>
      <c r="K191" t="s">
        <v>22</v>
      </c>
      <c r="L191" s="1">
        <v>46066</v>
      </c>
      <c r="M191" t="s">
        <v>498</v>
      </c>
      <c r="N191">
        <f t="shared" si="4"/>
        <v>2026</v>
      </c>
      <c r="O191" t="str">
        <f t="shared" si="5"/>
        <v>Friday</v>
      </c>
    </row>
    <row r="192" spans="1:15" x14ac:dyDescent="0.3">
      <c r="A192" t="s">
        <v>632</v>
      </c>
      <c r="B192" t="s">
        <v>633</v>
      </c>
      <c r="C192" s="1">
        <v>46066.5</v>
      </c>
      <c r="D192" t="s">
        <v>15</v>
      </c>
      <c r="E192" t="s">
        <v>16</v>
      </c>
      <c r="F192" t="s">
        <v>17</v>
      </c>
      <c r="G192" t="s">
        <v>96</v>
      </c>
      <c r="H192" t="s">
        <v>97</v>
      </c>
      <c r="I192" t="s">
        <v>58</v>
      </c>
      <c r="J192" t="s">
        <v>634</v>
      </c>
      <c r="K192" t="s">
        <v>22</v>
      </c>
      <c r="L192" s="1">
        <v>46066</v>
      </c>
      <c r="M192" t="s">
        <v>498</v>
      </c>
      <c r="N192">
        <f t="shared" si="4"/>
        <v>2026</v>
      </c>
      <c r="O192" t="str">
        <f t="shared" si="5"/>
        <v>Friday</v>
      </c>
    </row>
    <row r="193" spans="1:15" x14ac:dyDescent="0.3">
      <c r="A193" t="s">
        <v>635</v>
      </c>
      <c r="B193" t="s">
        <v>636</v>
      </c>
      <c r="C193" s="1">
        <v>46066.583333333343</v>
      </c>
      <c r="D193" t="s">
        <v>2973</v>
      </c>
      <c r="E193" t="s">
        <v>26</v>
      </c>
      <c r="F193" t="s">
        <v>17</v>
      </c>
      <c r="G193" t="s">
        <v>80</v>
      </c>
      <c r="H193" t="s">
        <v>81</v>
      </c>
      <c r="I193" t="s">
        <v>82</v>
      </c>
      <c r="J193" t="s">
        <v>637</v>
      </c>
      <c r="K193" t="s">
        <v>47</v>
      </c>
      <c r="L193" s="1">
        <v>46066</v>
      </c>
      <c r="M193" t="s">
        <v>498</v>
      </c>
      <c r="N193">
        <f t="shared" si="4"/>
        <v>2026</v>
      </c>
      <c r="O193" t="str">
        <f t="shared" si="5"/>
        <v>Friday</v>
      </c>
    </row>
    <row r="194" spans="1:15" x14ac:dyDescent="0.3">
      <c r="A194" t="s">
        <v>638</v>
      </c>
      <c r="B194" t="s">
        <v>639</v>
      </c>
      <c r="C194" s="1">
        <v>46066.833333333343</v>
      </c>
      <c r="D194" t="s">
        <v>2973</v>
      </c>
      <c r="E194" t="s">
        <v>63</v>
      </c>
      <c r="F194" t="s">
        <v>17</v>
      </c>
      <c r="G194" t="s">
        <v>106</v>
      </c>
      <c r="H194" t="s">
        <v>107</v>
      </c>
      <c r="I194" t="s">
        <v>108</v>
      </c>
      <c r="J194" t="s">
        <v>640</v>
      </c>
      <c r="K194" t="s">
        <v>60</v>
      </c>
      <c r="L194" s="1">
        <v>46066</v>
      </c>
      <c r="M194" t="s">
        <v>498</v>
      </c>
      <c r="N194">
        <f t="shared" si="4"/>
        <v>2026</v>
      </c>
      <c r="O194" t="str">
        <f t="shared" si="5"/>
        <v>Friday</v>
      </c>
    </row>
    <row r="195" spans="1:15" x14ac:dyDescent="0.3">
      <c r="A195" t="s">
        <v>641</v>
      </c>
      <c r="B195" t="s">
        <v>642</v>
      </c>
      <c r="C195" s="1">
        <v>46066.833333333343</v>
      </c>
      <c r="D195" t="s">
        <v>2973</v>
      </c>
      <c r="E195" t="s">
        <v>26</v>
      </c>
      <c r="F195" t="s">
        <v>50</v>
      </c>
      <c r="G195" t="s">
        <v>160</v>
      </c>
      <c r="H195" t="s">
        <v>161</v>
      </c>
      <c r="I195" t="s">
        <v>82</v>
      </c>
      <c r="J195" t="s">
        <v>643</v>
      </c>
      <c r="K195" t="s">
        <v>22</v>
      </c>
      <c r="L195" s="1">
        <v>46066</v>
      </c>
      <c r="M195" t="s">
        <v>498</v>
      </c>
      <c r="N195">
        <f t="shared" ref="N195:N258" si="6">YEAR(C195)</f>
        <v>2026</v>
      </c>
      <c r="O195" t="str">
        <f t="shared" ref="O195:O258" si="7">TEXT(C195,"dddd")</f>
        <v>Friday</v>
      </c>
    </row>
    <row r="196" spans="1:15" x14ac:dyDescent="0.3">
      <c r="A196" t="s">
        <v>644</v>
      </c>
      <c r="B196" t="s">
        <v>645</v>
      </c>
      <c r="C196" s="1">
        <v>46067.416666666657</v>
      </c>
      <c r="D196" t="s">
        <v>2973</v>
      </c>
      <c r="E196" t="s">
        <v>16</v>
      </c>
      <c r="F196" t="s">
        <v>17</v>
      </c>
      <c r="G196" t="s">
        <v>160</v>
      </c>
      <c r="H196" t="s">
        <v>161</v>
      </c>
      <c r="I196" t="s">
        <v>82</v>
      </c>
      <c r="J196" t="s">
        <v>646</v>
      </c>
      <c r="K196" t="s">
        <v>31</v>
      </c>
      <c r="L196" s="1">
        <v>46067</v>
      </c>
      <c r="M196" t="s">
        <v>498</v>
      </c>
      <c r="N196">
        <f t="shared" si="6"/>
        <v>2026</v>
      </c>
      <c r="O196" t="str">
        <f t="shared" si="7"/>
        <v>Saturday</v>
      </c>
    </row>
    <row r="197" spans="1:15" x14ac:dyDescent="0.3">
      <c r="A197" t="s">
        <v>647</v>
      </c>
      <c r="B197" t="s">
        <v>648</v>
      </c>
      <c r="C197" s="1">
        <v>46068.541666666657</v>
      </c>
      <c r="D197" t="s">
        <v>2973</v>
      </c>
      <c r="E197" t="s">
        <v>34</v>
      </c>
      <c r="F197" t="s">
        <v>50</v>
      </c>
      <c r="G197" t="s">
        <v>106</v>
      </c>
      <c r="H197" t="s">
        <v>107</v>
      </c>
      <c r="I197" t="s">
        <v>108</v>
      </c>
      <c r="J197" t="s">
        <v>649</v>
      </c>
      <c r="K197" t="s">
        <v>60</v>
      </c>
      <c r="L197" s="1">
        <v>46068</v>
      </c>
      <c r="M197" t="s">
        <v>498</v>
      </c>
      <c r="N197">
        <f t="shared" si="6"/>
        <v>2026</v>
      </c>
      <c r="O197" t="str">
        <f t="shared" si="7"/>
        <v>Sunday</v>
      </c>
    </row>
    <row r="198" spans="1:15" x14ac:dyDescent="0.3">
      <c r="A198" t="s">
        <v>650</v>
      </c>
      <c r="B198" t="s">
        <v>651</v>
      </c>
      <c r="C198" s="1">
        <v>46068.666666666657</v>
      </c>
      <c r="D198" t="s">
        <v>2973</v>
      </c>
      <c r="E198" t="s">
        <v>34</v>
      </c>
      <c r="F198" t="s">
        <v>42</v>
      </c>
      <c r="G198" t="s">
        <v>56</v>
      </c>
      <c r="H198" t="s">
        <v>57</v>
      </c>
      <c r="I198" t="s">
        <v>58</v>
      </c>
      <c r="J198" t="s">
        <v>652</v>
      </c>
      <c r="K198" t="s">
        <v>47</v>
      </c>
      <c r="L198" s="1">
        <v>46068</v>
      </c>
      <c r="M198" t="s">
        <v>498</v>
      </c>
      <c r="N198">
        <f t="shared" si="6"/>
        <v>2026</v>
      </c>
      <c r="O198" t="str">
        <f t="shared" si="7"/>
        <v>Sunday</v>
      </c>
    </row>
    <row r="199" spans="1:15" x14ac:dyDescent="0.3">
      <c r="A199" t="s">
        <v>653</v>
      </c>
      <c r="B199" t="s">
        <v>654</v>
      </c>
      <c r="C199" s="1">
        <v>46069.708333333343</v>
      </c>
      <c r="D199" t="s">
        <v>15</v>
      </c>
      <c r="E199" t="s">
        <v>41</v>
      </c>
      <c r="F199" t="s">
        <v>17</v>
      </c>
      <c r="G199" t="s">
        <v>165</v>
      </c>
      <c r="H199" t="s">
        <v>166</v>
      </c>
      <c r="I199" t="s">
        <v>29</v>
      </c>
      <c r="J199" t="s">
        <v>655</v>
      </c>
      <c r="K199" t="s">
        <v>60</v>
      </c>
      <c r="L199" s="1">
        <v>46069</v>
      </c>
      <c r="M199" t="s">
        <v>498</v>
      </c>
      <c r="N199">
        <f t="shared" si="6"/>
        <v>2026</v>
      </c>
      <c r="O199" t="str">
        <f t="shared" si="7"/>
        <v>Monday</v>
      </c>
    </row>
    <row r="200" spans="1:15" x14ac:dyDescent="0.3">
      <c r="A200" t="s">
        <v>656</v>
      </c>
      <c r="B200" t="s">
        <v>657</v>
      </c>
      <c r="C200" s="1">
        <v>46070.458333333343</v>
      </c>
      <c r="D200" t="s">
        <v>15</v>
      </c>
      <c r="E200" t="s">
        <v>41</v>
      </c>
      <c r="F200" t="s">
        <v>17</v>
      </c>
      <c r="G200" t="s">
        <v>51</v>
      </c>
      <c r="H200" t="s">
        <v>52</v>
      </c>
      <c r="I200" t="s">
        <v>20</v>
      </c>
      <c r="J200" t="s">
        <v>658</v>
      </c>
      <c r="K200" t="s">
        <v>22</v>
      </c>
      <c r="L200" s="1">
        <v>46070</v>
      </c>
      <c r="M200" t="s">
        <v>498</v>
      </c>
      <c r="N200">
        <f t="shared" si="6"/>
        <v>2026</v>
      </c>
      <c r="O200" t="str">
        <f t="shared" si="7"/>
        <v>Tuesday</v>
      </c>
    </row>
    <row r="201" spans="1:15" x14ac:dyDescent="0.3">
      <c r="A201" t="s">
        <v>659</v>
      </c>
      <c r="B201" t="s">
        <v>660</v>
      </c>
      <c r="C201" s="1">
        <v>46071.416666666657</v>
      </c>
      <c r="D201" t="s">
        <v>15</v>
      </c>
      <c r="E201" t="s">
        <v>16</v>
      </c>
      <c r="F201" t="s">
        <v>42</v>
      </c>
      <c r="G201" t="s">
        <v>56</v>
      </c>
      <c r="H201" t="s">
        <v>57</v>
      </c>
      <c r="I201" t="s">
        <v>58</v>
      </c>
      <c r="J201" t="s">
        <v>661</v>
      </c>
      <c r="K201" t="s">
        <v>74</v>
      </c>
      <c r="L201" s="1">
        <v>46071</v>
      </c>
      <c r="M201" t="s">
        <v>498</v>
      </c>
      <c r="N201">
        <f t="shared" si="6"/>
        <v>2026</v>
      </c>
      <c r="O201" t="str">
        <f t="shared" si="7"/>
        <v>Wednesday</v>
      </c>
    </row>
    <row r="202" spans="1:15" x14ac:dyDescent="0.3">
      <c r="A202" t="s">
        <v>662</v>
      </c>
      <c r="B202" t="s">
        <v>663</v>
      </c>
      <c r="C202" s="1">
        <v>46071.458333333343</v>
      </c>
      <c r="D202" t="s">
        <v>15</v>
      </c>
      <c r="E202" t="s">
        <v>26</v>
      </c>
      <c r="F202" t="s">
        <v>17</v>
      </c>
      <c r="G202" t="s">
        <v>86</v>
      </c>
      <c r="H202" t="s">
        <v>87</v>
      </c>
      <c r="I202" t="s">
        <v>82</v>
      </c>
      <c r="J202" t="s">
        <v>664</v>
      </c>
      <c r="K202" t="s">
        <v>22</v>
      </c>
      <c r="L202" s="1">
        <v>46071</v>
      </c>
      <c r="M202" t="s">
        <v>498</v>
      </c>
      <c r="N202">
        <f t="shared" si="6"/>
        <v>2026</v>
      </c>
      <c r="O202" t="str">
        <f t="shared" si="7"/>
        <v>Wednesday</v>
      </c>
    </row>
    <row r="203" spans="1:15" x14ac:dyDescent="0.3">
      <c r="A203" t="s">
        <v>665</v>
      </c>
      <c r="B203" t="s">
        <v>666</v>
      </c>
      <c r="C203" s="1">
        <v>46071.5</v>
      </c>
      <c r="D203" t="s">
        <v>15</v>
      </c>
      <c r="E203" t="s">
        <v>26</v>
      </c>
      <c r="F203" t="s">
        <v>17</v>
      </c>
      <c r="G203" t="s">
        <v>106</v>
      </c>
      <c r="H203" t="s">
        <v>107</v>
      </c>
      <c r="I203" t="s">
        <v>108</v>
      </c>
      <c r="J203" t="s">
        <v>667</v>
      </c>
      <c r="K203" t="s">
        <v>74</v>
      </c>
      <c r="L203" s="1">
        <v>46071</v>
      </c>
      <c r="M203" t="s">
        <v>498</v>
      </c>
      <c r="N203">
        <f t="shared" si="6"/>
        <v>2026</v>
      </c>
      <c r="O203" t="str">
        <f t="shared" si="7"/>
        <v>Wednesday</v>
      </c>
    </row>
    <row r="204" spans="1:15" x14ac:dyDescent="0.3">
      <c r="A204" t="s">
        <v>668</v>
      </c>
      <c r="B204" t="s">
        <v>669</v>
      </c>
      <c r="C204" s="1">
        <v>46071.583333333343</v>
      </c>
      <c r="D204" t="s">
        <v>15</v>
      </c>
      <c r="E204" t="s">
        <v>26</v>
      </c>
      <c r="F204" t="s">
        <v>50</v>
      </c>
      <c r="G204" t="s">
        <v>96</v>
      </c>
      <c r="H204" t="s">
        <v>97</v>
      </c>
      <c r="I204" t="s">
        <v>58</v>
      </c>
      <c r="J204" t="s">
        <v>670</v>
      </c>
      <c r="K204" t="s">
        <v>22</v>
      </c>
      <c r="L204" s="1">
        <v>46071</v>
      </c>
      <c r="M204" t="s">
        <v>498</v>
      </c>
      <c r="N204">
        <f t="shared" si="6"/>
        <v>2026</v>
      </c>
      <c r="O204" t="str">
        <f t="shared" si="7"/>
        <v>Wednesday</v>
      </c>
    </row>
    <row r="205" spans="1:15" x14ac:dyDescent="0.3">
      <c r="A205" t="s">
        <v>671</v>
      </c>
      <c r="B205" t="s">
        <v>672</v>
      </c>
      <c r="C205" s="1">
        <v>46071.625</v>
      </c>
      <c r="D205" t="s">
        <v>15</v>
      </c>
      <c r="E205" t="s">
        <v>26</v>
      </c>
      <c r="F205" t="s">
        <v>50</v>
      </c>
      <c r="G205" t="s">
        <v>112</v>
      </c>
      <c r="H205" t="s">
        <v>113</v>
      </c>
      <c r="I205" t="s">
        <v>37</v>
      </c>
      <c r="J205" t="s">
        <v>673</v>
      </c>
      <c r="K205" t="s">
        <v>47</v>
      </c>
      <c r="L205" s="1">
        <v>46071</v>
      </c>
      <c r="M205" t="s">
        <v>498</v>
      </c>
      <c r="N205">
        <f t="shared" si="6"/>
        <v>2026</v>
      </c>
      <c r="O205" t="str">
        <f t="shared" si="7"/>
        <v>Wednesday</v>
      </c>
    </row>
    <row r="206" spans="1:15" x14ac:dyDescent="0.3">
      <c r="A206" t="s">
        <v>674</v>
      </c>
      <c r="B206" t="s">
        <v>675</v>
      </c>
      <c r="C206" s="1">
        <v>46071.625</v>
      </c>
      <c r="D206" t="s">
        <v>15</v>
      </c>
      <c r="E206" t="s">
        <v>63</v>
      </c>
      <c r="F206" t="s">
        <v>50</v>
      </c>
      <c r="G206" t="s">
        <v>18</v>
      </c>
      <c r="H206" t="s">
        <v>19</v>
      </c>
      <c r="I206" t="s">
        <v>20</v>
      </c>
      <c r="J206" t="s">
        <v>676</v>
      </c>
      <c r="K206" t="s">
        <v>31</v>
      </c>
      <c r="L206" s="1">
        <v>46071</v>
      </c>
      <c r="M206" t="s">
        <v>498</v>
      </c>
      <c r="N206">
        <f t="shared" si="6"/>
        <v>2026</v>
      </c>
      <c r="O206" t="str">
        <f t="shared" si="7"/>
        <v>Wednesday</v>
      </c>
    </row>
    <row r="207" spans="1:15" x14ac:dyDescent="0.3">
      <c r="A207" t="s">
        <v>677</v>
      </c>
      <c r="B207" t="s">
        <v>678</v>
      </c>
      <c r="C207" s="1">
        <v>46072.333333333343</v>
      </c>
      <c r="D207" t="s">
        <v>15</v>
      </c>
      <c r="E207" t="s">
        <v>26</v>
      </c>
      <c r="F207" t="s">
        <v>17</v>
      </c>
      <c r="G207" t="s">
        <v>96</v>
      </c>
      <c r="H207" t="s">
        <v>97</v>
      </c>
      <c r="I207" t="s">
        <v>58</v>
      </c>
      <c r="J207" t="s">
        <v>679</v>
      </c>
      <c r="K207" t="s">
        <v>74</v>
      </c>
      <c r="L207" s="1">
        <v>46072</v>
      </c>
      <c r="M207" t="s">
        <v>498</v>
      </c>
      <c r="N207">
        <f t="shared" si="6"/>
        <v>2026</v>
      </c>
      <c r="O207" t="str">
        <f t="shared" si="7"/>
        <v>Thursday</v>
      </c>
    </row>
    <row r="208" spans="1:15" x14ac:dyDescent="0.3">
      <c r="A208" t="s">
        <v>680</v>
      </c>
      <c r="B208" t="s">
        <v>681</v>
      </c>
      <c r="C208" s="1">
        <v>46072.583333333343</v>
      </c>
      <c r="D208" t="s">
        <v>15</v>
      </c>
      <c r="E208" t="s">
        <v>34</v>
      </c>
      <c r="F208" t="s">
        <v>42</v>
      </c>
      <c r="G208" t="s">
        <v>160</v>
      </c>
      <c r="H208" t="s">
        <v>161</v>
      </c>
      <c r="I208" t="s">
        <v>82</v>
      </c>
      <c r="J208" t="s">
        <v>682</v>
      </c>
      <c r="K208" t="s">
        <v>22</v>
      </c>
      <c r="L208" s="1">
        <v>46072</v>
      </c>
      <c r="M208" t="s">
        <v>498</v>
      </c>
      <c r="N208">
        <f t="shared" si="6"/>
        <v>2026</v>
      </c>
      <c r="O208" t="str">
        <f t="shared" si="7"/>
        <v>Thursday</v>
      </c>
    </row>
    <row r="209" spans="1:15" x14ac:dyDescent="0.3">
      <c r="A209" t="s">
        <v>683</v>
      </c>
      <c r="B209" t="s">
        <v>684</v>
      </c>
      <c r="C209" s="1">
        <v>46072.625</v>
      </c>
      <c r="D209" t="s">
        <v>15</v>
      </c>
      <c r="E209" t="s">
        <v>34</v>
      </c>
      <c r="F209" t="s">
        <v>17</v>
      </c>
      <c r="G209" t="s">
        <v>106</v>
      </c>
      <c r="H209" t="s">
        <v>107</v>
      </c>
      <c r="I209" t="s">
        <v>108</v>
      </c>
      <c r="J209" t="s">
        <v>685</v>
      </c>
      <c r="K209" t="s">
        <v>60</v>
      </c>
      <c r="L209" s="1">
        <v>46072</v>
      </c>
      <c r="M209" t="s">
        <v>498</v>
      </c>
      <c r="N209">
        <f t="shared" si="6"/>
        <v>2026</v>
      </c>
      <c r="O209" t="str">
        <f t="shared" si="7"/>
        <v>Thursday</v>
      </c>
    </row>
    <row r="210" spans="1:15" x14ac:dyDescent="0.3">
      <c r="A210" t="s">
        <v>686</v>
      </c>
      <c r="B210" t="s">
        <v>687</v>
      </c>
      <c r="C210" s="1">
        <v>46072.791666666657</v>
      </c>
      <c r="D210" t="s">
        <v>15</v>
      </c>
      <c r="E210" t="s">
        <v>16</v>
      </c>
      <c r="F210" t="s">
        <v>17</v>
      </c>
      <c r="G210" t="s">
        <v>160</v>
      </c>
      <c r="H210" t="s">
        <v>161</v>
      </c>
      <c r="I210" t="s">
        <v>82</v>
      </c>
      <c r="J210" t="s">
        <v>688</v>
      </c>
      <c r="K210" t="s">
        <v>22</v>
      </c>
      <c r="L210" s="1">
        <v>46072</v>
      </c>
      <c r="M210" t="s">
        <v>498</v>
      </c>
      <c r="N210">
        <f t="shared" si="6"/>
        <v>2026</v>
      </c>
      <c r="O210" t="str">
        <f t="shared" si="7"/>
        <v>Thursday</v>
      </c>
    </row>
    <row r="211" spans="1:15" x14ac:dyDescent="0.3">
      <c r="A211" t="s">
        <v>689</v>
      </c>
      <c r="B211" t="s">
        <v>690</v>
      </c>
      <c r="C211" s="1">
        <v>46072.833333333343</v>
      </c>
      <c r="D211" t="s">
        <v>2973</v>
      </c>
      <c r="E211" t="s">
        <v>41</v>
      </c>
      <c r="F211" t="s">
        <v>42</v>
      </c>
      <c r="G211" t="s">
        <v>126</v>
      </c>
      <c r="H211" t="s">
        <v>127</v>
      </c>
      <c r="I211" t="s">
        <v>45</v>
      </c>
      <c r="J211" t="s">
        <v>691</v>
      </c>
      <c r="K211" t="s">
        <v>47</v>
      </c>
      <c r="L211" s="1">
        <v>46072</v>
      </c>
      <c r="M211" t="s">
        <v>498</v>
      </c>
      <c r="N211">
        <f t="shared" si="6"/>
        <v>2026</v>
      </c>
      <c r="O211" t="str">
        <f t="shared" si="7"/>
        <v>Thursday</v>
      </c>
    </row>
    <row r="212" spans="1:15" x14ac:dyDescent="0.3">
      <c r="A212" t="s">
        <v>692</v>
      </c>
      <c r="B212" t="s">
        <v>693</v>
      </c>
      <c r="C212" s="1">
        <v>46073.625</v>
      </c>
      <c r="D212" t="s">
        <v>15</v>
      </c>
      <c r="E212" t="s">
        <v>41</v>
      </c>
      <c r="F212" t="s">
        <v>50</v>
      </c>
      <c r="G212" t="s">
        <v>126</v>
      </c>
      <c r="H212" t="s">
        <v>127</v>
      </c>
      <c r="I212" t="s">
        <v>45</v>
      </c>
      <c r="J212" t="s">
        <v>694</v>
      </c>
      <c r="K212" t="s">
        <v>47</v>
      </c>
      <c r="L212" s="1">
        <v>46073</v>
      </c>
      <c r="M212" t="s">
        <v>498</v>
      </c>
      <c r="N212">
        <f t="shared" si="6"/>
        <v>2026</v>
      </c>
      <c r="O212" t="str">
        <f t="shared" si="7"/>
        <v>Friday</v>
      </c>
    </row>
    <row r="213" spans="1:15" x14ac:dyDescent="0.3">
      <c r="A213" t="s">
        <v>695</v>
      </c>
      <c r="B213" t="s">
        <v>696</v>
      </c>
      <c r="C213" s="1">
        <v>46073.666666666657</v>
      </c>
      <c r="D213" t="s">
        <v>15</v>
      </c>
      <c r="E213" t="s">
        <v>16</v>
      </c>
      <c r="F213" t="s">
        <v>17</v>
      </c>
      <c r="G213" t="s">
        <v>126</v>
      </c>
      <c r="H213" t="s">
        <v>127</v>
      </c>
      <c r="I213" t="s">
        <v>45</v>
      </c>
      <c r="J213" t="s">
        <v>697</v>
      </c>
      <c r="K213" t="s">
        <v>31</v>
      </c>
      <c r="L213" s="1">
        <v>46073</v>
      </c>
      <c r="M213" t="s">
        <v>498</v>
      </c>
      <c r="N213">
        <f t="shared" si="6"/>
        <v>2026</v>
      </c>
      <c r="O213" t="str">
        <f t="shared" si="7"/>
        <v>Friday</v>
      </c>
    </row>
    <row r="214" spans="1:15" x14ac:dyDescent="0.3">
      <c r="A214" t="s">
        <v>698</v>
      </c>
      <c r="B214" t="s">
        <v>687</v>
      </c>
      <c r="C214" s="1">
        <v>46073.708333333343</v>
      </c>
      <c r="D214" t="s">
        <v>15</v>
      </c>
      <c r="E214" t="s">
        <v>16</v>
      </c>
      <c r="F214" t="s">
        <v>17</v>
      </c>
      <c r="G214" t="s">
        <v>191</v>
      </c>
      <c r="H214" t="s">
        <v>192</v>
      </c>
      <c r="I214" t="s">
        <v>45</v>
      </c>
      <c r="J214" t="s">
        <v>699</v>
      </c>
      <c r="K214" t="s">
        <v>74</v>
      </c>
      <c r="L214" s="1">
        <v>46073</v>
      </c>
      <c r="M214" t="s">
        <v>498</v>
      </c>
      <c r="N214">
        <f t="shared" si="6"/>
        <v>2026</v>
      </c>
      <c r="O214" t="str">
        <f t="shared" si="7"/>
        <v>Friday</v>
      </c>
    </row>
    <row r="215" spans="1:15" x14ac:dyDescent="0.3">
      <c r="A215" t="s">
        <v>700</v>
      </c>
      <c r="B215" t="s">
        <v>442</v>
      </c>
      <c r="C215" s="1">
        <v>46073.708333333343</v>
      </c>
      <c r="D215" t="s">
        <v>15</v>
      </c>
      <c r="E215" t="s">
        <v>63</v>
      </c>
      <c r="F215" t="s">
        <v>50</v>
      </c>
      <c r="G215" t="s">
        <v>160</v>
      </c>
      <c r="H215" t="s">
        <v>161</v>
      </c>
      <c r="I215" t="s">
        <v>82</v>
      </c>
      <c r="J215" t="s">
        <v>701</v>
      </c>
      <c r="K215" t="s">
        <v>22</v>
      </c>
      <c r="L215" s="1">
        <v>46073</v>
      </c>
      <c r="M215" t="s">
        <v>498</v>
      </c>
      <c r="N215">
        <f t="shared" si="6"/>
        <v>2026</v>
      </c>
      <c r="O215" t="str">
        <f t="shared" si="7"/>
        <v>Friday</v>
      </c>
    </row>
    <row r="216" spans="1:15" x14ac:dyDescent="0.3">
      <c r="A216" t="s">
        <v>702</v>
      </c>
      <c r="B216" t="s">
        <v>187</v>
      </c>
      <c r="C216" s="1">
        <v>46074.416666666657</v>
      </c>
      <c r="D216" t="s">
        <v>15</v>
      </c>
      <c r="E216" t="s">
        <v>34</v>
      </c>
      <c r="F216" t="s">
        <v>50</v>
      </c>
      <c r="G216" t="s">
        <v>80</v>
      </c>
      <c r="H216" t="s">
        <v>81</v>
      </c>
      <c r="I216" t="s">
        <v>82</v>
      </c>
      <c r="J216" t="s">
        <v>703</v>
      </c>
      <c r="K216" t="s">
        <v>31</v>
      </c>
      <c r="L216" s="1">
        <v>46074</v>
      </c>
      <c r="M216" t="s">
        <v>498</v>
      </c>
      <c r="N216">
        <f t="shared" si="6"/>
        <v>2026</v>
      </c>
      <c r="O216" t="str">
        <f t="shared" si="7"/>
        <v>Saturday</v>
      </c>
    </row>
    <row r="217" spans="1:15" x14ac:dyDescent="0.3">
      <c r="A217" t="s">
        <v>704</v>
      </c>
      <c r="B217" t="s">
        <v>705</v>
      </c>
      <c r="C217" s="1">
        <v>46074.583333333343</v>
      </c>
      <c r="D217" t="s">
        <v>2973</v>
      </c>
      <c r="E217" t="s">
        <v>34</v>
      </c>
      <c r="F217" t="s">
        <v>17</v>
      </c>
      <c r="G217" t="s">
        <v>101</v>
      </c>
      <c r="H217" t="s">
        <v>102</v>
      </c>
      <c r="I217" t="s">
        <v>45</v>
      </c>
      <c r="J217" t="s">
        <v>706</v>
      </c>
      <c r="K217" t="s">
        <v>74</v>
      </c>
      <c r="L217" s="1">
        <v>46074</v>
      </c>
      <c r="M217" t="s">
        <v>498</v>
      </c>
      <c r="N217">
        <f t="shared" si="6"/>
        <v>2026</v>
      </c>
      <c r="O217" t="str">
        <f t="shared" si="7"/>
        <v>Saturday</v>
      </c>
    </row>
    <row r="218" spans="1:15" x14ac:dyDescent="0.3">
      <c r="A218" t="s">
        <v>707</v>
      </c>
      <c r="B218" t="s">
        <v>708</v>
      </c>
      <c r="C218" s="1">
        <v>46074.625</v>
      </c>
      <c r="D218" t="s">
        <v>15</v>
      </c>
      <c r="E218" t="s">
        <v>26</v>
      </c>
      <c r="F218" t="s">
        <v>17</v>
      </c>
      <c r="G218" t="s">
        <v>96</v>
      </c>
      <c r="H218" t="s">
        <v>97</v>
      </c>
      <c r="I218" t="s">
        <v>58</v>
      </c>
      <c r="J218" t="s">
        <v>709</v>
      </c>
      <c r="K218" t="s">
        <v>31</v>
      </c>
      <c r="L218" s="1">
        <v>46074</v>
      </c>
      <c r="M218" t="s">
        <v>498</v>
      </c>
      <c r="N218">
        <f t="shared" si="6"/>
        <v>2026</v>
      </c>
      <c r="O218" t="str">
        <f t="shared" si="7"/>
        <v>Saturday</v>
      </c>
    </row>
    <row r="219" spans="1:15" x14ac:dyDescent="0.3">
      <c r="A219" t="s">
        <v>710</v>
      </c>
      <c r="B219" t="s">
        <v>711</v>
      </c>
      <c r="C219" s="1">
        <v>46074.791666666657</v>
      </c>
      <c r="D219" t="s">
        <v>15</v>
      </c>
      <c r="E219" t="s">
        <v>34</v>
      </c>
      <c r="F219" t="s">
        <v>17</v>
      </c>
      <c r="G219" t="s">
        <v>18</v>
      </c>
      <c r="H219" t="s">
        <v>19</v>
      </c>
      <c r="I219" t="s">
        <v>20</v>
      </c>
      <c r="J219" t="s">
        <v>712</v>
      </c>
      <c r="K219" t="s">
        <v>22</v>
      </c>
      <c r="L219" s="1">
        <v>46074</v>
      </c>
      <c r="M219" t="s">
        <v>498</v>
      </c>
      <c r="N219">
        <f t="shared" si="6"/>
        <v>2026</v>
      </c>
      <c r="O219" t="str">
        <f t="shared" si="7"/>
        <v>Saturday</v>
      </c>
    </row>
    <row r="220" spans="1:15" x14ac:dyDescent="0.3">
      <c r="A220" t="s">
        <v>713</v>
      </c>
      <c r="B220" t="s">
        <v>714</v>
      </c>
      <c r="C220" s="1">
        <v>46074.791666666657</v>
      </c>
      <c r="D220" t="s">
        <v>2973</v>
      </c>
      <c r="E220" t="s">
        <v>16</v>
      </c>
      <c r="F220" t="s">
        <v>17</v>
      </c>
      <c r="G220" t="s">
        <v>191</v>
      </c>
      <c r="H220" t="s">
        <v>192</v>
      </c>
      <c r="I220" t="s">
        <v>45</v>
      </c>
      <c r="J220" t="s">
        <v>715</v>
      </c>
      <c r="K220" t="s">
        <v>22</v>
      </c>
      <c r="L220" s="1">
        <v>46074</v>
      </c>
      <c r="M220" t="s">
        <v>498</v>
      </c>
      <c r="N220">
        <f t="shared" si="6"/>
        <v>2026</v>
      </c>
      <c r="O220" t="str">
        <f t="shared" si="7"/>
        <v>Saturday</v>
      </c>
    </row>
    <row r="221" spans="1:15" x14ac:dyDescent="0.3">
      <c r="A221" t="s">
        <v>716</v>
      </c>
      <c r="B221" t="s">
        <v>717</v>
      </c>
      <c r="C221" s="1">
        <v>46075.416666666657</v>
      </c>
      <c r="D221" t="s">
        <v>15</v>
      </c>
      <c r="E221" t="s">
        <v>34</v>
      </c>
      <c r="F221" t="s">
        <v>50</v>
      </c>
      <c r="G221" t="s">
        <v>27</v>
      </c>
      <c r="H221" t="s">
        <v>28</v>
      </c>
      <c r="I221" t="s">
        <v>29</v>
      </c>
      <c r="J221" t="s">
        <v>718</v>
      </c>
      <c r="K221" t="s">
        <v>60</v>
      </c>
      <c r="L221" s="1">
        <v>46075</v>
      </c>
      <c r="M221" t="s">
        <v>498</v>
      </c>
      <c r="N221">
        <f t="shared" si="6"/>
        <v>2026</v>
      </c>
      <c r="O221" t="str">
        <f t="shared" si="7"/>
        <v>Sunday</v>
      </c>
    </row>
    <row r="222" spans="1:15" x14ac:dyDescent="0.3">
      <c r="A222" t="s">
        <v>719</v>
      </c>
      <c r="B222" t="s">
        <v>485</v>
      </c>
      <c r="C222" s="1">
        <v>46075.416666666657</v>
      </c>
      <c r="D222" t="s">
        <v>2973</v>
      </c>
      <c r="E222" t="s">
        <v>26</v>
      </c>
      <c r="F222" t="s">
        <v>17</v>
      </c>
      <c r="G222" t="s">
        <v>165</v>
      </c>
      <c r="H222" t="s">
        <v>166</v>
      </c>
      <c r="I222" t="s">
        <v>29</v>
      </c>
      <c r="J222" t="s">
        <v>720</v>
      </c>
      <c r="K222" t="s">
        <v>31</v>
      </c>
      <c r="L222" s="1">
        <v>46075</v>
      </c>
      <c r="M222" t="s">
        <v>498</v>
      </c>
      <c r="N222">
        <f t="shared" si="6"/>
        <v>2026</v>
      </c>
      <c r="O222" t="str">
        <f t="shared" si="7"/>
        <v>Sunday</v>
      </c>
    </row>
    <row r="223" spans="1:15" x14ac:dyDescent="0.3">
      <c r="A223" t="s">
        <v>721</v>
      </c>
      <c r="B223" t="s">
        <v>722</v>
      </c>
      <c r="C223" s="1">
        <v>46075.541666666657</v>
      </c>
      <c r="D223" t="s">
        <v>15</v>
      </c>
      <c r="E223" t="s">
        <v>16</v>
      </c>
      <c r="F223" t="s">
        <v>42</v>
      </c>
      <c r="G223" t="s">
        <v>27</v>
      </c>
      <c r="H223" t="s">
        <v>28</v>
      </c>
      <c r="I223" t="s">
        <v>29</v>
      </c>
      <c r="J223" t="s">
        <v>723</v>
      </c>
      <c r="K223" t="s">
        <v>22</v>
      </c>
      <c r="L223" s="1">
        <v>46075</v>
      </c>
      <c r="M223" t="s">
        <v>498</v>
      </c>
      <c r="N223">
        <f t="shared" si="6"/>
        <v>2026</v>
      </c>
      <c r="O223" t="str">
        <f t="shared" si="7"/>
        <v>Sunday</v>
      </c>
    </row>
    <row r="224" spans="1:15" x14ac:dyDescent="0.3">
      <c r="A224" t="s">
        <v>724</v>
      </c>
      <c r="B224" t="s">
        <v>725</v>
      </c>
      <c r="C224" s="1">
        <v>46075.583333333343</v>
      </c>
      <c r="D224" t="s">
        <v>15</v>
      </c>
      <c r="E224" t="s">
        <v>34</v>
      </c>
      <c r="F224" t="s">
        <v>17</v>
      </c>
      <c r="G224" t="s">
        <v>91</v>
      </c>
      <c r="H224" t="s">
        <v>92</v>
      </c>
      <c r="I224" t="s">
        <v>37</v>
      </c>
      <c r="J224" t="s">
        <v>726</v>
      </c>
      <c r="K224" t="s">
        <v>47</v>
      </c>
      <c r="L224" s="1">
        <v>46075</v>
      </c>
      <c r="M224" t="s">
        <v>498</v>
      </c>
      <c r="N224">
        <f t="shared" si="6"/>
        <v>2026</v>
      </c>
      <c r="O224" t="str">
        <f t="shared" si="7"/>
        <v>Sunday</v>
      </c>
    </row>
    <row r="225" spans="1:15" x14ac:dyDescent="0.3">
      <c r="A225" t="s">
        <v>727</v>
      </c>
      <c r="B225" t="s">
        <v>33</v>
      </c>
      <c r="C225" s="1">
        <v>46076.333333333343</v>
      </c>
      <c r="D225" t="s">
        <v>15</v>
      </c>
      <c r="E225" t="s">
        <v>34</v>
      </c>
      <c r="F225" t="s">
        <v>17</v>
      </c>
      <c r="G225" t="s">
        <v>91</v>
      </c>
      <c r="H225" t="s">
        <v>92</v>
      </c>
      <c r="I225" t="s">
        <v>37</v>
      </c>
      <c r="J225" t="s">
        <v>728</v>
      </c>
      <c r="K225" t="s">
        <v>31</v>
      </c>
      <c r="L225" s="1">
        <v>46076</v>
      </c>
      <c r="M225" t="s">
        <v>498</v>
      </c>
      <c r="N225">
        <f t="shared" si="6"/>
        <v>2026</v>
      </c>
      <c r="O225" t="str">
        <f t="shared" si="7"/>
        <v>Monday</v>
      </c>
    </row>
    <row r="226" spans="1:15" x14ac:dyDescent="0.3">
      <c r="A226" t="s">
        <v>729</v>
      </c>
      <c r="B226" t="s">
        <v>730</v>
      </c>
      <c r="C226" s="1">
        <v>46076.583333333343</v>
      </c>
      <c r="D226" t="s">
        <v>15</v>
      </c>
      <c r="E226" t="s">
        <v>34</v>
      </c>
      <c r="F226" t="s">
        <v>50</v>
      </c>
      <c r="G226" t="s">
        <v>149</v>
      </c>
      <c r="H226" t="s">
        <v>150</v>
      </c>
      <c r="I226" t="s">
        <v>37</v>
      </c>
      <c r="J226" t="s">
        <v>731</v>
      </c>
      <c r="K226" t="s">
        <v>22</v>
      </c>
      <c r="L226" s="1">
        <v>46076</v>
      </c>
      <c r="M226" t="s">
        <v>498</v>
      </c>
      <c r="N226">
        <f t="shared" si="6"/>
        <v>2026</v>
      </c>
      <c r="O226" t="str">
        <f t="shared" si="7"/>
        <v>Monday</v>
      </c>
    </row>
    <row r="227" spans="1:15" x14ac:dyDescent="0.3">
      <c r="A227" t="s">
        <v>732</v>
      </c>
      <c r="B227" t="s">
        <v>733</v>
      </c>
      <c r="C227" s="1">
        <v>46076.791666666657</v>
      </c>
      <c r="D227" t="s">
        <v>15</v>
      </c>
      <c r="E227" t="s">
        <v>41</v>
      </c>
      <c r="F227" t="s">
        <v>17</v>
      </c>
      <c r="G227" t="s">
        <v>355</v>
      </c>
      <c r="H227" t="s">
        <v>356</v>
      </c>
      <c r="I227" t="s">
        <v>82</v>
      </c>
      <c r="J227" t="s">
        <v>734</v>
      </c>
      <c r="K227" t="s">
        <v>47</v>
      </c>
      <c r="L227" s="1">
        <v>46076</v>
      </c>
      <c r="M227" t="s">
        <v>498</v>
      </c>
      <c r="N227">
        <f t="shared" si="6"/>
        <v>2026</v>
      </c>
      <c r="O227" t="str">
        <f t="shared" si="7"/>
        <v>Monday</v>
      </c>
    </row>
    <row r="228" spans="1:15" x14ac:dyDescent="0.3">
      <c r="A228" t="s">
        <v>735</v>
      </c>
      <c r="B228" t="s">
        <v>736</v>
      </c>
      <c r="C228" s="1">
        <v>46077.5</v>
      </c>
      <c r="D228" t="s">
        <v>15</v>
      </c>
      <c r="E228" t="s">
        <v>16</v>
      </c>
      <c r="F228" t="s">
        <v>17</v>
      </c>
      <c r="G228" t="s">
        <v>106</v>
      </c>
      <c r="H228" t="s">
        <v>107</v>
      </c>
      <c r="I228" t="s">
        <v>108</v>
      </c>
      <c r="J228" t="s">
        <v>737</v>
      </c>
      <c r="K228" t="s">
        <v>60</v>
      </c>
      <c r="L228" s="1">
        <v>46077</v>
      </c>
      <c r="M228" t="s">
        <v>498</v>
      </c>
      <c r="N228">
        <f t="shared" si="6"/>
        <v>2026</v>
      </c>
      <c r="O228" t="str">
        <f t="shared" si="7"/>
        <v>Tuesday</v>
      </c>
    </row>
    <row r="229" spans="1:15" x14ac:dyDescent="0.3">
      <c r="A229" t="s">
        <v>738</v>
      </c>
      <c r="B229" t="s">
        <v>739</v>
      </c>
      <c r="C229" s="1">
        <v>46077.75</v>
      </c>
      <c r="D229" t="s">
        <v>15</v>
      </c>
      <c r="E229" t="s">
        <v>16</v>
      </c>
      <c r="F229" t="s">
        <v>17</v>
      </c>
      <c r="G229" t="s">
        <v>191</v>
      </c>
      <c r="H229" t="s">
        <v>192</v>
      </c>
      <c r="I229" t="s">
        <v>45</v>
      </c>
      <c r="J229" t="s">
        <v>740</v>
      </c>
      <c r="K229" t="s">
        <v>47</v>
      </c>
      <c r="L229" s="1">
        <v>46077</v>
      </c>
      <c r="M229" t="s">
        <v>498</v>
      </c>
      <c r="N229">
        <f t="shared" si="6"/>
        <v>2026</v>
      </c>
      <c r="O229" t="str">
        <f t="shared" si="7"/>
        <v>Tuesday</v>
      </c>
    </row>
    <row r="230" spans="1:15" x14ac:dyDescent="0.3">
      <c r="A230" t="s">
        <v>741</v>
      </c>
      <c r="B230" t="s">
        <v>742</v>
      </c>
      <c r="C230" s="1">
        <v>46078.5</v>
      </c>
      <c r="D230" t="s">
        <v>15</v>
      </c>
      <c r="E230" t="s">
        <v>16</v>
      </c>
      <c r="F230" t="s">
        <v>50</v>
      </c>
      <c r="G230" t="s">
        <v>355</v>
      </c>
      <c r="H230" t="s">
        <v>356</v>
      </c>
      <c r="I230" t="s">
        <v>82</v>
      </c>
      <c r="J230" t="s">
        <v>743</v>
      </c>
      <c r="K230" t="s">
        <v>60</v>
      </c>
      <c r="L230" s="1">
        <v>46078</v>
      </c>
      <c r="M230" t="s">
        <v>498</v>
      </c>
      <c r="N230">
        <f t="shared" si="6"/>
        <v>2026</v>
      </c>
      <c r="O230" t="str">
        <f t="shared" si="7"/>
        <v>Wednesday</v>
      </c>
    </row>
    <row r="231" spans="1:15" x14ac:dyDescent="0.3">
      <c r="A231" t="s">
        <v>744</v>
      </c>
      <c r="B231" t="s">
        <v>314</v>
      </c>
      <c r="C231" s="1">
        <v>46078.583333333343</v>
      </c>
      <c r="D231" t="s">
        <v>15</v>
      </c>
      <c r="E231" t="s">
        <v>16</v>
      </c>
      <c r="F231" t="s">
        <v>50</v>
      </c>
      <c r="G231" t="s">
        <v>126</v>
      </c>
      <c r="H231" t="s">
        <v>127</v>
      </c>
      <c r="I231" t="s">
        <v>45</v>
      </c>
      <c r="J231" t="s">
        <v>745</v>
      </c>
      <c r="K231" t="s">
        <v>31</v>
      </c>
      <c r="L231" s="1">
        <v>46078</v>
      </c>
      <c r="M231" t="s">
        <v>498</v>
      </c>
      <c r="N231">
        <f t="shared" si="6"/>
        <v>2026</v>
      </c>
      <c r="O231" t="str">
        <f t="shared" si="7"/>
        <v>Wednesday</v>
      </c>
    </row>
    <row r="232" spans="1:15" x14ac:dyDescent="0.3">
      <c r="A232" t="s">
        <v>746</v>
      </c>
      <c r="B232" t="s">
        <v>747</v>
      </c>
      <c r="C232" s="1">
        <v>46078.666666666657</v>
      </c>
      <c r="D232" t="s">
        <v>15</v>
      </c>
      <c r="E232" t="s">
        <v>41</v>
      </c>
      <c r="F232" t="s">
        <v>17</v>
      </c>
      <c r="G232" t="s">
        <v>43</v>
      </c>
      <c r="H232" t="s">
        <v>44</v>
      </c>
      <c r="I232" t="s">
        <v>45</v>
      </c>
      <c r="J232" t="s">
        <v>748</v>
      </c>
      <c r="K232" t="s">
        <v>74</v>
      </c>
      <c r="L232" s="1">
        <v>46078</v>
      </c>
      <c r="M232" t="s">
        <v>498</v>
      </c>
      <c r="N232">
        <f t="shared" si="6"/>
        <v>2026</v>
      </c>
      <c r="O232" t="str">
        <f t="shared" si="7"/>
        <v>Wednesday</v>
      </c>
    </row>
    <row r="233" spans="1:15" x14ac:dyDescent="0.3">
      <c r="A233" t="s">
        <v>749</v>
      </c>
      <c r="B233" t="s">
        <v>750</v>
      </c>
      <c r="C233" s="1">
        <v>46078.875</v>
      </c>
      <c r="D233" t="s">
        <v>15</v>
      </c>
      <c r="E233" t="s">
        <v>41</v>
      </c>
      <c r="F233" t="s">
        <v>17</v>
      </c>
      <c r="G233" t="s">
        <v>43</v>
      </c>
      <c r="H233" t="s">
        <v>44</v>
      </c>
      <c r="I233" t="s">
        <v>45</v>
      </c>
      <c r="J233" t="s">
        <v>751</v>
      </c>
      <c r="K233" t="s">
        <v>22</v>
      </c>
      <c r="L233" s="1">
        <v>46078</v>
      </c>
      <c r="M233" t="s">
        <v>498</v>
      </c>
      <c r="N233">
        <f t="shared" si="6"/>
        <v>2026</v>
      </c>
      <c r="O233" t="str">
        <f t="shared" si="7"/>
        <v>Wednesday</v>
      </c>
    </row>
    <row r="234" spans="1:15" x14ac:dyDescent="0.3">
      <c r="A234" t="s">
        <v>752</v>
      </c>
      <c r="B234" t="s">
        <v>753</v>
      </c>
      <c r="C234" s="1">
        <v>46079.583333333343</v>
      </c>
      <c r="D234" t="s">
        <v>15</v>
      </c>
      <c r="E234" t="s">
        <v>26</v>
      </c>
      <c r="F234" t="s">
        <v>50</v>
      </c>
      <c r="G234" t="s">
        <v>18</v>
      </c>
      <c r="H234" t="s">
        <v>19</v>
      </c>
      <c r="I234" t="s">
        <v>20</v>
      </c>
      <c r="J234" t="s">
        <v>754</v>
      </c>
      <c r="K234" t="s">
        <v>60</v>
      </c>
      <c r="L234" s="1">
        <v>46079</v>
      </c>
      <c r="M234" t="s">
        <v>498</v>
      </c>
      <c r="N234">
        <f t="shared" si="6"/>
        <v>2026</v>
      </c>
      <c r="O234" t="str">
        <f t="shared" si="7"/>
        <v>Thursday</v>
      </c>
    </row>
    <row r="235" spans="1:15" x14ac:dyDescent="0.3">
      <c r="A235" t="s">
        <v>755</v>
      </c>
      <c r="B235" t="s">
        <v>505</v>
      </c>
      <c r="C235" s="1">
        <v>46079.666666666657</v>
      </c>
      <c r="D235" t="s">
        <v>15</v>
      </c>
      <c r="E235" t="s">
        <v>34</v>
      </c>
      <c r="F235" t="s">
        <v>17</v>
      </c>
      <c r="G235" t="s">
        <v>160</v>
      </c>
      <c r="H235" t="s">
        <v>161</v>
      </c>
      <c r="I235" t="s">
        <v>82</v>
      </c>
      <c r="J235" t="s">
        <v>756</v>
      </c>
      <c r="K235" t="s">
        <v>47</v>
      </c>
      <c r="L235" s="1">
        <v>46079</v>
      </c>
      <c r="M235" t="s">
        <v>498</v>
      </c>
      <c r="N235">
        <f t="shared" si="6"/>
        <v>2026</v>
      </c>
      <c r="O235" t="str">
        <f t="shared" si="7"/>
        <v>Thursday</v>
      </c>
    </row>
    <row r="236" spans="1:15" x14ac:dyDescent="0.3">
      <c r="A236" t="s">
        <v>757</v>
      </c>
      <c r="B236" t="s">
        <v>758</v>
      </c>
      <c r="C236" s="1">
        <v>46079.75</v>
      </c>
      <c r="D236" t="s">
        <v>15</v>
      </c>
      <c r="E236" t="s">
        <v>34</v>
      </c>
      <c r="F236" t="s">
        <v>50</v>
      </c>
      <c r="G236" t="s">
        <v>18</v>
      </c>
      <c r="H236" t="s">
        <v>19</v>
      </c>
      <c r="I236" t="s">
        <v>20</v>
      </c>
      <c r="J236" t="s">
        <v>759</v>
      </c>
      <c r="K236" t="s">
        <v>31</v>
      </c>
      <c r="L236" s="1">
        <v>46079</v>
      </c>
      <c r="M236" t="s">
        <v>498</v>
      </c>
      <c r="N236">
        <f t="shared" si="6"/>
        <v>2026</v>
      </c>
      <c r="O236" t="str">
        <f t="shared" si="7"/>
        <v>Thursday</v>
      </c>
    </row>
    <row r="237" spans="1:15" x14ac:dyDescent="0.3">
      <c r="A237" t="s">
        <v>760</v>
      </c>
      <c r="B237" t="s">
        <v>761</v>
      </c>
      <c r="C237" s="1">
        <v>46079.75</v>
      </c>
      <c r="D237" t="s">
        <v>15</v>
      </c>
      <c r="E237" t="s">
        <v>41</v>
      </c>
      <c r="F237" t="s">
        <v>17</v>
      </c>
      <c r="G237" t="s">
        <v>160</v>
      </c>
      <c r="H237" t="s">
        <v>161</v>
      </c>
      <c r="I237" t="s">
        <v>82</v>
      </c>
      <c r="J237" t="s">
        <v>762</v>
      </c>
      <c r="K237" t="s">
        <v>22</v>
      </c>
      <c r="L237" s="1">
        <v>46079</v>
      </c>
      <c r="M237" t="s">
        <v>498</v>
      </c>
      <c r="N237">
        <f t="shared" si="6"/>
        <v>2026</v>
      </c>
      <c r="O237" t="str">
        <f t="shared" si="7"/>
        <v>Thursday</v>
      </c>
    </row>
    <row r="238" spans="1:15" x14ac:dyDescent="0.3">
      <c r="A238" t="s">
        <v>763</v>
      </c>
      <c r="B238" t="s">
        <v>764</v>
      </c>
      <c r="C238" s="1">
        <v>46080.416666666657</v>
      </c>
      <c r="D238" t="s">
        <v>15</v>
      </c>
      <c r="E238" t="s">
        <v>34</v>
      </c>
      <c r="F238" t="s">
        <v>17</v>
      </c>
      <c r="G238" t="s">
        <v>160</v>
      </c>
      <c r="H238" t="s">
        <v>161</v>
      </c>
      <c r="I238" t="s">
        <v>82</v>
      </c>
      <c r="J238" t="s">
        <v>765</v>
      </c>
      <c r="K238" t="s">
        <v>31</v>
      </c>
      <c r="L238" s="1">
        <v>46080</v>
      </c>
      <c r="M238" t="s">
        <v>498</v>
      </c>
      <c r="N238">
        <f t="shared" si="6"/>
        <v>2026</v>
      </c>
      <c r="O238" t="str">
        <f t="shared" si="7"/>
        <v>Friday</v>
      </c>
    </row>
    <row r="239" spans="1:15" x14ac:dyDescent="0.3">
      <c r="A239" t="s">
        <v>766</v>
      </c>
      <c r="B239" t="s">
        <v>767</v>
      </c>
      <c r="C239" s="1">
        <v>46080.416666666657</v>
      </c>
      <c r="D239" t="s">
        <v>15</v>
      </c>
      <c r="E239" t="s">
        <v>16</v>
      </c>
      <c r="F239" t="s">
        <v>42</v>
      </c>
      <c r="G239" t="s">
        <v>43</v>
      </c>
      <c r="H239" t="s">
        <v>44</v>
      </c>
      <c r="I239" t="s">
        <v>45</v>
      </c>
      <c r="J239" t="s">
        <v>768</v>
      </c>
      <c r="K239" t="s">
        <v>60</v>
      </c>
      <c r="L239" s="1">
        <v>46080</v>
      </c>
      <c r="M239" t="s">
        <v>498</v>
      </c>
      <c r="N239">
        <f t="shared" si="6"/>
        <v>2026</v>
      </c>
      <c r="O239" t="str">
        <f t="shared" si="7"/>
        <v>Friday</v>
      </c>
    </row>
    <row r="240" spans="1:15" x14ac:dyDescent="0.3">
      <c r="A240" t="s">
        <v>769</v>
      </c>
      <c r="B240" t="s">
        <v>770</v>
      </c>
      <c r="C240" s="1">
        <v>46080.5</v>
      </c>
      <c r="D240" t="s">
        <v>15</v>
      </c>
      <c r="E240" t="s">
        <v>63</v>
      </c>
      <c r="F240" t="s">
        <v>17</v>
      </c>
      <c r="G240" t="s">
        <v>91</v>
      </c>
      <c r="H240" t="s">
        <v>92</v>
      </c>
      <c r="I240" t="s">
        <v>37</v>
      </c>
      <c r="J240" t="s">
        <v>771</v>
      </c>
      <c r="K240" t="s">
        <v>31</v>
      </c>
      <c r="L240" s="1">
        <v>46080</v>
      </c>
      <c r="M240" t="s">
        <v>498</v>
      </c>
      <c r="N240">
        <f t="shared" si="6"/>
        <v>2026</v>
      </c>
      <c r="O240" t="str">
        <f t="shared" si="7"/>
        <v>Friday</v>
      </c>
    </row>
    <row r="241" spans="1:15" x14ac:dyDescent="0.3">
      <c r="A241" t="s">
        <v>772</v>
      </c>
      <c r="B241" t="s">
        <v>773</v>
      </c>
      <c r="C241" s="1">
        <v>46080.5</v>
      </c>
      <c r="D241" t="s">
        <v>15</v>
      </c>
      <c r="E241" t="s">
        <v>26</v>
      </c>
      <c r="F241" t="s">
        <v>50</v>
      </c>
      <c r="G241" t="s">
        <v>191</v>
      </c>
      <c r="H241" t="s">
        <v>192</v>
      </c>
      <c r="I241" t="s">
        <v>45</v>
      </c>
      <c r="J241" t="s">
        <v>774</v>
      </c>
      <c r="K241" t="s">
        <v>31</v>
      </c>
      <c r="L241" s="1">
        <v>46080</v>
      </c>
      <c r="M241" t="s">
        <v>498</v>
      </c>
      <c r="N241">
        <f t="shared" si="6"/>
        <v>2026</v>
      </c>
      <c r="O241" t="str">
        <f t="shared" si="7"/>
        <v>Friday</v>
      </c>
    </row>
    <row r="242" spans="1:15" x14ac:dyDescent="0.3">
      <c r="A242" t="s">
        <v>775</v>
      </c>
      <c r="B242" t="s">
        <v>776</v>
      </c>
      <c r="C242" s="1">
        <v>46080.625</v>
      </c>
      <c r="D242" t="s">
        <v>15</v>
      </c>
      <c r="E242" t="s">
        <v>16</v>
      </c>
      <c r="F242" t="s">
        <v>50</v>
      </c>
      <c r="G242" t="s">
        <v>149</v>
      </c>
      <c r="H242" t="s">
        <v>150</v>
      </c>
      <c r="I242" t="s">
        <v>37</v>
      </c>
      <c r="J242" t="s">
        <v>777</v>
      </c>
      <c r="K242" t="s">
        <v>31</v>
      </c>
      <c r="L242" s="1">
        <v>46080</v>
      </c>
      <c r="M242" t="s">
        <v>498</v>
      </c>
      <c r="N242">
        <f t="shared" si="6"/>
        <v>2026</v>
      </c>
      <c r="O242" t="str">
        <f t="shared" si="7"/>
        <v>Friday</v>
      </c>
    </row>
    <row r="243" spans="1:15" x14ac:dyDescent="0.3">
      <c r="A243" t="s">
        <v>778</v>
      </c>
      <c r="B243" t="s">
        <v>779</v>
      </c>
      <c r="C243" s="1">
        <v>46080.708333333343</v>
      </c>
      <c r="D243" t="s">
        <v>15</v>
      </c>
      <c r="E243" t="s">
        <v>34</v>
      </c>
      <c r="F243" t="s">
        <v>17</v>
      </c>
      <c r="G243" t="s">
        <v>35</v>
      </c>
      <c r="H243" t="s">
        <v>36</v>
      </c>
      <c r="I243" t="s">
        <v>37</v>
      </c>
      <c r="J243" t="s">
        <v>780</v>
      </c>
      <c r="K243" t="s">
        <v>31</v>
      </c>
      <c r="L243" s="1">
        <v>46080</v>
      </c>
      <c r="M243" t="s">
        <v>498</v>
      </c>
      <c r="N243">
        <f t="shared" si="6"/>
        <v>2026</v>
      </c>
      <c r="O243" t="str">
        <f t="shared" si="7"/>
        <v>Friday</v>
      </c>
    </row>
    <row r="244" spans="1:15" x14ac:dyDescent="0.3">
      <c r="A244" t="s">
        <v>781</v>
      </c>
      <c r="B244" t="s">
        <v>782</v>
      </c>
      <c r="C244" s="1">
        <v>46081.625</v>
      </c>
      <c r="D244" t="s">
        <v>15</v>
      </c>
      <c r="E244" t="s">
        <v>26</v>
      </c>
      <c r="F244" t="s">
        <v>50</v>
      </c>
      <c r="G244" t="s">
        <v>86</v>
      </c>
      <c r="H244" t="s">
        <v>87</v>
      </c>
      <c r="I244" t="s">
        <v>82</v>
      </c>
      <c r="J244" t="s">
        <v>783</v>
      </c>
      <c r="K244" t="s">
        <v>31</v>
      </c>
      <c r="L244" s="1">
        <v>46081</v>
      </c>
      <c r="M244" t="s">
        <v>498</v>
      </c>
      <c r="N244">
        <f t="shared" si="6"/>
        <v>2026</v>
      </c>
      <c r="O244" t="str">
        <f t="shared" si="7"/>
        <v>Saturday</v>
      </c>
    </row>
    <row r="245" spans="1:15" x14ac:dyDescent="0.3">
      <c r="A245" t="s">
        <v>784</v>
      </c>
      <c r="B245" t="s">
        <v>785</v>
      </c>
      <c r="C245" s="1">
        <v>46081.875</v>
      </c>
      <c r="D245" t="s">
        <v>15</v>
      </c>
      <c r="E245" t="s">
        <v>34</v>
      </c>
      <c r="F245" t="s">
        <v>50</v>
      </c>
      <c r="G245" t="s">
        <v>91</v>
      </c>
      <c r="H245" t="s">
        <v>92</v>
      </c>
      <c r="I245" t="s">
        <v>37</v>
      </c>
      <c r="J245" t="s">
        <v>786</v>
      </c>
      <c r="K245" t="s">
        <v>60</v>
      </c>
      <c r="L245" s="1">
        <v>46081</v>
      </c>
      <c r="M245" t="s">
        <v>498</v>
      </c>
      <c r="N245">
        <f t="shared" si="6"/>
        <v>2026</v>
      </c>
      <c r="O245" t="str">
        <f t="shared" si="7"/>
        <v>Saturday</v>
      </c>
    </row>
    <row r="246" spans="1:15" x14ac:dyDescent="0.3">
      <c r="A246" t="s">
        <v>787</v>
      </c>
      <c r="B246" t="s">
        <v>278</v>
      </c>
      <c r="C246" s="1">
        <v>46082.333333333343</v>
      </c>
      <c r="D246" t="s">
        <v>15</v>
      </c>
      <c r="E246" t="s">
        <v>16</v>
      </c>
      <c r="F246" t="s">
        <v>17</v>
      </c>
      <c r="G246" t="s">
        <v>86</v>
      </c>
      <c r="H246" t="s">
        <v>87</v>
      </c>
      <c r="I246" t="s">
        <v>82</v>
      </c>
      <c r="J246" t="s">
        <v>788</v>
      </c>
      <c r="K246" t="s">
        <v>22</v>
      </c>
      <c r="L246" s="1">
        <v>46082</v>
      </c>
      <c r="M246" t="s">
        <v>789</v>
      </c>
      <c r="N246">
        <f t="shared" si="6"/>
        <v>2026</v>
      </c>
      <c r="O246" t="str">
        <f t="shared" si="7"/>
        <v>Sunday</v>
      </c>
    </row>
    <row r="247" spans="1:15" x14ac:dyDescent="0.3">
      <c r="A247" t="s">
        <v>790</v>
      </c>
      <c r="B247" t="s">
        <v>791</v>
      </c>
      <c r="C247" s="1">
        <v>46082.458333333343</v>
      </c>
      <c r="D247" t="s">
        <v>15</v>
      </c>
      <c r="E247" t="s">
        <v>34</v>
      </c>
      <c r="F247" t="s">
        <v>17</v>
      </c>
      <c r="G247" t="s">
        <v>91</v>
      </c>
      <c r="H247" t="s">
        <v>92</v>
      </c>
      <c r="I247" t="s">
        <v>37</v>
      </c>
      <c r="J247" t="s">
        <v>792</v>
      </c>
      <c r="K247" t="s">
        <v>74</v>
      </c>
      <c r="L247" s="1">
        <v>46082</v>
      </c>
      <c r="M247" t="s">
        <v>789</v>
      </c>
      <c r="N247">
        <f t="shared" si="6"/>
        <v>2026</v>
      </c>
      <c r="O247" t="str">
        <f t="shared" si="7"/>
        <v>Sunday</v>
      </c>
    </row>
    <row r="248" spans="1:15" x14ac:dyDescent="0.3">
      <c r="A248" t="s">
        <v>793</v>
      </c>
      <c r="B248" t="s">
        <v>794</v>
      </c>
      <c r="C248" s="1">
        <v>46082.458333333343</v>
      </c>
      <c r="D248" t="s">
        <v>15</v>
      </c>
      <c r="E248" t="s">
        <v>63</v>
      </c>
      <c r="F248" t="s">
        <v>42</v>
      </c>
      <c r="G248" t="s">
        <v>96</v>
      </c>
      <c r="H248" t="s">
        <v>97</v>
      </c>
      <c r="I248" t="s">
        <v>58</v>
      </c>
      <c r="J248" t="s">
        <v>795</v>
      </c>
      <c r="K248" t="s">
        <v>60</v>
      </c>
      <c r="L248" s="1">
        <v>46082</v>
      </c>
      <c r="M248" t="s">
        <v>789</v>
      </c>
      <c r="N248">
        <f t="shared" si="6"/>
        <v>2026</v>
      </c>
      <c r="O248" t="str">
        <f t="shared" si="7"/>
        <v>Sunday</v>
      </c>
    </row>
    <row r="249" spans="1:15" x14ac:dyDescent="0.3">
      <c r="A249" t="s">
        <v>796</v>
      </c>
      <c r="B249" t="s">
        <v>797</v>
      </c>
      <c r="C249" s="1">
        <v>46082.541666666657</v>
      </c>
      <c r="D249" t="s">
        <v>15</v>
      </c>
      <c r="E249" t="s">
        <v>41</v>
      </c>
      <c r="F249" t="s">
        <v>50</v>
      </c>
      <c r="G249" t="s">
        <v>86</v>
      </c>
      <c r="H249" t="s">
        <v>87</v>
      </c>
      <c r="I249" t="s">
        <v>82</v>
      </c>
      <c r="J249" t="s">
        <v>798</v>
      </c>
      <c r="K249" t="s">
        <v>74</v>
      </c>
      <c r="L249" s="1">
        <v>46082</v>
      </c>
      <c r="M249" t="s">
        <v>789</v>
      </c>
      <c r="N249">
        <f t="shared" si="6"/>
        <v>2026</v>
      </c>
      <c r="O249" t="str">
        <f t="shared" si="7"/>
        <v>Sunday</v>
      </c>
    </row>
    <row r="250" spans="1:15" x14ac:dyDescent="0.3">
      <c r="A250" t="s">
        <v>799</v>
      </c>
      <c r="B250" t="s">
        <v>800</v>
      </c>
      <c r="C250" s="1">
        <v>46082.625</v>
      </c>
      <c r="D250" t="s">
        <v>15</v>
      </c>
      <c r="E250" t="s">
        <v>34</v>
      </c>
      <c r="F250" t="s">
        <v>50</v>
      </c>
      <c r="G250" t="s">
        <v>86</v>
      </c>
      <c r="H250" t="s">
        <v>87</v>
      </c>
      <c r="I250" t="s">
        <v>82</v>
      </c>
      <c r="J250" t="s">
        <v>801</v>
      </c>
      <c r="K250" t="s">
        <v>31</v>
      </c>
      <c r="L250" s="1">
        <v>46082</v>
      </c>
      <c r="M250" t="s">
        <v>789</v>
      </c>
      <c r="N250">
        <f t="shared" si="6"/>
        <v>2026</v>
      </c>
      <c r="O250" t="str">
        <f t="shared" si="7"/>
        <v>Sunday</v>
      </c>
    </row>
    <row r="251" spans="1:15" x14ac:dyDescent="0.3">
      <c r="A251" t="s">
        <v>802</v>
      </c>
      <c r="B251" t="s">
        <v>803</v>
      </c>
      <c r="C251" s="1">
        <v>46082.75</v>
      </c>
      <c r="D251" t="s">
        <v>15</v>
      </c>
      <c r="E251" t="s">
        <v>26</v>
      </c>
      <c r="F251" t="s">
        <v>50</v>
      </c>
      <c r="G251" t="s">
        <v>355</v>
      </c>
      <c r="H251" t="s">
        <v>356</v>
      </c>
      <c r="I251" t="s">
        <v>82</v>
      </c>
      <c r="J251" t="s">
        <v>804</v>
      </c>
      <c r="K251" t="s">
        <v>60</v>
      </c>
      <c r="L251" s="1">
        <v>46082</v>
      </c>
      <c r="M251" t="s">
        <v>789</v>
      </c>
      <c r="N251">
        <f t="shared" si="6"/>
        <v>2026</v>
      </c>
      <c r="O251" t="str">
        <f t="shared" si="7"/>
        <v>Sunday</v>
      </c>
    </row>
    <row r="252" spans="1:15" x14ac:dyDescent="0.3">
      <c r="A252" t="s">
        <v>805</v>
      </c>
      <c r="B252" t="s">
        <v>806</v>
      </c>
      <c r="C252" s="1">
        <v>46083.5</v>
      </c>
      <c r="D252" t="s">
        <v>15</v>
      </c>
      <c r="E252" t="s">
        <v>34</v>
      </c>
      <c r="F252" t="s">
        <v>50</v>
      </c>
      <c r="G252" t="s">
        <v>96</v>
      </c>
      <c r="H252" t="s">
        <v>97</v>
      </c>
      <c r="I252" t="s">
        <v>58</v>
      </c>
      <c r="J252" t="s">
        <v>807</v>
      </c>
      <c r="K252" t="s">
        <v>22</v>
      </c>
      <c r="L252" s="1">
        <v>46083</v>
      </c>
      <c r="M252" t="s">
        <v>789</v>
      </c>
      <c r="N252">
        <f t="shared" si="6"/>
        <v>2026</v>
      </c>
      <c r="O252" t="str">
        <f t="shared" si="7"/>
        <v>Monday</v>
      </c>
    </row>
    <row r="253" spans="1:15" x14ac:dyDescent="0.3">
      <c r="A253" t="s">
        <v>808</v>
      </c>
      <c r="B253" t="s">
        <v>809</v>
      </c>
      <c r="C253" s="1">
        <v>46083.583333333343</v>
      </c>
      <c r="D253" t="s">
        <v>15</v>
      </c>
      <c r="E253" t="s">
        <v>16</v>
      </c>
      <c r="F253" t="s">
        <v>50</v>
      </c>
      <c r="G253" t="s">
        <v>96</v>
      </c>
      <c r="H253" t="s">
        <v>97</v>
      </c>
      <c r="I253" t="s">
        <v>58</v>
      </c>
      <c r="J253" t="s">
        <v>810</v>
      </c>
      <c r="K253" t="s">
        <v>47</v>
      </c>
      <c r="L253" s="1">
        <v>46083</v>
      </c>
      <c r="M253" t="s">
        <v>789</v>
      </c>
      <c r="N253">
        <f t="shared" si="6"/>
        <v>2026</v>
      </c>
      <c r="O253" t="str">
        <f t="shared" si="7"/>
        <v>Monday</v>
      </c>
    </row>
    <row r="254" spans="1:15" x14ac:dyDescent="0.3">
      <c r="A254" t="s">
        <v>811</v>
      </c>
      <c r="B254" t="s">
        <v>812</v>
      </c>
      <c r="C254" s="1">
        <v>46083.791666666657</v>
      </c>
      <c r="D254" t="s">
        <v>15</v>
      </c>
      <c r="E254" t="s">
        <v>34</v>
      </c>
      <c r="F254" t="s">
        <v>17</v>
      </c>
      <c r="G254" t="s">
        <v>191</v>
      </c>
      <c r="H254" t="s">
        <v>192</v>
      </c>
      <c r="I254" t="s">
        <v>45</v>
      </c>
      <c r="J254" t="s">
        <v>813</v>
      </c>
      <c r="K254" t="s">
        <v>60</v>
      </c>
      <c r="L254" s="1">
        <v>46083</v>
      </c>
      <c r="M254" t="s">
        <v>789</v>
      </c>
      <c r="N254">
        <f t="shared" si="6"/>
        <v>2026</v>
      </c>
      <c r="O254" t="str">
        <f t="shared" si="7"/>
        <v>Monday</v>
      </c>
    </row>
    <row r="255" spans="1:15" x14ac:dyDescent="0.3">
      <c r="A255" t="s">
        <v>814</v>
      </c>
      <c r="B255" t="s">
        <v>815</v>
      </c>
      <c r="C255" s="1">
        <v>46083.791666666657</v>
      </c>
      <c r="D255" t="s">
        <v>15</v>
      </c>
      <c r="E255" t="s">
        <v>63</v>
      </c>
      <c r="F255" t="s">
        <v>50</v>
      </c>
      <c r="G255" t="s">
        <v>126</v>
      </c>
      <c r="H255" t="s">
        <v>127</v>
      </c>
      <c r="I255" t="s">
        <v>45</v>
      </c>
      <c r="J255" t="s">
        <v>816</v>
      </c>
      <c r="K255" t="s">
        <v>60</v>
      </c>
      <c r="L255" s="1">
        <v>46083</v>
      </c>
      <c r="M255" t="s">
        <v>789</v>
      </c>
      <c r="N255">
        <f t="shared" si="6"/>
        <v>2026</v>
      </c>
      <c r="O255" t="str">
        <f t="shared" si="7"/>
        <v>Monday</v>
      </c>
    </row>
    <row r="256" spans="1:15" x14ac:dyDescent="0.3">
      <c r="A256" t="s">
        <v>817</v>
      </c>
      <c r="B256" t="s">
        <v>818</v>
      </c>
      <c r="C256" s="1">
        <v>46083.833333333343</v>
      </c>
      <c r="D256" t="s">
        <v>15</v>
      </c>
      <c r="E256" t="s">
        <v>63</v>
      </c>
      <c r="F256" t="s">
        <v>17</v>
      </c>
      <c r="G256" t="s">
        <v>126</v>
      </c>
      <c r="H256" t="s">
        <v>127</v>
      </c>
      <c r="I256" t="s">
        <v>45</v>
      </c>
      <c r="J256" t="s">
        <v>819</v>
      </c>
      <c r="K256" t="s">
        <v>22</v>
      </c>
      <c r="L256" s="1">
        <v>46083</v>
      </c>
      <c r="M256" t="s">
        <v>789</v>
      </c>
      <c r="N256">
        <f t="shared" si="6"/>
        <v>2026</v>
      </c>
      <c r="O256" t="str">
        <f t="shared" si="7"/>
        <v>Monday</v>
      </c>
    </row>
    <row r="257" spans="1:15" x14ac:dyDescent="0.3">
      <c r="A257" t="s">
        <v>820</v>
      </c>
      <c r="B257" t="s">
        <v>821</v>
      </c>
      <c r="C257" s="1">
        <v>46084.375</v>
      </c>
      <c r="D257" t="s">
        <v>15</v>
      </c>
      <c r="E257" t="s">
        <v>26</v>
      </c>
      <c r="F257" t="s">
        <v>50</v>
      </c>
      <c r="G257" t="s">
        <v>106</v>
      </c>
      <c r="H257" t="s">
        <v>107</v>
      </c>
      <c r="I257" t="s">
        <v>108</v>
      </c>
      <c r="J257" t="s">
        <v>822</v>
      </c>
      <c r="K257" t="s">
        <v>74</v>
      </c>
      <c r="L257" s="1">
        <v>46084</v>
      </c>
      <c r="M257" t="s">
        <v>789</v>
      </c>
      <c r="N257">
        <f t="shared" si="6"/>
        <v>2026</v>
      </c>
      <c r="O257" t="str">
        <f t="shared" si="7"/>
        <v>Tuesday</v>
      </c>
    </row>
    <row r="258" spans="1:15" x14ac:dyDescent="0.3">
      <c r="A258" t="s">
        <v>823</v>
      </c>
      <c r="B258" t="s">
        <v>824</v>
      </c>
      <c r="C258" s="1">
        <v>46084.375</v>
      </c>
      <c r="D258" t="s">
        <v>15</v>
      </c>
      <c r="E258" t="s">
        <v>26</v>
      </c>
      <c r="F258" t="s">
        <v>17</v>
      </c>
      <c r="G258" t="s">
        <v>43</v>
      </c>
      <c r="H258" t="s">
        <v>44</v>
      </c>
      <c r="I258" t="s">
        <v>45</v>
      </c>
      <c r="J258" t="s">
        <v>825</v>
      </c>
      <c r="K258" t="s">
        <v>31</v>
      </c>
      <c r="L258" s="1">
        <v>46084</v>
      </c>
      <c r="M258" t="s">
        <v>789</v>
      </c>
      <c r="N258">
        <f t="shared" si="6"/>
        <v>2026</v>
      </c>
      <c r="O258" t="str">
        <f t="shared" si="7"/>
        <v>Tuesday</v>
      </c>
    </row>
    <row r="259" spans="1:15" x14ac:dyDescent="0.3">
      <c r="A259" t="s">
        <v>826</v>
      </c>
      <c r="B259" t="s">
        <v>827</v>
      </c>
      <c r="C259" s="1">
        <v>46084.416666666657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 t="s">
        <v>20</v>
      </c>
      <c r="J259" t="s">
        <v>828</v>
      </c>
      <c r="K259" t="s">
        <v>74</v>
      </c>
      <c r="L259" s="1">
        <v>46084</v>
      </c>
      <c r="M259" t="s">
        <v>789</v>
      </c>
      <c r="N259">
        <f t="shared" ref="N259:N322" si="8">YEAR(C259)</f>
        <v>2026</v>
      </c>
      <c r="O259" t="str">
        <f t="shared" ref="O259:O322" si="9">TEXT(C259,"dddd")</f>
        <v>Tuesday</v>
      </c>
    </row>
    <row r="260" spans="1:15" x14ac:dyDescent="0.3">
      <c r="A260" t="s">
        <v>829</v>
      </c>
      <c r="B260" t="s">
        <v>830</v>
      </c>
      <c r="C260" s="1">
        <v>46084.666666666657</v>
      </c>
      <c r="D260" t="s">
        <v>15</v>
      </c>
      <c r="E260" t="s">
        <v>41</v>
      </c>
      <c r="F260" t="s">
        <v>17</v>
      </c>
      <c r="G260" t="s">
        <v>149</v>
      </c>
      <c r="H260" t="s">
        <v>150</v>
      </c>
      <c r="I260" t="s">
        <v>37</v>
      </c>
      <c r="J260" t="s">
        <v>831</v>
      </c>
      <c r="K260" t="s">
        <v>60</v>
      </c>
      <c r="L260" s="1">
        <v>46084</v>
      </c>
      <c r="M260" t="s">
        <v>789</v>
      </c>
      <c r="N260">
        <f t="shared" si="8"/>
        <v>2026</v>
      </c>
      <c r="O260" t="str">
        <f t="shared" si="9"/>
        <v>Tuesday</v>
      </c>
    </row>
    <row r="261" spans="1:15" x14ac:dyDescent="0.3">
      <c r="A261" t="s">
        <v>832</v>
      </c>
      <c r="B261" t="s">
        <v>833</v>
      </c>
      <c r="C261" s="1">
        <v>46084.666666666657</v>
      </c>
      <c r="D261" t="s">
        <v>15</v>
      </c>
      <c r="E261" t="s">
        <v>63</v>
      </c>
      <c r="F261" t="s">
        <v>17</v>
      </c>
      <c r="G261" t="s">
        <v>101</v>
      </c>
      <c r="H261" t="s">
        <v>102</v>
      </c>
      <c r="I261" t="s">
        <v>45</v>
      </c>
      <c r="J261" t="s">
        <v>834</v>
      </c>
      <c r="K261" t="s">
        <v>47</v>
      </c>
      <c r="L261" s="1">
        <v>46084</v>
      </c>
      <c r="M261" t="s">
        <v>789</v>
      </c>
      <c r="N261">
        <f t="shared" si="8"/>
        <v>2026</v>
      </c>
      <c r="O261" t="str">
        <f t="shared" si="9"/>
        <v>Tuesday</v>
      </c>
    </row>
    <row r="262" spans="1:15" x14ac:dyDescent="0.3">
      <c r="A262" t="s">
        <v>835</v>
      </c>
      <c r="B262" t="s">
        <v>836</v>
      </c>
      <c r="C262" s="1">
        <v>46084.75</v>
      </c>
      <c r="D262" t="s">
        <v>15</v>
      </c>
      <c r="E262" t="s">
        <v>63</v>
      </c>
      <c r="F262" t="s">
        <v>50</v>
      </c>
      <c r="G262" t="s">
        <v>96</v>
      </c>
      <c r="H262" t="s">
        <v>97</v>
      </c>
      <c r="I262" t="s">
        <v>58</v>
      </c>
      <c r="J262" t="s">
        <v>837</v>
      </c>
      <c r="K262" t="s">
        <v>47</v>
      </c>
      <c r="L262" s="1">
        <v>46084</v>
      </c>
      <c r="M262" t="s">
        <v>789</v>
      </c>
      <c r="N262">
        <f t="shared" si="8"/>
        <v>2026</v>
      </c>
      <c r="O262" t="str">
        <f t="shared" si="9"/>
        <v>Tuesday</v>
      </c>
    </row>
    <row r="263" spans="1:15" x14ac:dyDescent="0.3">
      <c r="A263" t="s">
        <v>838</v>
      </c>
      <c r="B263" t="s">
        <v>269</v>
      </c>
      <c r="C263" s="1">
        <v>46085.416666666657</v>
      </c>
      <c r="D263" t="s">
        <v>15</v>
      </c>
      <c r="E263" t="s">
        <v>16</v>
      </c>
      <c r="F263" t="s">
        <v>17</v>
      </c>
      <c r="G263" t="s">
        <v>149</v>
      </c>
      <c r="H263" t="s">
        <v>150</v>
      </c>
      <c r="I263" t="s">
        <v>37</v>
      </c>
      <c r="J263" t="s">
        <v>839</v>
      </c>
      <c r="K263" t="s">
        <v>60</v>
      </c>
      <c r="L263" s="1">
        <v>46085</v>
      </c>
      <c r="M263" t="s">
        <v>789</v>
      </c>
      <c r="N263">
        <f t="shared" si="8"/>
        <v>2026</v>
      </c>
      <c r="O263" t="str">
        <f t="shared" si="9"/>
        <v>Wednesday</v>
      </c>
    </row>
    <row r="264" spans="1:15" x14ac:dyDescent="0.3">
      <c r="A264" t="s">
        <v>840</v>
      </c>
      <c r="B264" t="s">
        <v>636</v>
      </c>
      <c r="C264" s="1">
        <v>46085.541666666657</v>
      </c>
      <c r="D264" t="s">
        <v>15</v>
      </c>
      <c r="E264" t="s">
        <v>34</v>
      </c>
      <c r="F264" t="s">
        <v>17</v>
      </c>
      <c r="G264" t="s">
        <v>43</v>
      </c>
      <c r="H264" t="s">
        <v>44</v>
      </c>
      <c r="I264" t="s">
        <v>45</v>
      </c>
      <c r="J264" t="s">
        <v>841</v>
      </c>
      <c r="K264" t="s">
        <v>60</v>
      </c>
      <c r="L264" s="1">
        <v>46085</v>
      </c>
      <c r="M264" t="s">
        <v>789</v>
      </c>
      <c r="N264">
        <f t="shared" si="8"/>
        <v>2026</v>
      </c>
      <c r="O264" t="str">
        <f t="shared" si="9"/>
        <v>Wednesday</v>
      </c>
    </row>
    <row r="265" spans="1:15" x14ac:dyDescent="0.3">
      <c r="A265" t="s">
        <v>842</v>
      </c>
      <c r="B265" t="s">
        <v>843</v>
      </c>
      <c r="C265" s="1">
        <v>46085.833333333343</v>
      </c>
      <c r="D265" t="s">
        <v>15</v>
      </c>
      <c r="E265" t="s">
        <v>26</v>
      </c>
      <c r="F265" t="s">
        <v>50</v>
      </c>
      <c r="G265" t="s">
        <v>86</v>
      </c>
      <c r="H265" t="s">
        <v>87</v>
      </c>
      <c r="I265" t="s">
        <v>82</v>
      </c>
      <c r="J265" t="s">
        <v>844</v>
      </c>
      <c r="K265" t="s">
        <v>22</v>
      </c>
      <c r="L265" s="1">
        <v>46085</v>
      </c>
      <c r="M265" t="s">
        <v>789</v>
      </c>
      <c r="N265">
        <f t="shared" si="8"/>
        <v>2026</v>
      </c>
      <c r="O265" t="str">
        <f t="shared" si="9"/>
        <v>Wednesday</v>
      </c>
    </row>
    <row r="266" spans="1:15" x14ac:dyDescent="0.3">
      <c r="A266" t="s">
        <v>845</v>
      </c>
      <c r="B266" t="s">
        <v>846</v>
      </c>
      <c r="C266" s="1">
        <v>46086.333333333343</v>
      </c>
      <c r="D266" t="s">
        <v>15</v>
      </c>
      <c r="E266" t="s">
        <v>34</v>
      </c>
      <c r="F266" t="s">
        <v>50</v>
      </c>
      <c r="G266" t="s">
        <v>80</v>
      </c>
      <c r="H266" t="s">
        <v>81</v>
      </c>
      <c r="I266" t="s">
        <v>82</v>
      </c>
      <c r="J266" t="s">
        <v>847</v>
      </c>
      <c r="K266" t="s">
        <v>60</v>
      </c>
      <c r="L266" s="1">
        <v>46086</v>
      </c>
      <c r="M266" t="s">
        <v>789</v>
      </c>
      <c r="N266">
        <f t="shared" si="8"/>
        <v>2026</v>
      </c>
      <c r="O266" t="str">
        <f t="shared" si="9"/>
        <v>Thursday</v>
      </c>
    </row>
    <row r="267" spans="1:15" x14ac:dyDescent="0.3">
      <c r="A267" t="s">
        <v>848</v>
      </c>
      <c r="B267" t="s">
        <v>849</v>
      </c>
      <c r="C267" s="1">
        <v>46086.5</v>
      </c>
      <c r="D267" t="s">
        <v>15</v>
      </c>
      <c r="E267" t="s">
        <v>63</v>
      </c>
      <c r="F267" t="s">
        <v>50</v>
      </c>
      <c r="G267" t="s">
        <v>56</v>
      </c>
      <c r="H267" t="s">
        <v>57</v>
      </c>
      <c r="I267" t="s">
        <v>58</v>
      </c>
      <c r="J267" t="s">
        <v>850</v>
      </c>
      <c r="K267" t="s">
        <v>60</v>
      </c>
      <c r="L267" s="1">
        <v>46086</v>
      </c>
      <c r="M267" t="s">
        <v>789</v>
      </c>
      <c r="N267">
        <f t="shared" si="8"/>
        <v>2026</v>
      </c>
      <c r="O267" t="str">
        <f t="shared" si="9"/>
        <v>Thursday</v>
      </c>
    </row>
    <row r="268" spans="1:15" x14ac:dyDescent="0.3">
      <c r="A268" t="s">
        <v>851</v>
      </c>
      <c r="B268" t="s">
        <v>852</v>
      </c>
      <c r="C268" s="1">
        <v>46086.541666666657</v>
      </c>
      <c r="D268" t="s">
        <v>15</v>
      </c>
      <c r="E268" t="s">
        <v>63</v>
      </c>
      <c r="F268" t="s">
        <v>17</v>
      </c>
      <c r="G268" t="s">
        <v>91</v>
      </c>
      <c r="H268" t="s">
        <v>92</v>
      </c>
      <c r="I268" t="s">
        <v>37</v>
      </c>
      <c r="J268" t="s">
        <v>853</v>
      </c>
      <c r="K268" t="s">
        <v>31</v>
      </c>
      <c r="L268" s="1">
        <v>46086</v>
      </c>
      <c r="M268" t="s">
        <v>789</v>
      </c>
      <c r="N268">
        <f t="shared" si="8"/>
        <v>2026</v>
      </c>
      <c r="O268" t="str">
        <f t="shared" si="9"/>
        <v>Thursday</v>
      </c>
    </row>
    <row r="269" spans="1:15" x14ac:dyDescent="0.3">
      <c r="A269" t="s">
        <v>854</v>
      </c>
      <c r="B269" t="s">
        <v>855</v>
      </c>
      <c r="C269" s="1">
        <v>46086.791666666657</v>
      </c>
      <c r="D269" t="s">
        <v>15</v>
      </c>
      <c r="E269" t="s">
        <v>34</v>
      </c>
      <c r="F269" t="s">
        <v>50</v>
      </c>
      <c r="G269" t="s">
        <v>250</v>
      </c>
      <c r="H269" t="s">
        <v>251</v>
      </c>
      <c r="I269" t="s">
        <v>108</v>
      </c>
      <c r="J269" t="s">
        <v>856</v>
      </c>
      <c r="K269" t="s">
        <v>22</v>
      </c>
      <c r="L269" s="1">
        <v>46086</v>
      </c>
      <c r="M269" t="s">
        <v>789</v>
      </c>
      <c r="N269">
        <f t="shared" si="8"/>
        <v>2026</v>
      </c>
      <c r="O269" t="str">
        <f t="shared" si="9"/>
        <v>Thursday</v>
      </c>
    </row>
    <row r="270" spans="1:15" x14ac:dyDescent="0.3">
      <c r="A270" t="s">
        <v>857</v>
      </c>
      <c r="B270" t="s">
        <v>858</v>
      </c>
      <c r="C270" s="1">
        <v>46086.833333333343</v>
      </c>
      <c r="D270" t="s">
        <v>15</v>
      </c>
      <c r="E270" t="s">
        <v>16</v>
      </c>
      <c r="F270" t="s">
        <v>50</v>
      </c>
      <c r="G270" t="s">
        <v>149</v>
      </c>
      <c r="H270" t="s">
        <v>150</v>
      </c>
      <c r="I270" t="s">
        <v>37</v>
      </c>
      <c r="J270" t="s">
        <v>859</v>
      </c>
      <c r="K270" t="s">
        <v>22</v>
      </c>
      <c r="L270" s="1">
        <v>46086</v>
      </c>
      <c r="M270" t="s">
        <v>789</v>
      </c>
      <c r="N270">
        <f t="shared" si="8"/>
        <v>2026</v>
      </c>
      <c r="O270" t="str">
        <f t="shared" si="9"/>
        <v>Thursday</v>
      </c>
    </row>
    <row r="271" spans="1:15" x14ac:dyDescent="0.3">
      <c r="A271" t="s">
        <v>860</v>
      </c>
      <c r="B271" t="s">
        <v>861</v>
      </c>
      <c r="C271" s="1">
        <v>46087.458333333343</v>
      </c>
      <c r="D271" t="s">
        <v>15</v>
      </c>
      <c r="E271" t="s">
        <v>16</v>
      </c>
      <c r="F271" t="s">
        <v>50</v>
      </c>
      <c r="G271" t="s">
        <v>112</v>
      </c>
      <c r="H271" t="s">
        <v>113</v>
      </c>
      <c r="I271" t="s">
        <v>37</v>
      </c>
      <c r="J271" t="s">
        <v>862</v>
      </c>
      <c r="K271" t="s">
        <v>22</v>
      </c>
      <c r="L271" s="1">
        <v>46087</v>
      </c>
      <c r="M271" t="s">
        <v>789</v>
      </c>
      <c r="N271">
        <f t="shared" si="8"/>
        <v>2026</v>
      </c>
      <c r="O271" t="str">
        <f t="shared" si="9"/>
        <v>Friday</v>
      </c>
    </row>
    <row r="272" spans="1:15" x14ac:dyDescent="0.3">
      <c r="A272" t="s">
        <v>863</v>
      </c>
      <c r="B272" t="s">
        <v>855</v>
      </c>
      <c r="C272" s="1">
        <v>46087.5</v>
      </c>
      <c r="D272" t="s">
        <v>15</v>
      </c>
      <c r="E272" t="s">
        <v>63</v>
      </c>
      <c r="F272" t="s">
        <v>17</v>
      </c>
      <c r="G272" t="s">
        <v>101</v>
      </c>
      <c r="H272" t="s">
        <v>102</v>
      </c>
      <c r="I272" t="s">
        <v>45</v>
      </c>
      <c r="J272" t="s">
        <v>864</v>
      </c>
      <c r="K272" t="s">
        <v>74</v>
      </c>
      <c r="L272" s="1">
        <v>46087</v>
      </c>
      <c r="M272" t="s">
        <v>789</v>
      </c>
      <c r="N272">
        <f t="shared" si="8"/>
        <v>2026</v>
      </c>
      <c r="O272" t="str">
        <f t="shared" si="9"/>
        <v>Friday</v>
      </c>
    </row>
    <row r="273" spans="1:15" x14ac:dyDescent="0.3">
      <c r="A273" t="s">
        <v>865</v>
      </c>
      <c r="B273" t="s">
        <v>747</v>
      </c>
      <c r="C273" s="1">
        <v>46087.875</v>
      </c>
      <c r="D273" t="s">
        <v>15</v>
      </c>
      <c r="E273" t="s">
        <v>34</v>
      </c>
      <c r="F273" t="s">
        <v>50</v>
      </c>
      <c r="G273" t="s">
        <v>112</v>
      </c>
      <c r="H273" t="s">
        <v>113</v>
      </c>
      <c r="I273" t="s">
        <v>37</v>
      </c>
      <c r="J273" t="s">
        <v>866</v>
      </c>
      <c r="K273" t="s">
        <v>31</v>
      </c>
      <c r="L273" s="1">
        <v>46087</v>
      </c>
      <c r="M273" t="s">
        <v>789</v>
      </c>
      <c r="N273">
        <f t="shared" si="8"/>
        <v>2026</v>
      </c>
      <c r="O273" t="str">
        <f t="shared" si="9"/>
        <v>Friday</v>
      </c>
    </row>
    <row r="274" spans="1:15" x14ac:dyDescent="0.3">
      <c r="A274" t="s">
        <v>867</v>
      </c>
      <c r="B274" t="s">
        <v>868</v>
      </c>
      <c r="C274" s="1">
        <v>46088.5</v>
      </c>
      <c r="D274" t="s">
        <v>15</v>
      </c>
      <c r="E274" t="s">
        <v>26</v>
      </c>
      <c r="F274" t="s">
        <v>17</v>
      </c>
      <c r="G274" t="s">
        <v>106</v>
      </c>
      <c r="H274" t="s">
        <v>107</v>
      </c>
      <c r="I274" t="s">
        <v>108</v>
      </c>
      <c r="J274" t="s">
        <v>869</v>
      </c>
      <c r="K274" t="s">
        <v>60</v>
      </c>
      <c r="L274" s="1">
        <v>46088</v>
      </c>
      <c r="M274" t="s">
        <v>789</v>
      </c>
      <c r="N274">
        <f t="shared" si="8"/>
        <v>2026</v>
      </c>
      <c r="O274" t="str">
        <f t="shared" si="9"/>
        <v>Saturday</v>
      </c>
    </row>
    <row r="275" spans="1:15" x14ac:dyDescent="0.3">
      <c r="A275" t="s">
        <v>870</v>
      </c>
      <c r="B275" t="s">
        <v>871</v>
      </c>
      <c r="C275" s="1">
        <v>46088.583333333343</v>
      </c>
      <c r="D275" t="s">
        <v>15</v>
      </c>
      <c r="E275" t="s">
        <v>16</v>
      </c>
      <c r="F275" t="s">
        <v>42</v>
      </c>
      <c r="G275" t="s">
        <v>80</v>
      </c>
      <c r="H275" t="s">
        <v>81</v>
      </c>
      <c r="I275" t="s">
        <v>82</v>
      </c>
      <c r="J275" t="s">
        <v>872</v>
      </c>
      <c r="K275" t="s">
        <v>47</v>
      </c>
      <c r="L275" s="1">
        <v>46088</v>
      </c>
      <c r="M275" t="s">
        <v>789</v>
      </c>
      <c r="N275">
        <f t="shared" si="8"/>
        <v>2026</v>
      </c>
      <c r="O275" t="str">
        <f t="shared" si="9"/>
        <v>Saturday</v>
      </c>
    </row>
    <row r="276" spans="1:15" x14ac:dyDescent="0.3">
      <c r="A276" t="s">
        <v>873</v>
      </c>
      <c r="B276" t="s">
        <v>181</v>
      </c>
      <c r="C276" s="1">
        <v>46088.625</v>
      </c>
      <c r="D276" t="s">
        <v>15</v>
      </c>
      <c r="E276" t="s">
        <v>16</v>
      </c>
      <c r="F276" t="s">
        <v>50</v>
      </c>
      <c r="G276" t="s">
        <v>106</v>
      </c>
      <c r="H276" t="s">
        <v>107</v>
      </c>
      <c r="I276" t="s">
        <v>108</v>
      </c>
      <c r="J276" t="s">
        <v>874</v>
      </c>
      <c r="K276" t="s">
        <v>60</v>
      </c>
      <c r="L276" s="1">
        <v>46088</v>
      </c>
      <c r="M276" t="s">
        <v>789</v>
      </c>
      <c r="N276">
        <f t="shared" si="8"/>
        <v>2026</v>
      </c>
      <c r="O276" t="str">
        <f t="shared" si="9"/>
        <v>Saturday</v>
      </c>
    </row>
    <row r="277" spans="1:15" x14ac:dyDescent="0.3">
      <c r="A277" t="s">
        <v>875</v>
      </c>
      <c r="B277" t="s">
        <v>876</v>
      </c>
      <c r="C277" s="1">
        <v>46088.75</v>
      </c>
      <c r="D277" t="s">
        <v>15</v>
      </c>
      <c r="E277" t="s">
        <v>26</v>
      </c>
      <c r="F277" t="s">
        <v>50</v>
      </c>
      <c r="G277" t="s">
        <v>250</v>
      </c>
      <c r="H277" t="s">
        <v>251</v>
      </c>
      <c r="I277" t="s">
        <v>108</v>
      </c>
      <c r="J277" t="s">
        <v>877</v>
      </c>
      <c r="K277" t="s">
        <v>74</v>
      </c>
      <c r="L277" s="1">
        <v>46088</v>
      </c>
      <c r="M277" t="s">
        <v>789</v>
      </c>
      <c r="N277">
        <f t="shared" si="8"/>
        <v>2026</v>
      </c>
      <c r="O277" t="str">
        <f t="shared" si="9"/>
        <v>Saturday</v>
      </c>
    </row>
    <row r="278" spans="1:15" x14ac:dyDescent="0.3">
      <c r="A278" t="s">
        <v>878</v>
      </c>
      <c r="B278" t="s">
        <v>879</v>
      </c>
      <c r="C278" s="1">
        <v>46088.791666666657</v>
      </c>
      <c r="D278" t="s">
        <v>15</v>
      </c>
      <c r="E278" t="s">
        <v>34</v>
      </c>
      <c r="F278" t="s">
        <v>50</v>
      </c>
      <c r="G278" t="s">
        <v>101</v>
      </c>
      <c r="H278" t="s">
        <v>102</v>
      </c>
      <c r="I278" t="s">
        <v>45</v>
      </c>
      <c r="J278" t="s">
        <v>880</v>
      </c>
      <c r="K278" t="s">
        <v>22</v>
      </c>
      <c r="L278" s="1">
        <v>46088</v>
      </c>
      <c r="M278" t="s">
        <v>789</v>
      </c>
      <c r="N278">
        <f t="shared" si="8"/>
        <v>2026</v>
      </c>
      <c r="O278" t="str">
        <f t="shared" si="9"/>
        <v>Saturday</v>
      </c>
    </row>
    <row r="279" spans="1:15" x14ac:dyDescent="0.3">
      <c r="A279" t="s">
        <v>881</v>
      </c>
      <c r="B279" t="s">
        <v>882</v>
      </c>
      <c r="C279" s="1">
        <v>46088.833333333343</v>
      </c>
      <c r="D279" t="s">
        <v>15</v>
      </c>
      <c r="E279" t="s">
        <v>16</v>
      </c>
      <c r="F279" t="s">
        <v>17</v>
      </c>
      <c r="G279" t="s">
        <v>96</v>
      </c>
      <c r="H279" t="s">
        <v>97</v>
      </c>
      <c r="I279" t="s">
        <v>58</v>
      </c>
      <c r="J279" t="s">
        <v>883</v>
      </c>
      <c r="K279" t="s">
        <v>74</v>
      </c>
      <c r="L279" s="1">
        <v>46088</v>
      </c>
      <c r="M279" t="s">
        <v>789</v>
      </c>
      <c r="N279">
        <f t="shared" si="8"/>
        <v>2026</v>
      </c>
      <c r="O279" t="str">
        <f t="shared" si="9"/>
        <v>Saturday</v>
      </c>
    </row>
    <row r="280" spans="1:15" x14ac:dyDescent="0.3">
      <c r="A280" t="s">
        <v>884</v>
      </c>
      <c r="B280" t="s">
        <v>885</v>
      </c>
      <c r="C280" s="1">
        <v>46088.875</v>
      </c>
      <c r="D280" t="s">
        <v>15</v>
      </c>
      <c r="E280" t="s">
        <v>16</v>
      </c>
      <c r="F280" t="s">
        <v>17</v>
      </c>
      <c r="G280" t="s">
        <v>191</v>
      </c>
      <c r="H280" t="s">
        <v>192</v>
      </c>
      <c r="I280" t="s">
        <v>45</v>
      </c>
      <c r="J280" t="s">
        <v>886</v>
      </c>
      <c r="K280" t="s">
        <v>60</v>
      </c>
      <c r="L280" s="1">
        <v>46088</v>
      </c>
      <c r="M280" t="s">
        <v>789</v>
      </c>
      <c r="N280">
        <f t="shared" si="8"/>
        <v>2026</v>
      </c>
      <c r="O280" t="str">
        <f t="shared" si="9"/>
        <v>Saturday</v>
      </c>
    </row>
    <row r="281" spans="1:15" x14ac:dyDescent="0.3">
      <c r="A281" t="s">
        <v>887</v>
      </c>
      <c r="B281" t="s">
        <v>888</v>
      </c>
      <c r="C281" s="1">
        <v>46089.541666666657</v>
      </c>
      <c r="D281" t="s">
        <v>15</v>
      </c>
      <c r="E281" t="s">
        <v>63</v>
      </c>
      <c r="F281" t="s">
        <v>50</v>
      </c>
      <c r="G281" t="s">
        <v>80</v>
      </c>
      <c r="H281" t="s">
        <v>81</v>
      </c>
      <c r="I281" t="s">
        <v>82</v>
      </c>
      <c r="J281" t="s">
        <v>889</v>
      </c>
      <c r="K281" t="s">
        <v>47</v>
      </c>
      <c r="L281" s="1">
        <v>46089</v>
      </c>
      <c r="M281" t="s">
        <v>789</v>
      </c>
      <c r="N281">
        <f t="shared" si="8"/>
        <v>2026</v>
      </c>
      <c r="O281" t="str">
        <f t="shared" si="9"/>
        <v>Sunday</v>
      </c>
    </row>
    <row r="282" spans="1:15" x14ac:dyDescent="0.3">
      <c r="A282" t="s">
        <v>890</v>
      </c>
      <c r="B282" t="s">
        <v>891</v>
      </c>
      <c r="C282" s="1">
        <v>46089.625</v>
      </c>
      <c r="D282" t="s">
        <v>15</v>
      </c>
      <c r="E282" t="s">
        <v>41</v>
      </c>
      <c r="F282" t="s">
        <v>50</v>
      </c>
      <c r="G282" t="s">
        <v>18</v>
      </c>
      <c r="H282" t="s">
        <v>19</v>
      </c>
      <c r="I282" t="s">
        <v>20</v>
      </c>
      <c r="J282" t="s">
        <v>892</v>
      </c>
      <c r="K282" t="s">
        <v>22</v>
      </c>
      <c r="L282" s="1">
        <v>46089</v>
      </c>
      <c r="M282" t="s">
        <v>789</v>
      </c>
      <c r="N282">
        <f t="shared" si="8"/>
        <v>2026</v>
      </c>
      <c r="O282" t="str">
        <f t="shared" si="9"/>
        <v>Sunday</v>
      </c>
    </row>
    <row r="283" spans="1:15" x14ac:dyDescent="0.3">
      <c r="A283" t="s">
        <v>893</v>
      </c>
      <c r="B283" t="s">
        <v>894</v>
      </c>
      <c r="C283" s="1">
        <v>46089.708333333343</v>
      </c>
      <c r="D283" t="s">
        <v>15</v>
      </c>
      <c r="E283" t="s">
        <v>16</v>
      </c>
      <c r="F283" t="s">
        <v>42</v>
      </c>
      <c r="G283" t="s">
        <v>191</v>
      </c>
      <c r="H283" t="s">
        <v>192</v>
      </c>
      <c r="I283" t="s">
        <v>45</v>
      </c>
      <c r="J283" t="s">
        <v>895</v>
      </c>
      <c r="K283" t="s">
        <v>47</v>
      </c>
      <c r="L283" s="1">
        <v>46089</v>
      </c>
      <c r="M283" t="s">
        <v>789</v>
      </c>
      <c r="N283">
        <f t="shared" si="8"/>
        <v>2026</v>
      </c>
      <c r="O283" t="str">
        <f t="shared" si="9"/>
        <v>Sunday</v>
      </c>
    </row>
    <row r="284" spans="1:15" x14ac:dyDescent="0.3">
      <c r="A284" t="s">
        <v>896</v>
      </c>
      <c r="B284" t="s">
        <v>337</v>
      </c>
      <c r="C284" s="1">
        <v>46089.791666666657</v>
      </c>
      <c r="D284" t="s">
        <v>15</v>
      </c>
      <c r="E284" t="s">
        <v>16</v>
      </c>
      <c r="F284" t="s">
        <v>50</v>
      </c>
      <c r="G284" t="s">
        <v>165</v>
      </c>
      <c r="H284" t="s">
        <v>166</v>
      </c>
      <c r="I284" t="s">
        <v>29</v>
      </c>
      <c r="J284" t="s">
        <v>897</v>
      </c>
      <c r="K284" t="s">
        <v>47</v>
      </c>
      <c r="L284" s="1">
        <v>46089</v>
      </c>
      <c r="M284" t="s">
        <v>789</v>
      </c>
      <c r="N284">
        <f t="shared" si="8"/>
        <v>2026</v>
      </c>
      <c r="O284" t="str">
        <f t="shared" si="9"/>
        <v>Sunday</v>
      </c>
    </row>
    <row r="285" spans="1:15" x14ac:dyDescent="0.3">
      <c r="A285" t="s">
        <v>898</v>
      </c>
      <c r="B285" t="s">
        <v>899</v>
      </c>
      <c r="C285" s="1">
        <v>46089.791666666657</v>
      </c>
      <c r="D285" t="s">
        <v>15</v>
      </c>
      <c r="E285" t="s">
        <v>63</v>
      </c>
      <c r="F285" t="s">
        <v>17</v>
      </c>
      <c r="G285" t="s">
        <v>18</v>
      </c>
      <c r="H285" t="s">
        <v>19</v>
      </c>
      <c r="I285" t="s">
        <v>20</v>
      </c>
      <c r="J285" t="s">
        <v>900</v>
      </c>
      <c r="K285" t="s">
        <v>31</v>
      </c>
      <c r="L285" s="1">
        <v>46089</v>
      </c>
      <c r="M285" t="s">
        <v>789</v>
      </c>
      <c r="N285">
        <f t="shared" si="8"/>
        <v>2026</v>
      </c>
      <c r="O285" t="str">
        <f t="shared" si="9"/>
        <v>Sunday</v>
      </c>
    </row>
    <row r="286" spans="1:15" x14ac:dyDescent="0.3">
      <c r="A286" t="s">
        <v>901</v>
      </c>
      <c r="B286" t="s">
        <v>902</v>
      </c>
      <c r="C286" s="1">
        <v>46089.875</v>
      </c>
      <c r="D286" t="s">
        <v>15</v>
      </c>
      <c r="E286" t="s">
        <v>41</v>
      </c>
      <c r="F286" t="s">
        <v>50</v>
      </c>
      <c r="G286" t="s">
        <v>86</v>
      </c>
      <c r="H286" t="s">
        <v>87</v>
      </c>
      <c r="I286" t="s">
        <v>82</v>
      </c>
      <c r="J286" t="s">
        <v>903</v>
      </c>
      <c r="K286" t="s">
        <v>31</v>
      </c>
      <c r="L286" s="1">
        <v>46089</v>
      </c>
      <c r="M286" t="s">
        <v>789</v>
      </c>
      <c r="N286">
        <f t="shared" si="8"/>
        <v>2026</v>
      </c>
      <c r="O286" t="str">
        <f t="shared" si="9"/>
        <v>Sunday</v>
      </c>
    </row>
    <row r="287" spans="1:15" x14ac:dyDescent="0.3">
      <c r="A287" t="s">
        <v>904</v>
      </c>
      <c r="B287" t="s">
        <v>905</v>
      </c>
      <c r="C287" s="1">
        <v>46090.333333333343</v>
      </c>
      <c r="D287" t="s">
        <v>15</v>
      </c>
      <c r="E287" t="s">
        <v>34</v>
      </c>
      <c r="F287" t="s">
        <v>17</v>
      </c>
      <c r="G287" t="s">
        <v>101</v>
      </c>
      <c r="H287" t="s">
        <v>102</v>
      </c>
      <c r="I287" t="s">
        <v>45</v>
      </c>
      <c r="J287" t="s">
        <v>906</v>
      </c>
      <c r="K287" t="s">
        <v>74</v>
      </c>
      <c r="L287" s="1">
        <v>46090</v>
      </c>
      <c r="M287" t="s">
        <v>789</v>
      </c>
      <c r="N287">
        <f t="shared" si="8"/>
        <v>2026</v>
      </c>
      <c r="O287" t="str">
        <f t="shared" si="9"/>
        <v>Monday</v>
      </c>
    </row>
    <row r="288" spans="1:15" x14ac:dyDescent="0.3">
      <c r="A288" t="s">
        <v>907</v>
      </c>
      <c r="B288" t="s">
        <v>908</v>
      </c>
      <c r="C288" s="1">
        <v>46090.416666666657</v>
      </c>
      <c r="D288" t="s">
        <v>15</v>
      </c>
      <c r="E288" t="s">
        <v>16</v>
      </c>
      <c r="F288" t="s">
        <v>50</v>
      </c>
      <c r="G288" t="s">
        <v>91</v>
      </c>
      <c r="H288" t="s">
        <v>92</v>
      </c>
      <c r="I288" t="s">
        <v>37</v>
      </c>
      <c r="J288" t="s">
        <v>909</v>
      </c>
      <c r="K288" t="s">
        <v>74</v>
      </c>
      <c r="L288" s="1">
        <v>46090</v>
      </c>
      <c r="M288" t="s">
        <v>789</v>
      </c>
      <c r="N288">
        <f t="shared" si="8"/>
        <v>2026</v>
      </c>
      <c r="O288" t="str">
        <f t="shared" si="9"/>
        <v>Monday</v>
      </c>
    </row>
    <row r="289" spans="1:15" x14ac:dyDescent="0.3">
      <c r="A289" t="s">
        <v>910</v>
      </c>
      <c r="B289" t="s">
        <v>500</v>
      </c>
      <c r="C289" s="1">
        <v>46090.708333333343</v>
      </c>
      <c r="D289" t="s">
        <v>15</v>
      </c>
      <c r="E289" t="s">
        <v>41</v>
      </c>
      <c r="F289" t="s">
        <v>17</v>
      </c>
      <c r="G289" t="s">
        <v>165</v>
      </c>
      <c r="H289" t="s">
        <v>166</v>
      </c>
      <c r="I289" t="s">
        <v>29</v>
      </c>
      <c r="J289" t="s">
        <v>911</v>
      </c>
      <c r="K289" t="s">
        <v>60</v>
      </c>
      <c r="L289" s="1">
        <v>46090</v>
      </c>
      <c r="M289" t="s">
        <v>789</v>
      </c>
      <c r="N289">
        <f t="shared" si="8"/>
        <v>2026</v>
      </c>
      <c r="O289" t="str">
        <f t="shared" si="9"/>
        <v>Monday</v>
      </c>
    </row>
    <row r="290" spans="1:15" x14ac:dyDescent="0.3">
      <c r="A290" t="s">
        <v>912</v>
      </c>
      <c r="B290" t="s">
        <v>913</v>
      </c>
      <c r="C290" s="1">
        <v>46090.708333333343</v>
      </c>
      <c r="D290" t="s">
        <v>15</v>
      </c>
      <c r="E290" t="s">
        <v>63</v>
      </c>
      <c r="F290" t="s">
        <v>17</v>
      </c>
      <c r="G290" t="s">
        <v>112</v>
      </c>
      <c r="H290" t="s">
        <v>113</v>
      </c>
      <c r="I290" t="s">
        <v>37</v>
      </c>
      <c r="J290" t="s">
        <v>914</v>
      </c>
      <c r="K290" t="s">
        <v>22</v>
      </c>
      <c r="L290" s="1">
        <v>46090</v>
      </c>
      <c r="M290" t="s">
        <v>789</v>
      </c>
      <c r="N290">
        <f t="shared" si="8"/>
        <v>2026</v>
      </c>
      <c r="O290" t="str">
        <f t="shared" si="9"/>
        <v>Monday</v>
      </c>
    </row>
    <row r="291" spans="1:15" x14ac:dyDescent="0.3">
      <c r="A291" t="s">
        <v>915</v>
      </c>
      <c r="B291" t="s">
        <v>916</v>
      </c>
      <c r="C291" s="1">
        <v>46090.75</v>
      </c>
      <c r="D291" t="s">
        <v>15</v>
      </c>
      <c r="E291" t="s">
        <v>34</v>
      </c>
      <c r="F291" t="s">
        <v>50</v>
      </c>
      <c r="G291" t="s">
        <v>149</v>
      </c>
      <c r="H291" t="s">
        <v>150</v>
      </c>
      <c r="I291" t="s">
        <v>37</v>
      </c>
      <c r="J291" t="s">
        <v>917</v>
      </c>
      <c r="K291" t="s">
        <v>22</v>
      </c>
      <c r="L291" s="1">
        <v>46090</v>
      </c>
      <c r="M291" t="s">
        <v>789</v>
      </c>
      <c r="N291">
        <f t="shared" si="8"/>
        <v>2026</v>
      </c>
      <c r="O291" t="str">
        <f t="shared" si="9"/>
        <v>Monday</v>
      </c>
    </row>
    <row r="292" spans="1:15" x14ac:dyDescent="0.3">
      <c r="A292" t="s">
        <v>918</v>
      </c>
      <c r="B292" t="s">
        <v>919</v>
      </c>
      <c r="C292" s="1">
        <v>46091.458333333343</v>
      </c>
      <c r="D292" t="s">
        <v>15</v>
      </c>
      <c r="E292" t="s">
        <v>34</v>
      </c>
      <c r="F292" t="s">
        <v>17</v>
      </c>
      <c r="G292" t="s">
        <v>43</v>
      </c>
      <c r="H292" t="s">
        <v>44</v>
      </c>
      <c r="I292" t="s">
        <v>45</v>
      </c>
      <c r="J292" t="s">
        <v>920</v>
      </c>
      <c r="K292" t="s">
        <v>60</v>
      </c>
      <c r="L292" s="1">
        <v>46091</v>
      </c>
      <c r="M292" t="s">
        <v>789</v>
      </c>
      <c r="N292">
        <f t="shared" si="8"/>
        <v>2026</v>
      </c>
      <c r="O292" t="str">
        <f t="shared" si="9"/>
        <v>Tuesday</v>
      </c>
    </row>
    <row r="293" spans="1:15" x14ac:dyDescent="0.3">
      <c r="A293" t="s">
        <v>921</v>
      </c>
      <c r="B293" t="s">
        <v>922</v>
      </c>
      <c r="C293" s="1">
        <v>46091.666666666657</v>
      </c>
      <c r="D293" t="s">
        <v>15</v>
      </c>
      <c r="E293" t="s">
        <v>16</v>
      </c>
      <c r="F293" t="s">
        <v>17</v>
      </c>
      <c r="G293" t="s">
        <v>35</v>
      </c>
      <c r="H293" t="s">
        <v>36</v>
      </c>
      <c r="I293" t="s">
        <v>37</v>
      </c>
      <c r="J293" t="s">
        <v>923</v>
      </c>
      <c r="K293" t="s">
        <v>47</v>
      </c>
      <c r="L293" s="1">
        <v>46091</v>
      </c>
      <c r="M293" t="s">
        <v>789</v>
      </c>
      <c r="N293">
        <f t="shared" si="8"/>
        <v>2026</v>
      </c>
      <c r="O293" t="str">
        <f t="shared" si="9"/>
        <v>Tuesday</v>
      </c>
    </row>
    <row r="294" spans="1:15" x14ac:dyDescent="0.3">
      <c r="A294" t="s">
        <v>924</v>
      </c>
      <c r="B294" t="s">
        <v>322</v>
      </c>
      <c r="C294" s="1">
        <v>46091.666666666657</v>
      </c>
      <c r="D294" t="s">
        <v>15</v>
      </c>
      <c r="E294" t="s">
        <v>41</v>
      </c>
      <c r="F294" t="s">
        <v>17</v>
      </c>
      <c r="G294" t="s">
        <v>126</v>
      </c>
      <c r="H294" t="s">
        <v>127</v>
      </c>
      <c r="I294" t="s">
        <v>45</v>
      </c>
      <c r="J294" t="s">
        <v>925</v>
      </c>
      <c r="K294" t="s">
        <v>60</v>
      </c>
      <c r="L294" s="1">
        <v>46091</v>
      </c>
      <c r="M294" t="s">
        <v>789</v>
      </c>
      <c r="N294">
        <f t="shared" si="8"/>
        <v>2026</v>
      </c>
      <c r="O294" t="str">
        <f t="shared" si="9"/>
        <v>Tuesday</v>
      </c>
    </row>
    <row r="295" spans="1:15" x14ac:dyDescent="0.3">
      <c r="A295" t="s">
        <v>926</v>
      </c>
      <c r="B295" t="s">
        <v>764</v>
      </c>
      <c r="C295" s="1">
        <v>46091.791666666657</v>
      </c>
      <c r="D295" t="s">
        <v>15</v>
      </c>
      <c r="E295" t="s">
        <v>34</v>
      </c>
      <c r="F295" t="s">
        <v>50</v>
      </c>
      <c r="G295" t="s">
        <v>56</v>
      </c>
      <c r="H295" t="s">
        <v>57</v>
      </c>
      <c r="I295" t="s">
        <v>58</v>
      </c>
      <c r="J295" t="s">
        <v>927</v>
      </c>
      <c r="K295" t="s">
        <v>31</v>
      </c>
      <c r="L295" s="1">
        <v>46091</v>
      </c>
      <c r="M295" t="s">
        <v>789</v>
      </c>
      <c r="N295">
        <f t="shared" si="8"/>
        <v>2026</v>
      </c>
      <c r="O295" t="str">
        <f t="shared" si="9"/>
        <v>Tuesday</v>
      </c>
    </row>
    <row r="296" spans="1:15" x14ac:dyDescent="0.3">
      <c r="A296" t="s">
        <v>928</v>
      </c>
      <c r="B296" t="s">
        <v>929</v>
      </c>
      <c r="C296" s="1">
        <v>46091.875</v>
      </c>
      <c r="D296" t="s">
        <v>15</v>
      </c>
      <c r="E296" t="s">
        <v>16</v>
      </c>
      <c r="F296" t="s">
        <v>17</v>
      </c>
      <c r="G296" t="s">
        <v>106</v>
      </c>
      <c r="H296" t="s">
        <v>107</v>
      </c>
      <c r="I296" t="s">
        <v>108</v>
      </c>
      <c r="J296" t="s">
        <v>930</v>
      </c>
      <c r="K296" t="s">
        <v>31</v>
      </c>
      <c r="L296" s="1">
        <v>46091</v>
      </c>
      <c r="M296" t="s">
        <v>789</v>
      </c>
      <c r="N296">
        <f t="shared" si="8"/>
        <v>2026</v>
      </c>
      <c r="O296" t="str">
        <f t="shared" si="9"/>
        <v>Tuesday</v>
      </c>
    </row>
    <row r="297" spans="1:15" x14ac:dyDescent="0.3">
      <c r="A297" t="s">
        <v>931</v>
      </c>
      <c r="B297" t="s">
        <v>932</v>
      </c>
      <c r="C297" s="1">
        <v>46092.333333333343</v>
      </c>
      <c r="D297" t="s">
        <v>15</v>
      </c>
      <c r="E297" t="s">
        <v>34</v>
      </c>
      <c r="F297" t="s">
        <v>17</v>
      </c>
      <c r="G297" t="s">
        <v>43</v>
      </c>
      <c r="H297" t="s">
        <v>44</v>
      </c>
      <c r="I297" t="s">
        <v>45</v>
      </c>
      <c r="J297" t="s">
        <v>933</v>
      </c>
      <c r="K297" t="s">
        <v>47</v>
      </c>
      <c r="L297" s="1">
        <v>46092</v>
      </c>
      <c r="M297" t="s">
        <v>789</v>
      </c>
      <c r="N297">
        <f t="shared" si="8"/>
        <v>2026</v>
      </c>
      <c r="O297" t="str">
        <f t="shared" si="9"/>
        <v>Wednesday</v>
      </c>
    </row>
    <row r="298" spans="1:15" x14ac:dyDescent="0.3">
      <c r="A298" t="s">
        <v>934</v>
      </c>
      <c r="B298" t="s">
        <v>935</v>
      </c>
      <c r="C298" s="1">
        <v>46092.458333333343</v>
      </c>
      <c r="D298" t="s">
        <v>15</v>
      </c>
      <c r="E298" t="s">
        <v>26</v>
      </c>
      <c r="F298" t="s">
        <v>17</v>
      </c>
      <c r="G298" t="s">
        <v>86</v>
      </c>
      <c r="H298" t="s">
        <v>87</v>
      </c>
      <c r="I298" t="s">
        <v>82</v>
      </c>
      <c r="J298" t="s">
        <v>936</v>
      </c>
      <c r="K298" t="s">
        <v>22</v>
      </c>
      <c r="L298" s="1">
        <v>46092</v>
      </c>
      <c r="M298" t="s">
        <v>789</v>
      </c>
      <c r="N298">
        <f t="shared" si="8"/>
        <v>2026</v>
      </c>
      <c r="O298" t="str">
        <f t="shared" si="9"/>
        <v>Wednesday</v>
      </c>
    </row>
    <row r="299" spans="1:15" x14ac:dyDescent="0.3">
      <c r="A299" t="s">
        <v>937</v>
      </c>
      <c r="B299" t="s">
        <v>938</v>
      </c>
      <c r="C299" s="1">
        <v>46092.666666666657</v>
      </c>
      <c r="D299" t="s">
        <v>15</v>
      </c>
      <c r="E299" t="s">
        <v>16</v>
      </c>
      <c r="F299" t="s">
        <v>50</v>
      </c>
      <c r="G299" t="s">
        <v>112</v>
      </c>
      <c r="H299" t="s">
        <v>113</v>
      </c>
      <c r="I299" t="s">
        <v>37</v>
      </c>
      <c r="J299" t="s">
        <v>939</v>
      </c>
      <c r="K299" t="s">
        <v>60</v>
      </c>
      <c r="L299" s="1">
        <v>46092</v>
      </c>
      <c r="M299" t="s">
        <v>789</v>
      </c>
      <c r="N299">
        <f t="shared" si="8"/>
        <v>2026</v>
      </c>
      <c r="O299" t="str">
        <f t="shared" si="9"/>
        <v>Wednesday</v>
      </c>
    </row>
    <row r="300" spans="1:15" x14ac:dyDescent="0.3">
      <c r="A300" t="s">
        <v>940</v>
      </c>
      <c r="B300" t="s">
        <v>941</v>
      </c>
      <c r="C300" s="1">
        <v>46092.791666666657</v>
      </c>
      <c r="D300" t="s">
        <v>15</v>
      </c>
      <c r="E300" t="s">
        <v>16</v>
      </c>
      <c r="F300" t="s">
        <v>17</v>
      </c>
      <c r="G300" t="s">
        <v>51</v>
      </c>
      <c r="H300" t="s">
        <v>52</v>
      </c>
      <c r="I300" t="s">
        <v>20</v>
      </c>
      <c r="J300" t="s">
        <v>942</v>
      </c>
      <c r="K300" t="s">
        <v>74</v>
      </c>
      <c r="L300" s="1">
        <v>46092</v>
      </c>
      <c r="M300" t="s">
        <v>789</v>
      </c>
      <c r="N300">
        <f t="shared" si="8"/>
        <v>2026</v>
      </c>
      <c r="O300" t="str">
        <f t="shared" si="9"/>
        <v>Wednesday</v>
      </c>
    </row>
    <row r="301" spans="1:15" x14ac:dyDescent="0.3">
      <c r="A301" t="s">
        <v>943</v>
      </c>
      <c r="B301" t="s">
        <v>944</v>
      </c>
      <c r="C301" s="1">
        <v>46093.333333333343</v>
      </c>
      <c r="D301" t="s">
        <v>15</v>
      </c>
      <c r="E301" t="s">
        <v>41</v>
      </c>
      <c r="F301" t="s">
        <v>17</v>
      </c>
      <c r="G301" t="s">
        <v>250</v>
      </c>
      <c r="H301" t="s">
        <v>251</v>
      </c>
      <c r="I301" t="s">
        <v>108</v>
      </c>
      <c r="J301" t="s">
        <v>945</v>
      </c>
      <c r="K301" t="s">
        <v>22</v>
      </c>
      <c r="L301" s="1">
        <v>46093</v>
      </c>
      <c r="M301" t="s">
        <v>789</v>
      </c>
      <c r="N301">
        <f t="shared" si="8"/>
        <v>2026</v>
      </c>
      <c r="O301" t="str">
        <f t="shared" si="9"/>
        <v>Thursday</v>
      </c>
    </row>
    <row r="302" spans="1:15" x14ac:dyDescent="0.3">
      <c r="A302" t="s">
        <v>946</v>
      </c>
      <c r="B302" t="s">
        <v>947</v>
      </c>
      <c r="C302" s="1">
        <v>46093.333333333343</v>
      </c>
      <c r="D302" t="s">
        <v>15</v>
      </c>
      <c r="E302" t="s">
        <v>16</v>
      </c>
      <c r="F302" t="s">
        <v>17</v>
      </c>
      <c r="G302" t="s">
        <v>160</v>
      </c>
      <c r="H302" t="s">
        <v>161</v>
      </c>
      <c r="I302" t="s">
        <v>82</v>
      </c>
      <c r="J302" t="s">
        <v>948</v>
      </c>
      <c r="K302" t="s">
        <v>74</v>
      </c>
      <c r="L302" s="1">
        <v>46093</v>
      </c>
      <c r="M302" t="s">
        <v>789</v>
      </c>
      <c r="N302">
        <f t="shared" si="8"/>
        <v>2026</v>
      </c>
      <c r="O302" t="str">
        <f t="shared" si="9"/>
        <v>Thursday</v>
      </c>
    </row>
    <row r="303" spans="1:15" x14ac:dyDescent="0.3">
      <c r="A303" t="s">
        <v>949</v>
      </c>
      <c r="B303" t="s">
        <v>809</v>
      </c>
      <c r="C303" s="1">
        <v>46093.5</v>
      </c>
      <c r="D303" t="s">
        <v>15</v>
      </c>
      <c r="E303" t="s">
        <v>16</v>
      </c>
      <c r="F303" t="s">
        <v>50</v>
      </c>
      <c r="G303" t="s">
        <v>165</v>
      </c>
      <c r="H303" t="s">
        <v>166</v>
      </c>
      <c r="I303" t="s">
        <v>29</v>
      </c>
      <c r="J303" t="s">
        <v>950</v>
      </c>
      <c r="K303" t="s">
        <v>22</v>
      </c>
      <c r="L303" s="1">
        <v>46093</v>
      </c>
      <c r="M303" t="s">
        <v>789</v>
      </c>
      <c r="N303">
        <f t="shared" si="8"/>
        <v>2026</v>
      </c>
      <c r="O303" t="str">
        <f t="shared" si="9"/>
        <v>Thursday</v>
      </c>
    </row>
    <row r="304" spans="1:15" x14ac:dyDescent="0.3">
      <c r="A304" t="s">
        <v>951</v>
      </c>
      <c r="B304" t="s">
        <v>952</v>
      </c>
      <c r="C304" s="1">
        <v>46093.5</v>
      </c>
      <c r="D304" t="s">
        <v>15</v>
      </c>
      <c r="E304" t="s">
        <v>34</v>
      </c>
      <c r="F304" t="s">
        <v>50</v>
      </c>
      <c r="G304" t="s">
        <v>80</v>
      </c>
      <c r="H304" t="s">
        <v>81</v>
      </c>
      <c r="I304" t="s">
        <v>82</v>
      </c>
      <c r="J304" t="s">
        <v>953</v>
      </c>
      <c r="K304" t="s">
        <v>60</v>
      </c>
      <c r="L304" s="1">
        <v>46093</v>
      </c>
      <c r="M304" t="s">
        <v>789</v>
      </c>
      <c r="N304">
        <f t="shared" si="8"/>
        <v>2026</v>
      </c>
      <c r="O304" t="str">
        <f t="shared" si="9"/>
        <v>Thursday</v>
      </c>
    </row>
    <row r="305" spans="1:15" x14ac:dyDescent="0.3">
      <c r="A305" t="s">
        <v>954</v>
      </c>
      <c r="B305" t="s">
        <v>598</v>
      </c>
      <c r="C305" s="1">
        <v>46093.625</v>
      </c>
      <c r="D305" t="s">
        <v>15</v>
      </c>
      <c r="E305" t="s">
        <v>26</v>
      </c>
      <c r="F305" t="s">
        <v>50</v>
      </c>
      <c r="G305" t="s">
        <v>106</v>
      </c>
      <c r="H305" t="s">
        <v>107</v>
      </c>
      <c r="I305" t="s">
        <v>108</v>
      </c>
      <c r="J305" t="s">
        <v>955</v>
      </c>
      <c r="K305" t="s">
        <v>74</v>
      </c>
      <c r="L305" s="1">
        <v>46093</v>
      </c>
      <c r="M305" t="s">
        <v>789</v>
      </c>
      <c r="N305">
        <f t="shared" si="8"/>
        <v>2026</v>
      </c>
      <c r="O305" t="str">
        <f t="shared" si="9"/>
        <v>Thursday</v>
      </c>
    </row>
    <row r="306" spans="1:15" x14ac:dyDescent="0.3">
      <c r="A306" t="s">
        <v>956</v>
      </c>
      <c r="B306" t="s">
        <v>957</v>
      </c>
      <c r="C306" s="1">
        <v>46093.625</v>
      </c>
      <c r="D306" t="s">
        <v>15</v>
      </c>
      <c r="E306" t="s">
        <v>16</v>
      </c>
      <c r="F306" t="s">
        <v>50</v>
      </c>
      <c r="G306" t="s">
        <v>191</v>
      </c>
      <c r="H306" t="s">
        <v>192</v>
      </c>
      <c r="I306" t="s">
        <v>45</v>
      </c>
      <c r="J306" t="s">
        <v>958</v>
      </c>
      <c r="K306" t="s">
        <v>31</v>
      </c>
      <c r="L306" s="1">
        <v>46093</v>
      </c>
      <c r="M306" t="s">
        <v>789</v>
      </c>
      <c r="N306">
        <f t="shared" si="8"/>
        <v>2026</v>
      </c>
      <c r="O306" t="str">
        <f t="shared" si="9"/>
        <v>Thursday</v>
      </c>
    </row>
    <row r="307" spans="1:15" x14ac:dyDescent="0.3">
      <c r="A307" t="s">
        <v>959</v>
      </c>
      <c r="B307" t="s">
        <v>960</v>
      </c>
      <c r="C307" s="1">
        <v>46093.708333333343</v>
      </c>
      <c r="D307" t="s">
        <v>15</v>
      </c>
      <c r="E307" t="s">
        <v>16</v>
      </c>
      <c r="F307" t="s">
        <v>42</v>
      </c>
      <c r="G307" t="s">
        <v>51</v>
      </c>
      <c r="H307" t="s">
        <v>52</v>
      </c>
      <c r="I307" t="s">
        <v>20</v>
      </c>
      <c r="J307" t="s">
        <v>961</v>
      </c>
      <c r="K307" t="s">
        <v>74</v>
      </c>
      <c r="L307" s="1">
        <v>46093</v>
      </c>
      <c r="M307" t="s">
        <v>789</v>
      </c>
      <c r="N307">
        <f t="shared" si="8"/>
        <v>2026</v>
      </c>
      <c r="O307" t="str">
        <f t="shared" si="9"/>
        <v>Thursday</v>
      </c>
    </row>
    <row r="308" spans="1:15" x14ac:dyDescent="0.3">
      <c r="A308" t="s">
        <v>962</v>
      </c>
      <c r="B308" t="s">
        <v>963</v>
      </c>
      <c r="C308" s="1">
        <v>46094.583333333343</v>
      </c>
      <c r="D308" t="s">
        <v>15</v>
      </c>
      <c r="E308" t="s">
        <v>34</v>
      </c>
      <c r="F308" t="s">
        <v>17</v>
      </c>
      <c r="G308" t="s">
        <v>149</v>
      </c>
      <c r="H308" t="s">
        <v>150</v>
      </c>
      <c r="I308" t="s">
        <v>37</v>
      </c>
      <c r="J308" t="s">
        <v>964</v>
      </c>
      <c r="K308" t="s">
        <v>22</v>
      </c>
      <c r="L308" s="1">
        <v>46094</v>
      </c>
      <c r="M308" t="s">
        <v>789</v>
      </c>
      <c r="N308">
        <f t="shared" si="8"/>
        <v>2026</v>
      </c>
      <c r="O308" t="str">
        <f t="shared" si="9"/>
        <v>Friday</v>
      </c>
    </row>
    <row r="309" spans="1:15" x14ac:dyDescent="0.3">
      <c r="A309" t="s">
        <v>965</v>
      </c>
      <c r="B309" t="s">
        <v>966</v>
      </c>
      <c r="C309" s="1">
        <v>46095.416666666657</v>
      </c>
      <c r="D309" t="s">
        <v>15</v>
      </c>
      <c r="E309" t="s">
        <v>41</v>
      </c>
      <c r="F309" t="s">
        <v>17</v>
      </c>
      <c r="G309" t="s">
        <v>56</v>
      </c>
      <c r="H309" t="s">
        <v>57</v>
      </c>
      <c r="I309" t="s">
        <v>58</v>
      </c>
      <c r="J309" t="s">
        <v>967</v>
      </c>
      <c r="K309" t="s">
        <v>31</v>
      </c>
      <c r="L309" s="1">
        <v>46095</v>
      </c>
      <c r="M309" t="s">
        <v>789</v>
      </c>
      <c r="N309">
        <f t="shared" si="8"/>
        <v>2026</v>
      </c>
      <c r="O309" t="str">
        <f t="shared" si="9"/>
        <v>Saturday</v>
      </c>
    </row>
    <row r="310" spans="1:15" x14ac:dyDescent="0.3">
      <c r="A310" t="s">
        <v>968</v>
      </c>
      <c r="B310" t="s">
        <v>969</v>
      </c>
      <c r="C310" s="1">
        <v>46095.583333333343</v>
      </c>
      <c r="D310" t="s">
        <v>15</v>
      </c>
      <c r="E310" t="s">
        <v>41</v>
      </c>
      <c r="F310" t="s">
        <v>50</v>
      </c>
      <c r="G310" t="s">
        <v>80</v>
      </c>
      <c r="H310" t="s">
        <v>81</v>
      </c>
      <c r="I310" t="s">
        <v>82</v>
      </c>
      <c r="J310" t="s">
        <v>970</v>
      </c>
      <c r="K310" t="s">
        <v>74</v>
      </c>
      <c r="L310" s="1">
        <v>46095</v>
      </c>
      <c r="M310" t="s">
        <v>789</v>
      </c>
      <c r="N310">
        <f t="shared" si="8"/>
        <v>2026</v>
      </c>
      <c r="O310" t="str">
        <f t="shared" si="9"/>
        <v>Saturday</v>
      </c>
    </row>
    <row r="311" spans="1:15" x14ac:dyDescent="0.3">
      <c r="A311" t="s">
        <v>971</v>
      </c>
      <c r="B311" t="s">
        <v>972</v>
      </c>
      <c r="C311" s="1">
        <v>46095.625</v>
      </c>
      <c r="D311" t="s">
        <v>15</v>
      </c>
      <c r="E311" t="s">
        <v>63</v>
      </c>
      <c r="F311" t="s">
        <v>50</v>
      </c>
      <c r="G311" t="s">
        <v>51</v>
      </c>
      <c r="H311" t="s">
        <v>52</v>
      </c>
      <c r="I311" t="s">
        <v>20</v>
      </c>
      <c r="J311" t="s">
        <v>973</v>
      </c>
      <c r="K311" t="s">
        <v>60</v>
      </c>
      <c r="L311" s="1">
        <v>46095</v>
      </c>
      <c r="M311" t="s">
        <v>789</v>
      </c>
      <c r="N311">
        <f t="shared" si="8"/>
        <v>2026</v>
      </c>
      <c r="O311" t="str">
        <f t="shared" si="9"/>
        <v>Saturday</v>
      </c>
    </row>
    <row r="312" spans="1:15" x14ac:dyDescent="0.3">
      <c r="A312" t="s">
        <v>974</v>
      </c>
      <c r="B312" t="s">
        <v>975</v>
      </c>
      <c r="C312" s="1">
        <v>46095.75</v>
      </c>
      <c r="D312" t="s">
        <v>15</v>
      </c>
      <c r="E312" t="s">
        <v>34</v>
      </c>
      <c r="F312" t="s">
        <v>17</v>
      </c>
      <c r="G312" t="s">
        <v>27</v>
      </c>
      <c r="H312" t="s">
        <v>28</v>
      </c>
      <c r="I312" t="s">
        <v>29</v>
      </c>
      <c r="J312" t="s">
        <v>976</v>
      </c>
      <c r="K312" t="s">
        <v>22</v>
      </c>
      <c r="L312" s="1">
        <v>46095</v>
      </c>
      <c r="M312" t="s">
        <v>789</v>
      </c>
      <c r="N312">
        <f t="shared" si="8"/>
        <v>2026</v>
      </c>
      <c r="O312" t="str">
        <f t="shared" si="9"/>
        <v>Saturday</v>
      </c>
    </row>
    <row r="313" spans="1:15" x14ac:dyDescent="0.3">
      <c r="A313" t="s">
        <v>977</v>
      </c>
      <c r="B313" t="s">
        <v>978</v>
      </c>
      <c r="C313" s="1">
        <v>46096.416666666657</v>
      </c>
      <c r="D313" t="s">
        <v>15</v>
      </c>
      <c r="E313" t="s">
        <v>34</v>
      </c>
      <c r="F313" t="s">
        <v>17</v>
      </c>
      <c r="G313" t="s">
        <v>126</v>
      </c>
      <c r="H313" t="s">
        <v>127</v>
      </c>
      <c r="I313" t="s">
        <v>45</v>
      </c>
      <c r="J313" t="s">
        <v>979</v>
      </c>
      <c r="K313" t="s">
        <v>74</v>
      </c>
      <c r="L313" s="1">
        <v>46096</v>
      </c>
      <c r="M313" t="s">
        <v>789</v>
      </c>
      <c r="N313">
        <f t="shared" si="8"/>
        <v>2026</v>
      </c>
      <c r="O313" t="str">
        <f t="shared" si="9"/>
        <v>Sunday</v>
      </c>
    </row>
    <row r="314" spans="1:15" x14ac:dyDescent="0.3">
      <c r="A314" t="s">
        <v>980</v>
      </c>
      <c r="B314" t="s">
        <v>981</v>
      </c>
      <c r="C314" s="1">
        <v>46096.5</v>
      </c>
      <c r="D314" t="s">
        <v>15</v>
      </c>
      <c r="E314" t="s">
        <v>16</v>
      </c>
      <c r="F314" t="s">
        <v>17</v>
      </c>
      <c r="G314" t="s">
        <v>80</v>
      </c>
      <c r="H314" t="s">
        <v>81</v>
      </c>
      <c r="I314" t="s">
        <v>82</v>
      </c>
      <c r="J314" t="s">
        <v>982</v>
      </c>
      <c r="K314" t="s">
        <v>22</v>
      </c>
      <c r="L314" s="1">
        <v>46096</v>
      </c>
      <c r="M314" t="s">
        <v>789</v>
      </c>
      <c r="N314">
        <f t="shared" si="8"/>
        <v>2026</v>
      </c>
      <c r="O314" t="str">
        <f t="shared" si="9"/>
        <v>Sunday</v>
      </c>
    </row>
    <row r="315" spans="1:15" x14ac:dyDescent="0.3">
      <c r="A315" t="s">
        <v>983</v>
      </c>
      <c r="B315" t="s">
        <v>984</v>
      </c>
      <c r="C315" s="1">
        <v>46096.583333333343</v>
      </c>
      <c r="D315" t="s">
        <v>15</v>
      </c>
      <c r="E315" t="s">
        <v>41</v>
      </c>
      <c r="F315" t="s">
        <v>50</v>
      </c>
      <c r="G315" t="s">
        <v>101</v>
      </c>
      <c r="H315" t="s">
        <v>102</v>
      </c>
      <c r="I315" t="s">
        <v>45</v>
      </c>
      <c r="J315" t="s">
        <v>985</v>
      </c>
      <c r="K315" t="s">
        <v>22</v>
      </c>
      <c r="L315" s="1">
        <v>46096</v>
      </c>
      <c r="M315" t="s">
        <v>789</v>
      </c>
      <c r="N315">
        <f t="shared" si="8"/>
        <v>2026</v>
      </c>
      <c r="O315" t="str">
        <f t="shared" si="9"/>
        <v>Sunday</v>
      </c>
    </row>
    <row r="316" spans="1:15" x14ac:dyDescent="0.3">
      <c r="A316" t="s">
        <v>986</v>
      </c>
      <c r="B316" t="s">
        <v>987</v>
      </c>
      <c r="C316" s="1">
        <v>46096.583333333343</v>
      </c>
      <c r="D316" t="s">
        <v>15</v>
      </c>
      <c r="E316" t="s">
        <v>26</v>
      </c>
      <c r="F316" t="s">
        <v>42</v>
      </c>
      <c r="G316" t="s">
        <v>35</v>
      </c>
      <c r="H316" t="s">
        <v>36</v>
      </c>
      <c r="I316" t="s">
        <v>37</v>
      </c>
      <c r="J316" t="s">
        <v>988</v>
      </c>
      <c r="K316" t="s">
        <v>74</v>
      </c>
      <c r="L316" s="1">
        <v>46096</v>
      </c>
      <c r="M316" t="s">
        <v>789</v>
      </c>
      <c r="N316">
        <f t="shared" si="8"/>
        <v>2026</v>
      </c>
      <c r="O316" t="str">
        <f t="shared" si="9"/>
        <v>Sunday</v>
      </c>
    </row>
    <row r="317" spans="1:15" x14ac:dyDescent="0.3">
      <c r="A317" t="s">
        <v>989</v>
      </c>
      <c r="B317" t="s">
        <v>812</v>
      </c>
      <c r="C317" s="1">
        <v>46097.5</v>
      </c>
      <c r="D317" t="s">
        <v>15</v>
      </c>
      <c r="E317" t="s">
        <v>41</v>
      </c>
      <c r="F317" t="s">
        <v>17</v>
      </c>
      <c r="G317" t="s">
        <v>56</v>
      </c>
      <c r="H317" t="s">
        <v>57</v>
      </c>
      <c r="I317" t="s">
        <v>58</v>
      </c>
      <c r="J317" t="s">
        <v>990</v>
      </c>
      <c r="K317" t="s">
        <v>47</v>
      </c>
      <c r="L317" s="1">
        <v>46097</v>
      </c>
      <c r="M317" t="s">
        <v>789</v>
      </c>
      <c r="N317">
        <f t="shared" si="8"/>
        <v>2026</v>
      </c>
      <c r="O317" t="str">
        <f t="shared" si="9"/>
        <v>Monday</v>
      </c>
    </row>
    <row r="318" spans="1:15" x14ac:dyDescent="0.3">
      <c r="A318" t="s">
        <v>991</v>
      </c>
      <c r="B318" t="s">
        <v>992</v>
      </c>
      <c r="C318" s="1">
        <v>46097.75</v>
      </c>
      <c r="D318" t="s">
        <v>15</v>
      </c>
      <c r="E318" t="s">
        <v>16</v>
      </c>
      <c r="F318" t="s">
        <v>50</v>
      </c>
      <c r="G318" t="s">
        <v>43</v>
      </c>
      <c r="H318" t="s">
        <v>44</v>
      </c>
      <c r="I318" t="s">
        <v>45</v>
      </c>
      <c r="J318" t="s">
        <v>993</v>
      </c>
      <c r="K318" t="s">
        <v>22</v>
      </c>
      <c r="L318" s="1">
        <v>46097</v>
      </c>
      <c r="M318" t="s">
        <v>789</v>
      </c>
      <c r="N318">
        <f t="shared" si="8"/>
        <v>2026</v>
      </c>
      <c r="O318" t="str">
        <f t="shared" si="9"/>
        <v>Monday</v>
      </c>
    </row>
    <row r="319" spans="1:15" x14ac:dyDescent="0.3">
      <c r="A319" t="s">
        <v>994</v>
      </c>
      <c r="B319" t="s">
        <v>995</v>
      </c>
      <c r="C319" s="1">
        <v>46097.791666666657</v>
      </c>
      <c r="D319" t="s">
        <v>15</v>
      </c>
      <c r="E319" t="s">
        <v>26</v>
      </c>
      <c r="F319" t="s">
        <v>50</v>
      </c>
      <c r="G319" t="s">
        <v>80</v>
      </c>
      <c r="H319" t="s">
        <v>81</v>
      </c>
      <c r="I319" t="s">
        <v>82</v>
      </c>
      <c r="J319" t="s">
        <v>996</v>
      </c>
      <c r="K319" t="s">
        <v>31</v>
      </c>
      <c r="L319" s="1">
        <v>46097</v>
      </c>
      <c r="M319" t="s">
        <v>789</v>
      </c>
      <c r="N319">
        <f t="shared" si="8"/>
        <v>2026</v>
      </c>
      <c r="O319" t="str">
        <f t="shared" si="9"/>
        <v>Monday</v>
      </c>
    </row>
    <row r="320" spans="1:15" x14ac:dyDescent="0.3">
      <c r="A320" t="s">
        <v>997</v>
      </c>
      <c r="B320" t="s">
        <v>998</v>
      </c>
      <c r="C320" s="1">
        <v>46097.875</v>
      </c>
      <c r="D320" t="s">
        <v>15</v>
      </c>
      <c r="E320" t="s">
        <v>34</v>
      </c>
      <c r="F320" t="s">
        <v>17</v>
      </c>
      <c r="G320" t="s">
        <v>112</v>
      </c>
      <c r="H320" t="s">
        <v>113</v>
      </c>
      <c r="I320" t="s">
        <v>37</v>
      </c>
      <c r="J320" t="s">
        <v>999</v>
      </c>
      <c r="K320" t="s">
        <v>74</v>
      </c>
      <c r="L320" s="1">
        <v>46097</v>
      </c>
      <c r="M320" t="s">
        <v>789</v>
      </c>
      <c r="N320">
        <f t="shared" si="8"/>
        <v>2026</v>
      </c>
      <c r="O320" t="str">
        <f t="shared" si="9"/>
        <v>Monday</v>
      </c>
    </row>
    <row r="321" spans="1:15" x14ac:dyDescent="0.3">
      <c r="A321" t="s">
        <v>1000</v>
      </c>
      <c r="B321" t="s">
        <v>1001</v>
      </c>
      <c r="C321" s="1">
        <v>46097.875</v>
      </c>
      <c r="D321" t="s">
        <v>15</v>
      </c>
      <c r="E321" t="s">
        <v>26</v>
      </c>
      <c r="F321" t="s">
        <v>17</v>
      </c>
      <c r="G321" t="s">
        <v>96</v>
      </c>
      <c r="H321" t="s">
        <v>97</v>
      </c>
      <c r="I321" t="s">
        <v>58</v>
      </c>
      <c r="J321" t="s">
        <v>1002</v>
      </c>
      <c r="K321" t="s">
        <v>22</v>
      </c>
      <c r="L321" s="1">
        <v>46097</v>
      </c>
      <c r="M321" t="s">
        <v>789</v>
      </c>
      <c r="N321">
        <f t="shared" si="8"/>
        <v>2026</v>
      </c>
      <c r="O321" t="str">
        <f t="shared" si="9"/>
        <v>Monday</v>
      </c>
    </row>
    <row r="322" spans="1:15" x14ac:dyDescent="0.3">
      <c r="A322" t="s">
        <v>1003</v>
      </c>
      <c r="B322" t="s">
        <v>1004</v>
      </c>
      <c r="C322" s="1">
        <v>46098.416666666657</v>
      </c>
      <c r="D322" t="s">
        <v>15</v>
      </c>
      <c r="E322" t="s">
        <v>26</v>
      </c>
      <c r="F322" t="s">
        <v>50</v>
      </c>
      <c r="G322" t="s">
        <v>56</v>
      </c>
      <c r="H322" t="s">
        <v>57</v>
      </c>
      <c r="I322" t="s">
        <v>58</v>
      </c>
      <c r="J322" t="s">
        <v>1005</v>
      </c>
      <c r="K322" t="s">
        <v>60</v>
      </c>
      <c r="L322" s="1">
        <v>46098</v>
      </c>
      <c r="M322" t="s">
        <v>789</v>
      </c>
      <c r="N322">
        <f t="shared" si="8"/>
        <v>2026</v>
      </c>
      <c r="O322" t="str">
        <f t="shared" si="9"/>
        <v>Tuesday</v>
      </c>
    </row>
    <row r="323" spans="1:15" x14ac:dyDescent="0.3">
      <c r="A323" t="s">
        <v>1006</v>
      </c>
      <c r="B323" t="s">
        <v>100</v>
      </c>
      <c r="C323" s="1">
        <v>46098.458333333343</v>
      </c>
      <c r="D323" t="s">
        <v>15</v>
      </c>
      <c r="E323" t="s">
        <v>26</v>
      </c>
      <c r="F323" t="s">
        <v>42</v>
      </c>
      <c r="G323" t="s">
        <v>112</v>
      </c>
      <c r="H323" t="s">
        <v>113</v>
      </c>
      <c r="I323" t="s">
        <v>37</v>
      </c>
      <c r="J323" t="s">
        <v>1007</v>
      </c>
      <c r="K323" t="s">
        <v>74</v>
      </c>
      <c r="L323" s="1">
        <v>46098</v>
      </c>
      <c r="M323" t="s">
        <v>789</v>
      </c>
      <c r="N323">
        <f t="shared" ref="N323:N386" si="10">YEAR(C323)</f>
        <v>2026</v>
      </c>
      <c r="O323" t="str">
        <f t="shared" ref="O323:O386" si="11">TEXT(C323,"dddd")</f>
        <v>Tuesday</v>
      </c>
    </row>
    <row r="324" spans="1:15" x14ac:dyDescent="0.3">
      <c r="A324" t="s">
        <v>1008</v>
      </c>
      <c r="B324" t="s">
        <v>1009</v>
      </c>
      <c r="C324" s="1">
        <v>46098.5</v>
      </c>
      <c r="D324" t="s">
        <v>15</v>
      </c>
      <c r="E324" t="s">
        <v>26</v>
      </c>
      <c r="F324" t="s">
        <v>17</v>
      </c>
      <c r="G324" t="s">
        <v>27</v>
      </c>
      <c r="H324" t="s">
        <v>28</v>
      </c>
      <c r="I324" t="s">
        <v>29</v>
      </c>
      <c r="J324" t="s">
        <v>1010</v>
      </c>
      <c r="K324" t="s">
        <v>47</v>
      </c>
      <c r="L324" s="1">
        <v>46098</v>
      </c>
      <c r="M324" t="s">
        <v>789</v>
      </c>
      <c r="N324">
        <f t="shared" si="10"/>
        <v>2026</v>
      </c>
      <c r="O324" t="str">
        <f t="shared" si="11"/>
        <v>Tuesday</v>
      </c>
    </row>
    <row r="325" spans="1:15" x14ac:dyDescent="0.3">
      <c r="A325" t="s">
        <v>1011</v>
      </c>
      <c r="B325" t="s">
        <v>69</v>
      </c>
      <c r="C325" s="1">
        <v>46098.5</v>
      </c>
      <c r="D325" t="s">
        <v>15</v>
      </c>
      <c r="E325" t="s">
        <v>16</v>
      </c>
      <c r="F325" t="s">
        <v>50</v>
      </c>
      <c r="G325" t="s">
        <v>149</v>
      </c>
      <c r="H325" t="s">
        <v>150</v>
      </c>
      <c r="I325" t="s">
        <v>37</v>
      </c>
      <c r="J325" t="s">
        <v>1012</v>
      </c>
      <c r="K325" t="s">
        <v>74</v>
      </c>
      <c r="L325" s="1">
        <v>46098</v>
      </c>
      <c r="M325" t="s">
        <v>789</v>
      </c>
      <c r="N325">
        <f t="shared" si="10"/>
        <v>2026</v>
      </c>
      <c r="O325" t="str">
        <f t="shared" si="11"/>
        <v>Tuesday</v>
      </c>
    </row>
    <row r="326" spans="1:15" x14ac:dyDescent="0.3">
      <c r="A326" t="s">
        <v>1013</v>
      </c>
      <c r="B326" t="s">
        <v>1014</v>
      </c>
      <c r="C326" s="1">
        <v>46098.5</v>
      </c>
      <c r="D326" t="s">
        <v>15</v>
      </c>
      <c r="E326" t="s">
        <v>16</v>
      </c>
      <c r="F326" t="s">
        <v>42</v>
      </c>
      <c r="G326" t="s">
        <v>112</v>
      </c>
      <c r="H326" t="s">
        <v>113</v>
      </c>
      <c r="I326" t="s">
        <v>37</v>
      </c>
      <c r="J326" t="s">
        <v>1015</v>
      </c>
      <c r="K326" t="s">
        <v>74</v>
      </c>
      <c r="L326" s="1">
        <v>46098</v>
      </c>
      <c r="M326" t="s">
        <v>789</v>
      </c>
      <c r="N326">
        <f t="shared" si="10"/>
        <v>2026</v>
      </c>
      <c r="O326" t="str">
        <f t="shared" si="11"/>
        <v>Tuesday</v>
      </c>
    </row>
    <row r="327" spans="1:15" x14ac:dyDescent="0.3">
      <c r="A327" t="s">
        <v>1016</v>
      </c>
      <c r="B327" t="s">
        <v>1017</v>
      </c>
      <c r="C327" s="1">
        <v>46098.625</v>
      </c>
      <c r="D327" t="s">
        <v>15</v>
      </c>
      <c r="E327" t="s">
        <v>41</v>
      </c>
      <c r="F327" t="s">
        <v>17</v>
      </c>
      <c r="G327" t="s">
        <v>96</v>
      </c>
      <c r="H327" t="s">
        <v>97</v>
      </c>
      <c r="I327" t="s">
        <v>58</v>
      </c>
      <c r="J327" t="s">
        <v>1018</v>
      </c>
      <c r="K327" t="s">
        <v>31</v>
      </c>
      <c r="L327" s="1">
        <v>46098</v>
      </c>
      <c r="M327" t="s">
        <v>789</v>
      </c>
      <c r="N327">
        <f t="shared" si="10"/>
        <v>2026</v>
      </c>
      <c r="O327" t="str">
        <f t="shared" si="11"/>
        <v>Tuesday</v>
      </c>
    </row>
    <row r="328" spans="1:15" x14ac:dyDescent="0.3">
      <c r="A328" t="s">
        <v>1019</v>
      </c>
      <c r="B328" t="s">
        <v>1020</v>
      </c>
      <c r="C328" s="1">
        <v>46098.625</v>
      </c>
      <c r="D328" t="s">
        <v>15</v>
      </c>
      <c r="E328" t="s">
        <v>16</v>
      </c>
      <c r="F328" t="s">
        <v>50</v>
      </c>
      <c r="G328" t="s">
        <v>18</v>
      </c>
      <c r="H328" t="s">
        <v>19</v>
      </c>
      <c r="I328" t="s">
        <v>20</v>
      </c>
      <c r="J328" t="s">
        <v>1021</v>
      </c>
      <c r="K328" t="s">
        <v>60</v>
      </c>
      <c r="L328" s="1">
        <v>46098</v>
      </c>
      <c r="M328" t="s">
        <v>789</v>
      </c>
      <c r="N328">
        <f t="shared" si="10"/>
        <v>2026</v>
      </c>
      <c r="O328" t="str">
        <f t="shared" si="11"/>
        <v>Tuesday</v>
      </c>
    </row>
    <row r="329" spans="1:15" x14ac:dyDescent="0.3">
      <c r="A329" t="s">
        <v>1022</v>
      </c>
      <c r="B329" t="s">
        <v>739</v>
      </c>
      <c r="C329" s="1">
        <v>46098.708333333343</v>
      </c>
      <c r="D329" t="s">
        <v>15</v>
      </c>
      <c r="E329" t="s">
        <v>34</v>
      </c>
      <c r="F329" t="s">
        <v>17</v>
      </c>
      <c r="G329" t="s">
        <v>160</v>
      </c>
      <c r="H329" t="s">
        <v>161</v>
      </c>
      <c r="I329" t="s">
        <v>82</v>
      </c>
      <c r="J329" t="s">
        <v>1023</v>
      </c>
      <c r="K329" t="s">
        <v>31</v>
      </c>
      <c r="L329" s="1">
        <v>46098</v>
      </c>
      <c r="M329" t="s">
        <v>789</v>
      </c>
      <c r="N329">
        <f t="shared" si="10"/>
        <v>2026</v>
      </c>
      <c r="O329" t="str">
        <f t="shared" si="11"/>
        <v>Tuesday</v>
      </c>
    </row>
    <row r="330" spans="1:15" x14ac:dyDescent="0.3">
      <c r="A330" t="s">
        <v>1024</v>
      </c>
      <c r="B330" t="s">
        <v>1025</v>
      </c>
      <c r="C330" s="1">
        <v>46098.75</v>
      </c>
      <c r="D330" t="s">
        <v>15</v>
      </c>
      <c r="E330" t="s">
        <v>16</v>
      </c>
      <c r="F330" t="s">
        <v>17</v>
      </c>
      <c r="G330" t="s">
        <v>191</v>
      </c>
      <c r="H330" t="s">
        <v>192</v>
      </c>
      <c r="I330" t="s">
        <v>45</v>
      </c>
      <c r="J330" t="s">
        <v>1026</v>
      </c>
      <c r="K330" t="s">
        <v>31</v>
      </c>
      <c r="L330" s="1">
        <v>46098</v>
      </c>
      <c r="M330" t="s">
        <v>789</v>
      </c>
      <c r="N330">
        <f t="shared" si="10"/>
        <v>2026</v>
      </c>
      <c r="O330" t="str">
        <f t="shared" si="11"/>
        <v>Tuesday</v>
      </c>
    </row>
    <row r="331" spans="1:15" x14ac:dyDescent="0.3">
      <c r="A331" t="s">
        <v>1027</v>
      </c>
      <c r="B331" t="s">
        <v>1028</v>
      </c>
      <c r="C331" s="1">
        <v>46098.833333333343</v>
      </c>
      <c r="D331" t="s">
        <v>15</v>
      </c>
      <c r="E331" t="s">
        <v>41</v>
      </c>
      <c r="F331" t="s">
        <v>17</v>
      </c>
      <c r="G331" t="s">
        <v>18</v>
      </c>
      <c r="H331" t="s">
        <v>19</v>
      </c>
      <c r="I331" t="s">
        <v>20</v>
      </c>
      <c r="J331" t="s">
        <v>1029</v>
      </c>
      <c r="K331" t="s">
        <v>74</v>
      </c>
      <c r="L331" s="1">
        <v>46098</v>
      </c>
      <c r="M331" t="s">
        <v>789</v>
      </c>
      <c r="N331">
        <f t="shared" si="10"/>
        <v>2026</v>
      </c>
      <c r="O331" t="str">
        <f t="shared" si="11"/>
        <v>Tuesday</v>
      </c>
    </row>
    <row r="332" spans="1:15" x14ac:dyDescent="0.3">
      <c r="A332" t="s">
        <v>1030</v>
      </c>
      <c r="B332" t="s">
        <v>1031</v>
      </c>
      <c r="C332" s="1">
        <v>46099.833333333343</v>
      </c>
      <c r="D332" t="s">
        <v>15</v>
      </c>
      <c r="E332" t="s">
        <v>16</v>
      </c>
      <c r="F332" t="s">
        <v>17</v>
      </c>
      <c r="G332" t="s">
        <v>191</v>
      </c>
      <c r="H332" t="s">
        <v>192</v>
      </c>
      <c r="I332" t="s">
        <v>45</v>
      </c>
      <c r="J332" t="s">
        <v>1032</v>
      </c>
      <c r="K332" t="s">
        <v>31</v>
      </c>
      <c r="L332" s="1">
        <v>46099</v>
      </c>
      <c r="M332" t="s">
        <v>789</v>
      </c>
      <c r="N332">
        <f t="shared" si="10"/>
        <v>2026</v>
      </c>
      <c r="O332" t="str">
        <f t="shared" si="11"/>
        <v>Wednesday</v>
      </c>
    </row>
    <row r="333" spans="1:15" x14ac:dyDescent="0.3">
      <c r="A333" t="s">
        <v>1033</v>
      </c>
      <c r="B333" t="s">
        <v>1034</v>
      </c>
      <c r="C333" s="1">
        <v>46099.875</v>
      </c>
      <c r="D333" t="s">
        <v>15</v>
      </c>
      <c r="E333" t="s">
        <v>63</v>
      </c>
      <c r="F333" t="s">
        <v>17</v>
      </c>
      <c r="G333" t="s">
        <v>126</v>
      </c>
      <c r="H333" t="s">
        <v>127</v>
      </c>
      <c r="I333" t="s">
        <v>45</v>
      </c>
      <c r="J333" t="s">
        <v>1035</v>
      </c>
      <c r="K333" t="s">
        <v>60</v>
      </c>
      <c r="L333" s="1">
        <v>46099</v>
      </c>
      <c r="M333" t="s">
        <v>789</v>
      </c>
      <c r="N333">
        <f t="shared" si="10"/>
        <v>2026</v>
      </c>
      <c r="O333" t="str">
        <f t="shared" si="11"/>
        <v>Wednesday</v>
      </c>
    </row>
    <row r="334" spans="1:15" x14ac:dyDescent="0.3">
      <c r="A334" t="s">
        <v>1036</v>
      </c>
      <c r="B334" t="s">
        <v>791</v>
      </c>
      <c r="C334" s="1">
        <v>46100.375</v>
      </c>
      <c r="D334" t="s">
        <v>15</v>
      </c>
      <c r="E334" t="s">
        <v>34</v>
      </c>
      <c r="F334" t="s">
        <v>17</v>
      </c>
      <c r="G334" t="s">
        <v>106</v>
      </c>
      <c r="H334" t="s">
        <v>107</v>
      </c>
      <c r="I334" t="s">
        <v>108</v>
      </c>
      <c r="J334" t="s">
        <v>1037</v>
      </c>
      <c r="K334" t="s">
        <v>47</v>
      </c>
      <c r="L334" s="1">
        <v>46100</v>
      </c>
      <c r="M334" t="s">
        <v>789</v>
      </c>
      <c r="N334">
        <f t="shared" si="10"/>
        <v>2026</v>
      </c>
      <c r="O334" t="str">
        <f t="shared" si="11"/>
        <v>Thursday</v>
      </c>
    </row>
    <row r="335" spans="1:15" x14ac:dyDescent="0.3">
      <c r="A335" t="s">
        <v>1038</v>
      </c>
      <c r="B335" t="s">
        <v>1039</v>
      </c>
      <c r="C335" s="1">
        <v>46100.5</v>
      </c>
      <c r="D335" t="s">
        <v>15</v>
      </c>
      <c r="E335" t="s">
        <v>16</v>
      </c>
      <c r="F335" t="s">
        <v>17</v>
      </c>
      <c r="G335" t="s">
        <v>43</v>
      </c>
      <c r="H335" t="s">
        <v>44</v>
      </c>
      <c r="I335" t="s">
        <v>45</v>
      </c>
      <c r="J335" t="s">
        <v>1040</v>
      </c>
      <c r="K335" t="s">
        <v>60</v>
      </c>
      <c r="L335" s="1">
        <v>46100</v>
      </c>
      <c r="M335" t="s">
        <v>789</v>
      </c>
      <c r="N335">
        <f t="shared" si="10"/>
        <v>2026</v>
      </c>
      <c r="O335" t="str">
        <f t="shared" si="11"/>
        <v>Thursday</v>
      </c>
    </row>
    <row r="336" spans="1:15" x14ac:dyDescent="0.3">
      <c r="A336" t="s">
        <v>1041</v>
      </c>
      <c r="B336" t="s">
        <v>1042</v>
      </c>
      <c r="C336" s="1">
        <v>46100.833333333343</v>
      </c>
      <c r="D336" t="s">
        <v>15</v>
      </c>
      <c r="E336" t="s">
        <v>16</v>
      </c>
      <c r="F336" t="s">
        <v>50</v>
      </c>
      <c r="G336" t="s">
        <v>106</v>
      </c>
      <c r="H336" t="s">
        <v>107</v>
      </c>
      <c r="I336" t="s">
        <v>108</v>
      </c>
      <c r="J336" t="s">
        <v>1043</v>
      </c>
      <c r="K336" t="s">
        <v>74</v>
      </c>
      <c r="L336" s="1">
        <v>46100</v>
      </c>
      <c r="M336" t="s">
        <v>789</v>
      </c>
      <c r="N336">
        <f t="shared" si="10"/>
        <v>2026</v>
      </c>
      <c r="O336" t="str">
        <f t="shared" si="11"/>
        <v>Thursday</v>
      </c>
    </row>
    <row r="337" spans="1:15" x14ac:dyDescent="0.3">
      <c r="A337" t="s">
        <v>1044</v>
      </c>
      <c r="B337" t="s">
        <v>583</v>
      </c>
      <c r="C337" s="1">
        <v>46100.875</v>
      </c>
      <c r="D337" t="s">
        <v>15</v>
      </c>
      <c r="E337" t="s">
        <v>16</v>
      </c>
      <c r="F337" t="s">
        <v>17</v>
      </c>
      <c r="G337" t="s">
        <v>86</v>
      </c>
      <c r="H337" t="s">
        <v>87</v>
      </c>
      <c r="I337" t="s">
        <v>82</v>
      </c>
      <c r="J337" t="s">
        <v>1045</v>
      </c>
      <c r="K337" t="s">
        <v>74</v>
      </c>
      <c r="L337" s="1">
        <v>46100</v>
      </c>
      <c r="M337" t="s">
        <v>789</v>
      </c>
      <c r="N337">
        <f t="shared" si="10"/>
        <v>2026</v>
      </c>
      <c r="O337" t="str">
        <f t="shared" si="11"/>
        <v>Thursday</v>
      </c>
    </row>
    <row r="338" spans="1:15" x14ac:dyDescent="0.3">
      <c r="A338" t="s">
        <v>1046</v>
      </c>
      <c r="B338" t="s">
        <v>1047</v>
      </c>
      <c r="C338" s="1">
        <v>46101.583333333343</v>
      </c>
      <c r="D338" t="s">
        <v>15</v>
      </c>
      <c r="E338" t="s">
        <v>16</v>
      </c>
      <c r="F338" t="s">
        <v>17</v>
      </c>
      <c r="G338" t="s">
        <v>80</v>
      </c>
      <c r="H338" t="s">
        <v>81</v>
      </c>
      <c r="I338" t="s">
        <v>82</v>
      </c>
      <c r="J338" t="s">
        <v>1048</v>
      </c>
      <c r="K338" t="s">
        <v>47</v>
      </c>
      <c r="L338" s="1">
        <v>46101</v>
      </c>
      <c r="M338" t="s">
        <v>789</v>
      </c>
      <c r="N338">
        <f t="shared" si="10"/>
        <v>2026</v>
      </c>
      <c r="O338" t="str">
        <f t="shared" si="11"/>
        <v>Friday</v>
      </c>
    </row>
    <row r="339" spans="1:15" x14ac:dyDescent="0.3">
      <c r="A339" t="s">
        <v>1049</v>
      </c>
      <c r="B339" t="s">
        <v>1050</v>
      </c>
      <c r="C339" s="1">
        <v>46102.458333333343</v>
      </c>
      <c r="D339" t="s">
        <v>15</v>
      </c>
      <c r="E339" t="s">
        <v>63</v>
      </c>
      <c r="F339" t="s">
        <v>17</v>
      </c>
      <c r="G339" t="s">
        <v>96</v>
      </c>
      <c r="H339" t="s">
        <v>97</v>
      </c>
      <c r="I339" t="s">
        <v>58</v>
      </c>
      <c r="J339" t="s">
        <v>1051</v>
      </c>
      <c r="K339" t="s">
        <v>74</v>
      </c>
      <c r="L339" s="1">
        <v>46102</v>
      </c>
      <c r="M339" t="s">
        <v>789</v>
      </c>
      <c r="N339">
        <f t="shared" si="10"/>
        <v>2026</v>
      </c>
      <c r="O339" t="str">
        <f t="shared" si="11"/>
        <v>Saturday</v>
      </c>
    </row>
    <row r="340" spans="1:15" x14ac:dyDescent="0.3">
      <c r="A340" t="s">
        <v>1052</v>
      </c>
      <c r="B340" t="s">
        <v>1053</v>
      </c>
      <c r="C340" s="1">
        <v>46102.583333333343</v>
      </c>
      <c r="D340" t="s">
        <v>15</v>
      </c>
      <c r="E340" t="s">
        <v>16</v>
      </c>
      <c r="F340" t="s">
        <v>17</v>
      </c>
      <c r="G340" t="s">
        <v>86</v>
      </c>
      <c r="H340" t="s">
        <v>87</v>
      </c>
      <c r="I340" t="s">
        <v>82</v>
      </c>
      <c r="J340" t="s">
        <v>1054</v>
      </c>
      <c r="K340" t="s">
        <v>22</v>
      </c>
      <c r="L340" s="1">
        <v>46102</v>
      </c>
      <c r="M340" t="s">
        <v>789</v>
      </c>
      <c r="N340">
        <f t="shared" si="10"/>
        <v>2026</v>
      </c>
      <c r="O340" t="str">
        <f t="shared" si="11"/>
        <v>Saturday</v>
      </c>
    </row>
    <row r="341" spans="1:15" x14ac:dyDescent="0.3">
      <c r="A341" t="s">
        <v>1055</v>
      </c>
      <c r="B341" t="s">
        <v>1056</v>
      </c>
      <c r="C341" s="1">
        <v>46102.791666666657</v>
      </c>
      <c r="D341" t="s">
        <v>15</v>
      </c>
      <c r="E341" t="s">
        <v>41</v>
      </c>
      <c r="F341" t="s">
        <v>17</v>
      </c>
      <c r="G341" t="s">
        <v>112</v>
      </c>
      <c r="H341" t="s">
        <v>113</v>
      </c>
      <c r="I341" t="s">
        <v>37</v>
      </c>
      <c r="J341" t="s">
        <v>1057</v>
      </c>
      <c r="K341" t="s">
        <v>22</v>
      </c>
      <c r="L341" s="1">
        <v>46102</v>
      </c>
      <c r="M341" t="s">
        <v>789</v>
      </c>
      <c r="N341">
        <f t="shared" si="10"/>
        <v>2026</v>
      </c>
      <c r="O341" t="str">
        <f t="shared" si="11"/>
        <v>Saturday</v>
      </c>
    </row>
    <row r="342" spans="1:15" x14ac:dyDescent="0.3">
      <c r="A342" t="s">
        <v>1058</v>
      </c>
      <c r="B342" t="s">
        <v>1059</v>
      </c>
      <c r="C342" s="1">
        <v>46103.375</v>
      </c>
      <c r="D342" t="s">
        <v>15</v>
      </c>
      <c r="E342" t="s">
        <v>34</v>
      </c>
      <c r="F342" t="s">
        <v>17</v>
      </c>
      <c r="G342" t="s">
        <v>160</v>
      </c>
      <c r="H342" t="s">
        <v>161</v>
      </c>
      <c r="I342" t="s">
        <v>82</v>
      </c>
      <c r="J342" t="s">
        <v>1060</v>
      </c>
      <c r="K342" t="s">
        <v>47</v>
      </c>
      <c r="L342" s="1">
        <v>46103</v>
      </c>
      <c r="M342" t="s">
        <v>789</v>
      </c>
      <c r="N342">
        <f t="shared" si="10"/>
        <v>2026</v>
      </c>
      <c r="O342" t="str">
        <f t="shared" si="11"/>
        <v>Sunday</v>
      </c>
    </row>
    <row r="343" spans="1:15" x14ac:dyDescent="0.3">
      <c r="A343" t="s">
        <v>1061</v>
      </c>
      <c r="B343" t="s">
        <v>1062</v>
      </c>
      <c r="C343" s="1">
        <v>46103.458333333343</v>
      </c>
      <c r="D343" t="s">
        <v>15</v>
      </c>
      <c r="E343" t="s">
        <v>16</v>
      </c>
      <c r="F343" t="s">
        <v>50</v>
      </c>
      <c r="G343" t="s">
        <v>27</v>
      </c>
      <c r="H343" t="s">
        <v>28</v>
      </c>
      <c r="I343" t="s">
        <v>29</v>
      </c>
      <c r="J343" t="s">
        <v>1063</v>
      </c>
      <c r="K343" t="s">
        <v>74</v>
      </c>
      <c r="L343" s="1">
        <v>46103</v>
      </c>
      <c r="M343" t="s">
        <v>789</v>
      </c>
      <c r="N343">
        <f t="shared" si="10"/>
        <v>2026</v>
      </c>
      <c r="O343" t="str">
        <f t="shared" si="11"/>
        <v>Sunday</v>
      </c>
    </row>
    <row r="344" spans="1:15" x14ac:dyDescent="0.3">
      <c r="A344" t="s">
        <v>1064</v>
      </c>
      <c r="B344" t="s">
        <v>1065</v>
      </c>
      <c r="C344" s="1">
        <v>46103.708333333343</v>
      </c>
      <c r="D344" t="s">
        <v>15</v>
      </c>
      <c r="E344" t="s">
        <v>16</v>
      </c>
      <c r="F344" t="s">
        <v>17</v>
      </c>
      <c r="G344" t="s">
        <v>80</v>
      </c>
      <c r="H344" t="s">
        <v>81</v>
      </c>
      <c r="I344" t="s">
        <v>82</v>
      </c>
      <c r="J344" t="s">
        <v>1066</v>
      </c>
      <c r="K344" t="s">
        <v>22</v>
      </c>
      <c r="L344" s="1">
        <v>46103</v>
      </c>
      <c r="M344" t="s">
        <v>789</v>
      </c>
      <c r="N344">
        <f t="shared" si="10"/>
        <v>2026</v>
      </c>
      <c r="O344" t="str">
        <f t="shared" si="11"/>
        <v>Sunday</v>
      </c>
    </row>
    <row r="345" spans="1:15" x14ac:dyDescent="0.3">
      <c r="A345" t="s">
        <v>1067</v>
      </c>
      <c r="B345" t="s">
        <v>1068</v>
      </c>
      <c r="C345" s="1">
        <v>46103.791666666657</v>
      </c>
      <c r="D345" t="s">
        <v>15</v>
      </c>
      <c r="E345" t="s">
        <v>16</v>
      </c>
      <c r="F345" t="s">
        <v>17</v>
      </c>
      <c r="G345" t="s">
        <v>191</v>
      </c>
      <c r="H345" t="s">
        <v>192</v>
      </c>
      <c r="I345" t="s">
        <v>45</v>
      </c>
      <c r="J345" t="s">
        <v>1069</v>
      </c>
      <c r="K345" t="s">
        <v>60</v>
      </c>
      <c r="L345" s="1">
        <v>46103</v>
      </c>
      <c r="M345" t="s">
        <v>789</v>
      </c>
      <c r="N345">
        <f t="shared" si="10"/>
        <v>2026</v>
      </c>
      <c r="O345" t="str">
        <f t="shared" si="11"/>
        <v>Sunday</v>
      </c>
    </row>
    <row r="346" spans="1:15" x14ac:dyDescent="0.3">
      <c r="A346" t="s">
        <v>1070</v>
      </c>
      <c r="B346" t="s">
        <v>1071</v>
      </c>
      <c r="C346" s="1">
        <v>46103.833333333343</v>
      </c>
      <c r="D346" t="s">
        <v>15</v>
      </c>
      <c r="E346" t="s">
        <v>34</v>
      </c>
      <c r="F346" t="s">
        <v>17</v>
      </c>
      <c r="G346" t="s">
        <v>106</v>
      </c>
      <c r="H346" t="s">
        <v>107</v>
      </c>
      <c r="I346" t="s">
        <v>108</v>
      </c>
      <c r="J346" t="s">
        <v>1072</v>
      </c>
      <c r="K346" t="s">
        <v>74</v>
      </c>
      <c r="L346" s="1">
        <v>46103</v>
      </c>
      <c r="M346" t="s">
        <v>789</v>
      </c>
      <c r="N346">
        <f t="shared" si="10"/>
        <v>2026</v>
      </c>
      <c r="O346" t="str">
        <f t="shared" si="11"/>
        <v>Sunday</v>
      </c>
    </row>
    <row r="347" spans="1:15" x14ac:dyDescent="0.3">
      <c r="A347" t="s">
        <v>1073</v>
      </c>
      <c r="B347" t="s">
        <v>1074</v>
      </c>
      <c r="C347" s="1">
        <v>46103.875</v>
      </c>
      <c r="D347" t="s">
        <v>15</v>
      </c>
      <c r="E347" t="s">
        <v>41</v>
      </c>
      <c r="F347" t="s">
        <v>17</v>
      </c>
      <c r="G347" t="s">
        <v>96</v>
      </c>
      <c r="H347" t="s">
        <v>97</v>
      </c>
      <c r="I347" t="s">
        <v>58</v>
      </c>
      <c r="J347" t="s">
        <v>1075</v>
      </c>
      <c r="K347" t="s">
        <v>60</v>
      </c>
      <c r="L347" s="1">
        <v>46103</v>
      </c>
      <c r="M347" t="s">
        <v>789</v>
      </c>
      <c r="N347">
        <f t="shared" si="10"/>
        <v>2026</v>
      </c>
      <c r="O347" t="str">
        <f t="shared" si="11"/>
        <v>Sunday</v>
      </c>
    </row>
    <row r="348" spans="1:15" x14ac:dyDescent="0.3">
      <c r="A348" t="s">
        <v>1076</v>
      </c>
      <c r="B348" t="s">
        <v>975</v>
      </c>
      <c r="C348" s="1">
        <v>46104.375</v>
      </c>
      <c r="D348" t="s">
        <v>15</v>
      </c>
      <c r="E348" t="s">
        <v>34</v>
      </c>
      <c r="F348" t="s">
        <v>17</v>
      </c>
      <c r="G348" t="s">
        <v>96</v>
      </c>
      <c r="H348" t="s">
        <v>97</v>
      </c>
      <c r="I348" t="s">
        <v>58</v>
      </c>
      <c r="J348" t="s">
        <v>1077</v>
      </c>
      <c r="K348" t="s">
        <v>60</v>
      </c>
      <c r="L348" s="1">
        <v>46104</v>
      </c>
      <c r="M348" t="s">
        <v>789</v>
      </c>
      <c r="N348">
        <f t="shared" si="10"/>
        <v>2026</v>
      </c>
      <c r="O348" t="str">
        <f t="shared" si="11"/>
        <v>Monday</v>
      </c>
    </row>
    <row r="349" spans="1:15" x14ac:dyDescent="0.3">
      <c r="A349" t="s">
        <v>1078</v>
      </c>
      <c r="B349" t="s">
        <v>1079</v>
      </c>
      <c r="C349" s="1">
        <v>46104.5</v>
      </c>
      <c r="D349" t="s">
        <v>15</v>
      </c>
      <c r="E349" t="s">
        <v>63</v>
      </c>
      <c r="F349" t="s">
        <v>17</v>
      </c>
      <c r="G349" t="s">
        <v>112</v>
      </c>
      <c r="H349" t="s">
        <v>113</v>
      </c>
      <c r="I349" t="s">
        <v>37</v>
      </c>
      <c r="J349" t="s">
        <v>1080</v>
      </c>
      <c r="K349" t="s">
        <v>22</v>
      </c>
      <c r="L349" s="1">
        <v>46104</v>
      </c>
      <c r="M349" t="s">
        <v>789</v>
      </c>
      <c r="N349">
        <f t="shared" si="10"/>
        <v>2026</v>
      </c>
      <c r="O349" t="str">
        <f t="shared" si="11"/>
        <v>Monday</v>
      </c>
    </row>
    <row r="350" spans="1:15" x14ac:dyDescent="0.3">
      <c r="A350" t="s">
        <v>1081</v>
      </c>
      <c r="B350" t="s">
        <v>1082</v>
      </c>
      <c r="C350" s="1">
        <v>46104.625</v>
      </c>
      <c r="D350" t="s">
        <v>15</v>
      </c>
      <c r="E350" t="s">
        <v>16</v>
      </c>
      <c r="F350" t="s">
        <v>50</v>
      </c>
      <c r="G350" t="s">
        <v>112</v>
      </c>
      <c r="H350" t="s">
        <v>113</v>
      </c>
      <c r="I350" t="s">
        <v>37</v>
      </c>
      <c r="J350" t="s">
        <v>1083</v>
      </c>
      <c r="K350" t="s">
        <v>47</v>
      </c>
      <c r="L350" s="1">
        <v>46104</v>
      </c>
      <c r="M350" t="s">
        <v>789</v>
      </c>
      <c r="N350">
        <f t="shared" si="10"/>
        <v>2026</v>
      </c>
      <c r="O350" t="str">
        <f t="shared" si="11"/>
        <v>Monday</v>
      </c>
    </row>
    <row r="351" spans="1:15" x14ac:dyDescent="0.3">
      <c r="A351" t="s">
        <v>1084</v>
      </c>
      <c r="B351" t="s">
        <v>1085</v>
      </c>
      <c r="C351" s="1">
        <v>46104.875</v>
      </c>
      <c r="D351" t="s">
        <v>15</v>
      </c>
      <c r="E351" t="s">
        <v>41</v>
      </c>
      <c r="F351" t="s">
        <v>50</v>
      </c>
      <c r="G351" t="s">
        <v>27</v>
      </c>
      <c r="H351" t="s">
        <v>28</v>
      </c>
      <c r="I351" t="s">
        <v>29</v>
      </c>
      <c r="J351" t="s">
        <v>1086</v>
      </c>
      <c r="K351" t="s">
        <v>60</v>
      </c>
      <c r="L351" s="1">
        <v>46104</v>
      </c>
      <c r="M351" t="s">
        <v>789</v>
      </c>
      <c r="N351">
        <f t="shared" si="10"/>
        <v>2026</v>
      </c>
      <c r="O351" t="str">
        <f t="shared" si="11"/>
        <v>Monday</v>
      </c>
    </row>
    <row r="352" spans="1:15" x14ac:dyDescent="0.3">
      <c r="A352" t="s">
        <v>1087</v>
      </c>
      <c r="B352" t="s">
        <v>1088</v>
      </c>
      <c r="C352" s="1">
        <v>46105.333333333343</v>
      </c>
      <c r="D352" t="s">
        <v>15</v>
      </c>
      <c r="E352" t="s">
        <v>16</v>
      </c>
      <c r="F352" t="s">
        <v>17</v>
      </c>
      <c r="G352" t="s">
        <v>165</v>
      </c>
      <c r="H352" t="s">
        <v>166</v>
      </c>
      <c r="I352" t="s">
        <v>29</v>
      </c>
      <c r="J352" t="s">
        <v>1089</v>
      </c>
      <c r="K352" t="s">
        <v>22</v>
      </c>
      <c r="L352" s="1">
        <v>46105</v>
      </c>
      <c r="M352" t="s">
        <v>789</v>
      </c>
      <c r="N352">
        <f t="shared" si="10"/>
        <v>2026</v>
      </c>
      <c r="O352" t="str">
        <f t="shared" si="11"/>
        <v>Tuesday</v>
      </c>
    </row>
    <row r="353" spans="1:15" x14ac:dyDescent="0.3">
      <c r="A353" t="s">
        <v>1090</v>
      </c>
      <c r="B353" t="s">
        <v>995</v>
      </c>
      <c r="C353" s="1">
        <v>46105.5</v>
      </c>
      <c r="D353" t="s">
        <v>15</v>
      </c>
      <c r="E353" t="s">
        <v>26</v>
      </c>
      <c r="F353" t="s">
        <v>50</v>
      </c>
      <c r="G353" t="s">
        <v>43</v>
      </c>
      <c r="H353" t="s">
        <v>44</v>
      </c>
      <c r="I353" t="s">
        <v>45</v>
      </c>
      <c r="J353" t="s">
        <v>1091</v>
      </c>
      <c r="K353" t="s">
        <v>22</v>
      </c>
      <c r="L353" s="1">
        <v>46105</v>
      </c>
      <c r="M353" t="s">
        <v>789</v>
      </c>
      <c r="N353">
        <f t="shared" si="10"/>
        <v>2026</v>
      </c>
      <c r="O353" t="str">
        <f t="shared" si="11"/>
        <v>Tuesday</v>
      </c>
    </row>
    <row r="354" spans="1:15" x14ac:dyDescent="0.3">
      <c r="A354" t="s">
        <v>1092</v>
      </c>
      <c r="B354" t="s">
        <v>1093</v>
      </c>
      <c r="C354" s="1">
        <v>46105.541666666657</v>
      </c>
      <c r="D354" t="s">
        <v>15</v>
      </c>
      <c r="E354" t="s">
        <v>34</v>
      </c>
      <c r="F354" t="s">
        <v>42</v>
      </c>
      <c r="G354" t="s">
        <v>27</v>
      </c>
      <c r="H354" t="s">
        <v>28</v>
      </c>
      <c r="I354" t="s">
        <v>29</v>
      </c>
      <c r="J354" t="s">
        <v>1094</v>
      </c>
      <c r="K354" t="s">
        <v>31</v>
      </c>
      <c r="L354" s="1">
        <v>46105</v>
      </c>
      <c r="M354" t="s">
        <v>789</v>
      </c>
      <c r="N354">
        <f t="shared" si="10"/>
        <v>2026</v>
      </c>
      <c r="O354" t="str">
        <f t="shared" si="11"/>
        <v>Tuesday</v>
      </c>
    </row>
    <row r="355" spans="1:15" x14ac:dyDescent="0.3">
      <c r="A355" t="s">
        <v>1095</v>
      </c>
      <c r="B355" t="s">
        <v>1096</v>
      </c>
      <c r="C355" s="1">
        <v>46105.75</v>
      </c>
      <c r="D355" t="s">
        <v>15</v>
      </c>
      <c r="E355" t="s">
        <v>16</v>
      </c>
      <c r="F355" t="s">
        <v>50</v>
      </c>
      <c r="G355" t="s">
        <v>160</v>
      </c>
      <c r="H355" t="s">
        <v>161</v>
      </c>
      <c r="I355" t="s">
        <v>82</v>
      </c>
      <c r="J355" t="s">
        <v>1097</v>
      </c>
      <c r="K355" t="s">
        <v>22</v>
      </c>
      <c r="L355" s="1">
        <v>46105</v>
      </c>
      <c r="M355" t="s">
        <v>789</v>
      </c>
      <c r="N355">
        <f t="shared" si="10"/>
        <v>2026</v>
      </c>
      <c r="O355" t="str">
        <f t="shared" si="11"/>
        <v>Tuesday</v>
      </c>
    </row>
    <row r="356" spans="1:15" x14ac:dyDescent="0.3">
      <c r="A356" t="s">
        <v>1098</v>
      </c>
      <c r="B356" t="s">
        <v>243</v>
      </c>
      <c r="C356" s="1">
        <v>46106.875</v>
      </c>
      <c r="D356" t="s">
        <v>15</v>
      </c>
      <c r="E356" t="s">
        <v>16</v>
      </c>
      <c r="F356" t="s">
        <v>50</v>
      </c>
      <c r="G356" t="s">
        <v>35</v>
      </c>
      <c r="H356" t="s">
        <v>36</v>
      </c>
      <c r="I356" t="s">
        <v>37</v>
      </c>
      <c r="J356" t="s">
        <v>1099</v>
      </c>
      <c r="K356" t="s">
        <v>22</v>
      </c>
      <c r="L356" s="1">
        <v>46106</v>
      </c>
      <c r="M356" t="s">
        <v>789</v>
      </c>
      <c r="N356">
        <f t="shared" si="10"/>
        <v>2026</v>
      </c>
      <c r="O356" t="str">
        <f t="shared" si="11"/>
        <v>Wednesday</v>
      </c>
    </row>
    <row r="357" spans="1:15" x14ac:dyDescent="0.3">
      <c r="A357" t="s">
        <v>1100</v>
      </c>
      <c r="B357" t="s">
        <v>1101</v>
      </c>
      <c r="C357" s="1">
        <v>46106.875</v>
      </c>
      <c r="D357" t="s">
        <v>15</v>
      </c>
      <c r="E357" t="s">
        <v>34</v>
      </c>
      <c r="F357" t="s">
        <v>17</v>
      </c>
      <c r="G357" t="s">
        <v>160</v>
      </c>
      <c r="H357" t="s">
        <v>161</v>
      </c>
      <c r="I357" t="s">
        <v>82</v>
      </c>
      <c r="J357" t="s">
        <v>1102</v>
      </c>
      <c r="K357" t="s">
        <v>31</v>
      </c>
      <c r="L357" s="1">
        <v>46106</v>
      </c>
      <c r="M357" t="s">
        <v>789</v>
      </c>
      <c r="N357">
        <f t="shared" si="10"/>
        <v>2026</v>
      </c>
      <c r="O357" t="str">
        <f t="shared" si="11"/>
        <v>Wednesday</v>
      </c>
    </row>
    <row r="358" spans="1:15" x14ac:dyDescent="0.3">
      <c r="A358" t="s">
        <v>1103</v>
      </c>
      <c r="B358" t="s">
        <v>1104</v>
      </c>
      <c r="C358" s="1">
        <v>46107.333333333343</v>
      </c>
      <c r="D358" t="s">
        <v>15</v>
      </c>
      <c r="E358" t="s">
        <v>63</v>
      </c>
      <c r="F358" t="s">
        <v>17</v>
      </c>
      <c r="G358" t="s">
        <v>165</v>
      </c>
      <c r="H358" t="s">
        <v>166</v>
      </c>
      <c r="I358" t="s">
        <v>29</v>
      </c>
      <c r="J358" t="s">
        <v>1105</v>
      </c>
      <c r="K358" t="s">
        <v>74</v>
      </c>
      <c r="L358" s="1">
        <v>46107</v>
      </c>
      <c r="M358" t="s">
        <v>789</v>
      </c>
      <c r="N358">
        <f t="shared" si="10"/>
        <v>2026</v>
      </c>
      <c r="O358" t="str">
        <f t="shared" si="11"/>
        <v>Thursday</v>
      </c>
    </row>
    <row r="359" spans="1:15" x14ac:dyDescent="0.3">
      <c r="A359" t="s">
        <v>1106</v>
      </c>
      <c r="B359" t="s">
        <v>1107</v>
      </c>
      <c r="C359" s="1">
        <v>46107.5</v>
      </c>
      <c r="D359" t="s">
        <v>15</v>
      </c>
      <c r="E359" t="s">
        <v>34</v>
      </c>
      <c r="F359" t="s">
        <v>17</v>
      </c>
      <c r="G359" t="s">
        <v>106</v>
      </c>
      <c r="H359" t="s">
        <v>107</v>
      </c>
      <c r="I359" t="s">
        <v>108</v>
      </c>
      <c r="J359" t="s">
        <v>1108</v>
      </c>
      <c r="K359" t="s">
        <v>47</v>
      </c>
      <c r="L359" s="1">
        <v>46107</v>
      </c>
      <c r="M359" t="s">
        <v>789</v>
      </c>
      <c r="N359">
        <f t="shared" si="10"/>
        <v>2026</v>
      </c>
      <c r="O359" t="str">
        <f t="shared" si="11"/>
        <v>Thursday</v>
      </c>
    </row>
    <row r="360" spans="1:15" x14ac:dyDescent="0.3">
      <c r="A360" t="s">
        <v>1109</v>
      </c>
      <c r="B360" t="s">
        <v>349</v>
      </c>
      <c r="C360" s="1">
        <v>46107.541666666657</v>
      </c>
      <c r="D360" t="s">
        <v>15</v>
      </c>
      <c r="E360" t="s">
        <v>34</v>
      </c>
      <c r="F360" t="s">
        <v>50</v>
      </c>
      <c r="G360" t="s">
        <v>18</v>
      </c>
      <c r="H360" t="s">
        <v>19</v>
      </c>
      <c r="I360" t="s">
        <v>20</v>
      </c>
      <c r="J360" t="s">
        <v>1110</v>
      </c>
      <c r="K360" t="s">
        <v>74</v>
      </c>
      <c r="L360" s="1">
        <v>46107</v>
      </c>
      <c r="M360" t="s">
        <v>789</v>
      </c>
      <c r="N360">
        <f t="shared" si="10"/>
        <v>2026</v>
      </c>
      <c r="O360" t="str">
        <f t="shared" si="11"/>
        <v>Thursday</v>
      </c>
    </row>
    <row r="361" spans="1:15" x14ac:dyDescent="0.3">
      <c r="A361" t="s">
        <v>1111</v>
      </c>
      <c r="B361" t="s">
        <v>1020</v>
      </c>
      <c r="C361" s="1">
        <v>46107.666666666657</v>
      </c>
      <c r="D361" t="s">
        <v>15</v>
      </c>
      <c r="E361" t="s">
        <v>63</v>
      </c>
      <c r="F361" t="s">
        <v>17</v>
      </c>
      <c r="G361" t="s">
        <v>51</v>
      </c>
      <c r="H361" t="s">
        <v>52</v>
      </c>
      <c r="I361" t="s">
        <v>20</v>
      </c>
      <c r="J361" t="s">
        <v>1112</v>
      </c>
      <c r="K361" t="s">
        <v>47</v>
      </c>
      <c r="L361" s="1">
        <v>46107</v>
      </c>
      <c r="M361" t="s">
        <v>789</v>
      </c>
      <c r="N361">
        <f t="shared" si="10"/>
        <v>2026</v>
      </c>
      <c r="O361" t="str">
        <f t="shared" si="11"/>
        <v>Thursday</v>
      </c>
    </row>
    <row r="362" spans="1:15" x14ac:dyDescent="0.3">
      <c r="A362" t="s">
        <v>1113</v>
      </c>
      <c r="B362" t="s">
        <v>1114</v>
      </c>
      <c r="C362" s="1">
        <v>46107.791666666657</v>
      </c>
      <c r="D362" t="s">
        <v>15</v>
      </c>
      <c r="E362" t="s">
        <v>16</v>
      </c>
      <c r="F362" t="s">
        <v>50</v>
      </c>
      <c r="G362" t="s">
        <v>91</v>
      </c>
      <c r="H362" t="s">
        <v>92</v>
      </c>
      <c r="I362" t="s">
        <v>37</v>
      </c>
      <c r="J362" t="s">
        <v>1115</v>
      </c>
      <c r="K362" t="s">
        <v>74</v>
      </c>
      <c r="L362" s="1">
        <v>46107</v>
      </c>
      <c r="M362" t="s">
        <v>789</v>
      </c>
      <c r="N362">
        <f t="shared" si="10"/>
        <v>2026</v>
      </c>
      <c r="O362" t="str">
        <f t="shared" si="11"/>
        <v>Thursday</v>
      </c>
    </row>
    <row r="363" spans="1:15" x14ac:dyDescent="0.3">
      <c r="A363" t="s">
        <v>1116</v>
      </c>
      <c r="B363" t="s">
        <v>1117</v>
      </c>
      <c r="C363" s="1">
        <v>46108.375</v>
      </c>
      <c r="D363" t="s">
        <v>15</v>
      </c>
      <c r="E363" t="s">
        <v>41</v>
      </c>
      <c r="F363" t="s">
        <v>17</v>
      </c>
      <c r="G363" t="s">
        <v>86</v>
      </c>
      <c r="H363" t="s">
        <v>87</v>
      </c>
      <c r="I363" t="s">
        <v>82</v>
      </c>
      <c r="J363" t="s">
        <v>1118</v>
      </c>
      <c r="K363" t="s">
        <v>60</v>
      </c>
      <c r="L363" s="1">
        <v>46108</v>
      </c>
      <c r="M363" t="s">
        <v>789</v>
      </c>
      <c r="N363">
        <f t="shared" si="10"/>
        <v>2026</v>
      </c>
      <c r="O363" t="str">
        <f t="shared" si="11"/>
        <v>Friday</v>
      </c>
    </row>
    <row r="364" spans="1:15" x14ac:dyDescent="0.3">
      <c r="A364" t="s">
        <v>1119</v>
      </c>
      <c r="B364" t="s">
        <v>1088</v>
      </c>
      <c r="C364" s="1">
        <v>46108.5</v>
      </c>
      <c r="D364" t="s">
        <v>15</v>
      </c>
      <c r="E364" t="s">
        <v>16</v>
      </c>
      <c r="F364" t="s">
        <v>17</v>
      </c>
      <c r="G364" t="s">
        <v>43</v>
      </c>
      <c r="H364" t="s">
        <v>44</v>
      </c>
      <c r="I364" t="s">
        <v>45</v>
      </c>
      <c r="J364" t="s">
        <v>1120</v>
      </c>
      <c r="K364" t="s">
        <v>47</v>
      </c>
      <c r="L364" s="1">
        <v>46108</v>
      </c>
      <c r="M364" t="s">
        <v>789</v>
      </c>
      <c r="N364">
        <f t="shared" si="10"/>
        <v>2026</v>
      </c>
      <c r="O364" t="str">
        <f t="shared" si="11"/>
        <v>Friday</v>
      </c>
    </row>
    <row r="365" spans="1:15" x14ac:dyDescent="0.3">
      <c r="A365" t="s">
        <v>1121</v>
      </c>
      <c r="B365" t="s">
        <v>1122</v>
      </c>
      <c r="C365" s="1">
        <v>46108.75</v>
      </c>
      <c r="D365" t="s">
        <v>15</v>
      </c>
      <c r="E365" t="s">
        <v>26</v>
      </c>
      <c r="F365" t="s">
        <v>17</v>
      </c>
      <c r="G365" t="s">
        <v>56</v>
      </c>
      <c r="H365" t="s">
        <v>57</v>
      </c>
      <c r="I365" t="s">
        <v>58</v>
      </c>
      <c r="J365" t="s">
        <v>1123</v>
      </c>
      <c r="K365" t="s">
        <v>22</v>
      </c>
      <c r="L365" s="1">
        <v>46108</v>
      </c>
      <c r="M365" t="s">
        <v>789</v>
      </c>
      <c r="N365">
        <f t="shared" si="10"/>
        <v>2026</v>
      </c>
      <c r="O365" t="str">
        <f t="shared" si="11"/>
        <v>Friday</v>
      </c>
    </row>
    <row r="366" spans="1:15" x14ac:dyDescent="0.3">
      <c r="A366" t="s">
        <v>1124</v>
      </c>
      <c r="B366" t="s">
        <v>1125</v>
      </c>
      <c r="C366" s="1">
        <v>46108.833333333343</v>
      </c>
      <c r="D366" t="s">
        <v>15</v>
      </c>
      <c r="E366" t="s">
        <v>63</v>
      </c>
      <c r="F366" t="s">
        <v>17</v>
      </c>
      <c r="G366" t="s">
        <v>43</v>
      </c>
      <c r="H366" t="s">
        <v>44</v>
      </c>
      <c r="I366" t="s">
        <v>45</v>
      </c>
      <c r="J366" t="s">
        <v>1126</v>
      </c>
      <c r="K366" t="s">
        <v>60</v>
      </c>
      <c r="L366" s="1">
        <v>46108</v>
      </c>
      <c r="M366" t="s">
        <v>789</v>
      </c>
      <c r="N366">
        <f t="shared" si="10"/>
        <v>2026</v>
      </c>
      <c r="O366" t="str">
        <f t="shared" si="11"/>
        <v>Friday</v>
      </c>
    </row>
    <row r="367" spans="1:15" x14ac:dyDescent="0.3">
      <c r="A367" t="s">
        <v>1127</v>
      </c>
      <c r="B367" t="s">
        <v>1128</v>
      </c>
      <c r="C367" s="1">
        <v>46109.333333333343</v>
      </c>
      <c r="D367" t="s">
        <v>15</v>
      </c>
      <c r="E367" t="s">
        <v>41</v>
      </c>
      <c r="F367" t="s">
        <v>17</v>
      </c>
      <c r="G367" t="s">
        <v>160</v>
      </c>
      <c r="H367" t="s">
        <v>161</v>
      </c>
      <c r="I367" t="s">
        <v>82</v>
      </c>
      <c r="J367" t="s">
        <v>1129</v>
      </c>
      <c r="K367" t="s">
        <v>47</v>
      </c>
      <c r="L367" s="1">
        <v>46109</v>
      </c>
      <c r="M367" t="s">
        <v>789</v>
      </c>
      <c r="N367">
        <f t="shared" si="10"/>
        <v>2026</v>
      </c>
      <c r="O367" t="str">
        <f t="shared" si="11"/>
        <v>Saturday</v>
      </c>
    </row>
    <row r="368" spans="1:15" x14ac:dyDescent="0.3">
      <c r="A368" t="s">
        <v>1130</v>
      </c>
      <c r="B368" t="s">
        <v>1131</v>
      </c>
      <c r="C368" s="1">
        <v>46109.333333333343</v>
      </c>
      <c r="D368" t="s">
        <v>15</v>
      </c>
      <c r="E368" t="s">
        <v>41</v>
      </c>
      <c r="F368" t="s">
        <v>17</v>
      </c>
      <c r="G368" t="s">
        <v>101</v>
      </c>
      <c r="H368" t="s">
        <v>102</v>
      </c>
      <c r="I368" t="s">
        <v>45</v>
      </c>
      <c r="J368" t="s">
        <v>1132</v>
      </c>
      <c r="K368" t="s">
        <v>74</v>
      </c>
      <c r="L368" s="1">
        <v>46109</v>
      </c>
      <c r="M368" t="s">
        <v>789</v>
      </c>
      <c r="N368">
        <f t="shared" si="10"/>
        <v>2026</v>
      </c>
      <c r="O368" t="str">
        <f t="shared" si="11"/>
        <v>Saturday</v>
      </c>
    </row>
    <row r="369" spans="1:15" x14ac:dyDescent="0.3">
      <c r="A369" t="s">
        <v>1133</v>
      </c>
      <c r="B369" t="s">
        <v>1134</v>
      </c>
      <c r="C369" s="1">
        <v>46109.708333333343</v>
      </c>
      <c r="D369" t="s">
        <v>15</v>
      </c>
      <c r="E369" t="s">
        <v>26</v>
      </c>
      <c r="F369" t="s">
        <v>50</v>
      </c>
      <c r="G369" t="s">
        <v>355</v>
      </c>
      <c r="H369" t="s">
        <v>356</v>
      </c>
      <c r="I369" t="s">
        <v>82</v>
      </c>
      <c r="J369" t="s">
        <v>1135</v>
      </c>
      <c r="K369" t="s">
        <v>60</v>
      </c>
      <c r="L369" s="1">
        <v>46109</v>
      </c>
      <c r="M369" t="s">
        <v>789</v>
      </c>
      <c r="N369">
        <f t="shared" si="10"/>
        <v>2026</v>
      </c>
      <c r="O369" t="str">
        <f t="shared" si="11"/>
        <v>Saturday</v>
      </c>
    </row>
    <row r="370" spans="1:15" x14ac:dyDescent="0.3">
      <c r="A370" t="s">
        <v>1136</v>
      </c>
      <c r="B370" t="s">
        <v>1137</v>
      </c>
      <c r="C370" s="1">
        <v>46109.75</v>
      </c>
      <c r="D370" t="s">
        <v>15</v>
      </c>
      <c r="E370" t="s">
        <v>41</v>
      </c>
      <c r="F370" t="s">
        <v>50</v>
      </c>
      <c r="G370" t="s">
        <v>355</v>
      </c>
      <c r="H370" t="s">
        <v>356</v>
      </c>
      <c r="I370" t="s">
        <v>82</v>
      </c>
      <c r="J370" t="s">
        <v>1138</v>
      </c>
      <c r="K370" t="s">
        <v>60</v>
      </c>
      <c r="L370" s="1">
        <v>46109</v>
      </c>
      <c r="M370" t="s">
        <v>789</v>
      </c>
      <c r="N370">
        <f t="shared" si="10"/>
        <v>2026</v>
      </c>
      <c r="O370" t="str">
        <f t="shared" si="11"/>
        <v>Saturday</v>
      </c>
    </row>
    <row r="371" spans="1:15" x14ac:dyDescent="0.3">
      <c r="A371" t="s">
        <v>1139</v>
      </c>
      <c r="B371" t="s">
        <v>1140</v>
      </c>
      <c r="C371" s="1">
        <v>46109.75</v>
      </c>
      <c r="D371" t="s">
        <v>15</v>
      </c>
      <c r="E371" t="s">
        <v>63</v>
      </c>
      <c r="F371" t="s">
        <v>50</v>
      </c>
      <c r="G371" t="s">
        <v>191</v>
      </c>
      <c r="H371" t="s">
        <v>192</v>
      </c>
      <c r="I371" t="s">
        <v>45</v>
      </c>
      <c r="J371" t="s">
        <v>1141</v>
      </c>
      <c r="K371" t="s">
        <v>22</v>
      </c>
      <c r="L371" s="1">
        <v>46109</v>
      </c>
      <c r="M371" t="s">
        <v>789</v>
      </c>
      <c r="N371">
        <f t="shared" si="10"/>
        <v>2026</v>
      </c>
      <c r="O371" t="str">
        <f t="shared" si="11"/>
        <v>Saturday</v>
      </c>
    </row>
    <row r="372" spans="1:15" x14ac:dyDescent="0.3">
      <c r="A372" t="s">
        <v>1142</v>
      </c>
      <c r="B372" t="s">
        <v>1143</v>
      </c>
      <c r="C372" s="1">
        <v>46110.333333333343</v>
      </c>
      <c r="D372" t="s">
        <v>15</v>
      </c>
      <c r="E372" t="s">
        <v>16</v>
      </c>
      <c r="F372" t="s">
        <v>17</v>
      </c>
      <c r="G372" t="s">
        <v>165</v>
      </c>
      <c r="H372" t="s">
        <v>166</v>
      </c>
      <c r="I372" t="s">
        <v>29</v>
      </c>
      <c r="J372" t="s">
        <v>1144</v>
      </c>
      <c r="K372" t="s">
        <v>31</v>
      </c>
      <c r="L372" s="1">
        <v>46110</v>
      </c>
      <c r="M372" t="s">
        <v>789</v>
      </c>
      <c r="N372">
        <f t="shared" si="10"/>
        <v>2026</v>
      </c>
      <c r="O372" t="str">
        <f t="shared" si="11"/>
        <v>Sunday</v>
      </c>
    </row>
    <row r="373" spans="1:15" x14ac:dyDescent="0.3">
      <c r="A373" t="s">
        <v>1145</v>
      </c>
      <c r="B373" t="s">
        <v>1146</v>
      </c>
      <c r="C373" s="1">
        <v>46110.791666666657</v>
      </c>
      <c r="D373" t="s">
        <v>15</v>
      </c>
      <c r="E373" t="s">
        <v>34</v>
      </c>
      <c r="F373" t="s">
        <v>17</v>
      </c>
      <c r="G373" t="s">
        <v>191</v>
      </c>
      <c r="H373" t="s">
        <v>192</v>
      </c>
      <c r="I373" t="s">
        <v>45</v>
      </c>
      <c r="J373" t="s">
        <v>1147</v>
      </c>
      <c r="K373" t="s">
        <v>74</v>
      </c>
      <c r="L373" s="1">
        <v>46110</v>
      </c>
      <c r="M373" t="s">
        <v>789</v>
      </c>
      <c r="N373">
        <f t="shared" si="10"/>
        <v>2026</v>
      </c>
      <c r="O373" t="str">
        <f t="shared" si="11"/>
        <v>Sunday</v>
      </c>
    </row>
    <row r="374" spans="1:15" x14ac:dyDescent="0.3">
      <c r="A374" t="s">
        <v>1148</v>
      </c>
      <c r="B374" t="s">
        <v>184</v>
      </c>
      <c r="C374" s="1">
        <v>46111.541666666657</v>
      </c>
      <c r="D374" t="s">
        <v>15</v>
      </c>
      <c r="E374" t="s">
        <v>16</v>
      </c>
      <c r="F374" t="s">
        <v>17</v>
      </c>
      <c r="G374" t="s">
        <v>91</v>
      </c>
      <c r="H374" t="s">
        <v>92</v>
      </c>
      <c r="I374" t="s">
        <v>37</v>
      </c>
      <c r="J374" t="s">
        <v>1149</v>
      </c>
      <c r="K374" t="s">
        <v>74</v>
      </c>
      <c r="L374" s="1">
        <v>46111</v>
      </c>
      <c r="M374" t="s">
        <v>789</v>
      </c>
      <c r="N374">
        <f t="shared" si="10"/>
        <v>2026</v>
      </c>
      <c r="O374" t="str">
        <f t="shared" si="11"/>
        <v>Monday</v>
      </c>
    </row>
    <row r="375" spans="1:15" x14ac:dyDescent="0.3">
      <c r="A375" t="s">
        <v>1150</v>
      </c>
      <c r="B375" t="s">
        <v>1151</v>
      </c>
      <c r="C375" s="1">
        <v>46111.666666666657</v>
      </c>
      <c r="D375" t="s">
        <v>15</v>
      </c>
      <c r="E375" t="s">
        <v>34</v>
      </c>
      <c r="F375" t="s">
        <v>50</v>
      </c>
      <c r="G375" t="s">
        <v>86</v>
      </c>
      <c r="H375" t="s">
        <v>87</v>
      </c>
      <c r="I375" t="s">
        <v>82</v>
      </c>
      <c r="J375" t="s">
        <v>1152</v>
      </c>
      <c r="K375" t="s">
        <v>60</v>
      </c>
      <c r="L375" s="1">
        <v>46111</v>
      </c>
      <c r="M375" t="s">
        <v>789</v>
      </c>
      <c r="N375">
        <f t="shared" si="10"/>
        <v>2026</v>
      </c>
      <c r="O375" t="str">
        <f t="shared" si="11"/>
        <v>Monday</v>
      </c>
    </row>
    <row r="376" spans="1:15" x14ac:dyDescent="0.3">
      <c r="A376" t="s">
        <v>1153</v>
      </c>
      <c r="B376" t="s">
        <v>1154</v>
      </c>
      <c r="C376" s="1">
        <v>46112.333333333343</v>
      </c>
      <c r="D376" t="s">
        <v>15</v>
      </c>
      <c r="E376" t="s">
        <v>16</v>
      </c>
      <c r="F376" t="s">
        <v>17</v>
      </c>
      <c r="G376" t="s">
        <v>101</v>
      </c>
      <c r="H376" t="s">
        <v>102</v>
      </c>
      <c r="I376" t="s">
        <v>45</v>
      </c>
      <c r="J376" t="s">
        <v>1155</v>
      </c>
      <c r="K376" t="s">
        <v>47</v>
      </c>
      <c r="L376" s="1">
        <v>46112</v>
      </c>
      <c r="M376" t="s">
        <v>789</v>
      </c>
      <c r="N376">
        <f t="shared" si="10"/>
        <v>2026</v>
      </c>
      <c r="O376" t="str">
        <f t="shared" si="11"/>
        <v>Tuesday</v>
      </c>
    </row>
    <row r="377" spans="1:15" x14ac:dyDescent="0.3">
      <c r="A377" t="s">
        <v>1156</v>
      </c>
      <c r="B377" t="s">
        <v>1157</v>
      </c>
      <c r="C377" s="1">
        <v>46112.416666666657</v>
      </c>
      <c r="D377" t="s">
        <v>15</v>
      </c>
      <c r="E377" t="s">
        <v>16</v>
      </c>
      <c r="F377" t="s">
        <v>17</v>
      </c>
      <c r="G377" t="s">
        <v>355</v>
      </c>
      <c r="H377" t="s">
        <v>356</v>
      </c>
      <c r="I377" t="s">
        <v>82</v>
      </c>
      <c r="J377" t="s">
        <v>1158</v>
      </c>
      <c r="K377" t="s">
        <v>60</v>
      </c>
      <c r="L377" s="1">
        <v>46112</v>
      </c>
      <c r="M377" t="s">
        <v>789</v>
      </c>
      <c r="N377">
        <f t="shared" si="10"/>
        <v>2026</v>
      </c>
      <c r="O377" t="str">
        <f t="shared" si="11"/>
        <v>Tuesday</v>
      </c>
    </row>
    <row r="378" spans="1:15" x14ac:dyDescent="0.3">
      <c r="A378" t="s">
        <v>1159</v>
      </c>
      <c r="B378" t="s">
        <v>1160</v>
      </c>
      <c r="C378" s="1">
        <v>46112.541666666657</v>
      </c>
      <c r="D378" t="s">
        <v>15</v>
      </c>
      <c r="E378" t="s">
        <v>16</v>
      </c>
      <c r="F378" t="s">
        <v>17</v>
      </c>
      <c r="G378" t="s">
        <v>35</v>
      </c>
      <c r="H378" t="s">
        <v>36</v>
      </c>
      <c r="I378" t="s">
        <v>37</v>
      </c>
      <c r="J378" t="s">
        <v>1161</v>
      </c>
      <c r="K378" t="s">
        <v>47</v>
      </c>
      <c r="L378" s="1">
        <v>46112</v>
      </c>
      <c r="M378" t="s">
        <v>789</v>
      </c>
      <c r="N378">
        <f t="shared" si="10"/>
        <v>2026</v>
      </c>
      <c r="O378" t="str">
        <f t="shared" si="11"/>
        <v>Tuesday</v>
      </c>
    </row>
    <row r="379" spans="1:15" x14ac:dyDescent="0.3">
      <c r="A379" t="s">
        <v>1162</v>
      </c>
      <c r="B379" t="s">
        <v>1163</v>
      </c>
      <c r="C379" s="1">
        <v>46112.583333333343</v>
      </c>
      <c r="D379" t="s">
        <v>15</v>
      </c>
      <c r="E379" t="s">
        <v>26</v>
      </c>
      <c r="F379" t="s">
        <v>42</v>
      </c>
      <c r="G379" t="s">
        <v>96</v>
      </c>
      <c r="H379" t="s">
        <v>97</v>
      </c>
      <c r="I379" t="s">
        <v>58</v>
      </c>
      <c r="J379" t="s">
        <v>1164</v>
      </c>
      <c r="K379" t="s">
        <v>22</v>
      </c>
      <c r="L379" s="1">
        <v>46112</v>
      </c>
      <c r="M379" t="s">
        <v>789</v>
      </c>
      <c r="N379">
        <f t="shared" si="10"/>
        <v>2026</v>
      </c>
      <c r="O379" t="str">
        <f t="shared" si="11"/>
        <v>Tuesday</v>
      </c>
    </row>
    <row r="380" spans="1:15" x14ac:dyDescent="0.3">
      <c r="A380" t="s">
        <v>1165</v>
      </c>
      <c r="B380" t="s">
        <v>1114</v>
      </c>
      <c r="C380" s="1">
        <v>46112.791666666657</v>
      </c>
      <c r="D380" t="s">
        <v>15</v>
      </c>
      <c r="E380" t="s">
        <v>63</v>
      </c>
      <c r="F380" t="s">
        <v>17</v>
      </c>
      <c r="G380" t="s">
        <v>126</v>
      </c>
      <c r="H380" t="s">
        <v>127</v>
      </c>
      <c r="I380" t="s">
        <v>45</v>
      </c>
      <c r="J380" t="s">
        <v>1166</v>
      </c>
      <c r="K380" t="s">
        <v>60</v>
      </c>
      <c r="L380" s="1">
        <v>46112</v>
      </c>
      <c r="M380" t="s">
        <v>789</v>
      </c>
      <c r="N380">
        <f t="shared" si="10"/>
        <v>2026</v>
      </c>
      <c r="O380" t="str">
        <f t="shared" si="11"/>
        <v>Tuesday</v>
      </c>
    </row>
    <row r="381" spans="1:15" x14ac:dyDescent="0.3">
      <c r="A381" t="s">
        <v>1167</v>
      </c>
      <c r="B381" t="s">
        <v>1168</v>
      </c>
      <c r="C381" s="1">
        <v>46113.666666666657</v>
      </c>
      <c r="D381" t="s">
        <v>15</v>
      </c>
      <c r="E381" t="s">
        <v>16</v>
      </c>
      <c r="F381" t="s">
        <v>17</v>
      </c>
      <c r="G381" t="s">
        <v>27</v>
      </c>
      <c r="H381" t="s">
        <v>28</v>
      </c>
      <c r="I381" t="s">
        <v>29</v>
      </c>
      <c r="J381" t="s">
        <v>1169</v>
      </c>
      <c r="K381" t="s">
        <v>47</v>
      </c>
      <c r="L381" s="1">
        <v>46113</v>
      </c>
      <c r="M381" t="s">
        <v>1170</v>
      </c>
      <c r="N381">
        <f t="shared" si="10"/>
        <v>2026</v>
      </c>
      <c r="O381" t="str">
        <f t="shared" si="11"/>
        <v>Wednesday</v>
      </c>
    </row>
    <row r="382" spans="1:15" x14ac:dyDescent="0.3">
      <c r="A382" t="s">
        <v>1171</v>
      </c>
      <c r="B382" t="s">
        <v>1172</v>
      </c>
      <c r="C382" s="1">
        <v>46113.708333333343</v>
      </c>
      <c r="D382" t="s">
        <v>15</v>
      </c>
      <c r="E382" t="s">
        <v>26</v>
      </c>
      <c r="F382" t="s">
        <v>17</v>
      </c>
      <c r="G382" t="s">
        <v>27</v>
      </c>
      <c r="H382" t="s">
        <v>28</v>
      </c>
      <c r="I382" t="s">
        <v>29</v>
      </c>
      <c r="J382" t="s">
        <v>1173</v>
      </c>
      <c r="K382" t="s">
        <v>31</v>
      </c>
      <c r="L382" s="1">
        <v>46113</v>
      </c>
      <c r="M382" t="s">
        <v>1170</v>
      </c>
      <c r="N382">
        <f t="shared" si="10"/>
        <v>2026</v>
      </c>
      <c r="O382" t="str">
        <f t="shared" si="11"/>
        <v>Wednesday</v>
      </c>
    </row>
    <row r="383" spans="1:15" x14ac:dyDescent="0.3">
      <c r="A383" t="s">
        <v>1174</v>
      </c>
      <c r="B383" t="s">
        <v>1175</v>
      </c>
      <c r="C383" s="1">
        <v>46114.75</v>
      </c>
      <c r="D383" t="s">
        <v>15</v>
      </c>
      <c r="E383" t="s">
        <v>63</v>
      </c>
      <c r="F383" t="s">
        <v>50</v>
      </c>
      <c r="G383" t="s">
        <v>250</v>
      </c>
      <c r="H383" t="s">
        <v>251</v>
      </c>
      <c r="I383" t="s">
        <v>108</v>
      </c>
      <c r="J383" t="s">
        <v>1176</v>
      </c>
      <c r="K383" t="s">
        <v>22</v>
      </c>
      <c r="L383" s="1">
        <v>46114</v>
      </c>
      <c r="M383" t="s">
        <v>1170</v>
      </c>
      <c r="N383">
        <f t="shared" si="10"/>
        <v>2026</v>
      </c>
      <c r="O383" t="str">
        <f t="shared" si="11"/>
        <v>Thursday</v>
      </c>
    </row>
    <row r="384" spans="1:15" x14ac:dyDescent="0.3">
      <c r="A384" t="s">
        <v>1177</v>
      </c>
      <c r="B384" t="s">
        <v>1178</v>
      </c>
      <c r="C384" s="1">
        <v>46115.541666666657</v>
      </c>
      <c r="D384" t="s">
        <v>15</v>
      </c>
      <c r="E384" t="s">
        <v>16</v>
      </c>
      <c r="F384" t="s">
        <v>17</v>
      </c>
      <c r="G384" t="s">
        <v>96</v>
      </c>
      <c r="H384" t="s">
        <v>97</v>
      </c>
      <c r="I384" t="s">
        <v>58</v>
      </c>
      <c r="J384" t="s">
        <v>1179</v>
      </c>
      <c r="K384" t="s">
        <v>60</v>
      </c>
      <c r="L384" s="1">
        <v>46115</v>
      </c>
      <c r="M384" t="s">
        <v>1170</v>
      </c>
      <c r="N384">
        <f t="shared" si="10"/>
        <v>2026</v>
      </c>
      <c r="O384" t="str">
        <f t="shared" si="11"/>
        <v>Friday</v>
      </c>
    </row>
    <row r="385" spans="1:15" x14ac:dyDescent="0.3">
      <c r="A385" t="s">
        <v>1180</v>
      </c>
      <c r="B385" t="s">
        <v>243</v>
      </c>
      <c r="C385" s="1">
        <v>46115.583333333343</v>
      </c>
      <c r="D385" t="s">
        <v>15</v>
      </c>
      <c r="E385" t="s">
        <v>63</v>
      </c>
      <c r="F385" t="s">
        <v>17</v>
      </c>
      <c r="G385" t="s">
        <v>126</v>
      </c>
      <c r="H385" t="s">
        <v>127</v>
      </c>
      <c r="I385" t="s">
        <v>45</v>
      </c>
      <c r="J385" t="s">
        <v>1181</v>
      </c>
      <c r="K385" t="s">
        <v>60</v>
      </c>
      <c r="L385" s="1">
        <v>46115</v>
      </c>
      <c r="M385" t="s">
        <v>1170</v>
      </c>
      <c r="N385">
        <f t="shared" si="10"/>
        <v>2026</v>
      </c>
      <c r="O385" t="str">
        <f t="shared" si="11"/>
        <v>Friday</v>
      </c>
    </row>
    <row r="386" spans="1:15" x14ac:dyDescent="0.3">
      <c r="A386" t="s">
        <v>1182</v>
      </c>
      <c r="B386" t="s">
        <v>1183</v>
      </c>
      <c r="C386" s="1">
        <v>46115.708333333343</v>
      </c>
      <c r="D386" t="s">
        <v>15</v>
      </c>
      <c r="E386" t="s">
        <v>41</v>
      </c>
      <c r="F386" t="s">
        <v>50</v>
      </c>
      <c r="G386" t="s">
        <v>106</v>
      </c>
      <c r="H386" t="s">
        <v>107</v>
      </c>
      <c r="I386" t="s">
        <v>108</v>
      </c>
      <c r="J386" t="s">
        <v>1184</v>
      </c>
      <c r="K386" t="s">
        <v>31</v>
      </c>
      <c r="L386" s="1">
        <v>46115</v>
      </c>
      <c r="M386" t="s">
        <v>1170</v>
      </c>
      <c r="N386">
        <f t="shared" si="10"/>
        <v>2026</v>
      </c>
      <c r="O386" t="str">
        <f t="shared" si="11"/>
        <v>Friday</v>
      </c>
    </row>
    <row r="387" spans="1:15" x14ac:dyDescent="0.3">
      <c r="A387" t="s">
        <v>1185</v>
      </c>
      <c r="B387" t="s">
        <v>1186</v>
      </c>
      <c r="C387" s="1">
        <v>46115.75</v>
      </c>
      <c r="D387" t="s">
        <v>15</v>
      </c>
      <c r="E387" t="s">
        <v>16</v>
      </c>
      <c r="F387" t="s">
        <v>50</v>
      </c>
      <c r="G387" t="s">
        <v>149</v>
      </c>
      <c r="H387" t="s">
        <v>150</v>
      </c>
      <c r="I387" t="s">
        <v>37</v>
      </c>
      <c r="J387" t="s">
        <v>1187</v>
      </c>
      <c r="K387" t="s">
        <v>47</v>
      </c>
      <c r="L387" s="1">
        <v>46115</v>
      </c>
      <c r="M387" t="s">
        <v>1170</v>
      </c>
      <c r="N387">
        <f t="shared" ref="N387:N450" si="12">YEAR(C387)</f>
        <v>2026</v>
      </c>
      <c r="O387" t="str">
        <f t="shared" ref="O387:O450" si="13">TEXT(C387,"dddd")</f>
        <v>Friday</v>
      </c>
    </row>
    <row r="388" spans="1:15" x14ac:dyDescent="0.3">
      <c r="A388" t="s">
        <v>1188</v>
      </c>
      <c r="B388" t="s">
        <v>1189</v>
      </c>
      <c r="C388" s="1">
        <v>46115.833333333343</v>
      </c>
      <c r="D388" t="s">
        <v>15</v>
      </c>
      <c r="E388" t="s">
        <v>16</v>
      </c>
      <c r="F388" t="s">
        <v>17</v>
      </c>
      <c r="G388" t="s">
        <v>106</v>
      </c>
      <c r="H388" t="s">
        <v>107</v>
      </c>
      <c r="I388" t="s">
        <v>108</v>
      </c>
      <c r="J388" t="s">
        <v>1190</v>
      </c>
      <c r="K388" t="s">
        <v>60</v>
      </c>
      <c r="L388" s="1">
        <v>46115</v>
      </c>
      <c r="M388" t="s">
        <v>1170</v>
      </c>
      <c r="N388">
        <f t="shared" si="12"/>
        <v>2026</v>
      </c>
      <c r="O388" t="str">
        <f t="shared" si="13"/>
        <v>Friday</v>
      </c>
    </row>
    <row r="389" spans="1:15" x14ac:dyDescent="0.3">
      <c r="A389" t="s">
        <v>1191</v>
      </c>
      <c r="B389" t="s">
        <v>1192</v>
      </c>
      <c r="C389" s="1">
        <v>46115.833333333343</v>
      </c>
      <c r="D389" t="s">
        <v>15</v>
      </c>
      <c r="E389" t="s">
        <v>34</v>
      </c>
      <c r="F389" t="s">
        <v>50</v>
      </c>
      <c r="G389" t="s">
        <v>126</v>
      </c>
      <c r="H389" t="s">
        <v>127</v>
      </c>
      <c r="I389" t="s">
        <v>45</v>
      </c>
      <c r="J389" t="s">
        <v>1193</v>
      </c>
      <c r="K389" t="s">
        <v>74</v>
      </c>
      <c r="L389" s="1">
        <v>46115</v>
      </c>
      <c r="M389" t="s">
        <v>1170</v>
      </c>
      <c r="N389">
        <f t="shared" si="12"/>
        <v>2026</v>
      </c>
      <c r="O389" t="str">
        <f t="shared" si="13"/>
        <v>Friday</v>
      </c>
    </row>
    <row r="390" spans="1:15" x14ac:dyDescent="0.3">
      <c r="A390" t="s">
        <v>1194</v>
      </c>
      <c r="B390" t="s">
        <v>514</v>
      </c>
      <c r="C390" s="1">
        <v>46116.333333333343</v>
      </c>
      <c r="D390" t="s">
        <v>15</v>
      </c>
      <c r="E390" t="s">
        <v>34</v>
      </c>
      <c r="F390" t="s">
        <v>17</v>
      </c>
      <c r="G390" t="s">
        <v>106</v>
      </c>
      <c r="H390" t="s">
        <v>107</v>
      </c>
      <c r="I390" t="s">
        <v>108</v>
      </c>
      <c r="J390" t="s">
        <v>1195</v>
      </c>
      <c r="K390" t="s">
        <v>47</v>
      </c>
      <c r="L390" s="1">
        <v>46116</v>
      </c>
      <c r="M390" t="s">
        <v>1170</v>
      </c>
      <c r="N390">
        <f t="shared" si="12"/>
        <v>2026</v>
      </c>
      <c r="O390" t="str">
        <f t="shared" si="13"/>
        <v>Saturday</v>
      </c>
    </row>
    <row r="391" spans="1:15" x14ac:dyDescent="0.3">
      <c r="A391" t="s">
        <v>1196</v>
      </c>
      <c r="B391" t="s">
        <v>1197</v>
      </c>
      <c r="C391" s="1">
        <v>46116.333333333343</v>
      </c>
      <c r="D391" t="s">
        <v>15</v>
      </c>
      <c r="E391" t="s">
        <v>16</v>
      </c>
      <c r="F391" t="s">
        <v>17</v>
      </c>
      <c r="G391" t="s">
        <v>86</v>
      </c>
      <c r="H391" t="s">
        <v>87</v>
      </c>
      <c r="I391" t="s">
        <v>82</v>
      </c>
      <c r="J391" t="s">
        <v>1198</v>
      </c>
      <c r="K391" t="s">
        <v>60</v>
      </c>
      <c r="L391" s="1">
        <v>46116</v>
      </c>
      <c r="M391" t="s">
        <v>1170</v>
      </c>
      <c r="N391">
        <f t="shared" si="12"/>
        <v>2026</v>
      </c>
      <c r="O391" t="str">
        <f t="shared" si="13"/>
        <v>Saturday</v>
      </c>
    </row>
    <row r="392" spans="1:15" x14ac:dyDescent="0.3">
      <c r="A392" t="s">
        <v>1199</v>
      </c>
      <c r="B392" t="s">
        <v>1200</v>
      </c>
      <c r="C392" s="1">
        <v>46116.458333333343</v>
      </c>
      <c r="D392" t="s">
        <v>15</v>
      </c>
      <c r="E392" t="s">
        <v>16</v>
      </c>
      <c r="F392" t="s">
        <v>50</v>
      </c>
      <c r="G392" t="s">
        <v>149</v>
      </c>
      <c r="H392" t="s">
        <v>150</v>
      </c>
      <c r="I392" t="s">
        <v>37</v>
      </c>
      <c r="J392" t="s">
        <v>1201</v>
      </c>
      <c r="K392" t="s">
        <v>31</v>
      </c>
      <c r="L392" s="1">
        <v>46116</v>
      </c>
      <c r="M392" t="s">
        <v>1170</v>
      </c>
      <c r="N392">
        <f t="shared" si="12"/>
        <v>2026</v>
      </c>
      <c r="O392" t="str">
        <f t="shared" si="13"/>
        <v>Saturday</v>
      </c>
    </row>
    <row r="393" spans="1:15" x14ac:dyDescent="0.3">
      <c r="A393" t="s">
        <v>1202</v>
      </c>
      <c r="B393" t="s">
        <v>742</v>
      </c>
      <c r="C393" s="1">
        <v>46117.666666666657</v>
      </c>
      <c r="D393" t="s">
        <v>15</v>
      </c>
      <c r="E393" t="s">
        <v>26</v>
      </c>
      <c r="F393" t="s">
        <v>17</v>
      </c>
      <c r="G393" t="s">
        <v>43</v>
      </c>
      <c r="H393" t="s">
        <v>44</v>
      </c>
      <c r="I393" t="s">
        <v>45</v>
      </c>
      <c r="J393" t="s">
        <v>1203</v>
      </c>
      <c r="K393" t="s">
        <v>22</v>
      </c>
      <c r="L393" s="1">
        <v>46117</v>
      </c>
      <c r="M393" t="s">
        <v>1170</v>
      </c>
      <c r="N393">
        <f t="shared" si="12"/>
        <v>2026</v>
      </c>
      <c r="O393" t="str">
        <f t="shared" si="13"/>
        <v>Sunday</v>
      </c>
    </row>
    <row r="394" spans="1:15" x14ac:dyDescent="0.3">
      <c r="A394" t="s">
        <v>1204</v>
      </c>
      <c r="B394" t="s">
        <v>427</v>
      </c>
      <c r="C394" s="1">
        <v>46117.875</v>
      </c>
      <c r="D394" t="s">
        <v>15</v>
      </c>
      <c r="E394" t="s">
        <v>16</v>
      </c>
      <c r="F394" t="s">
        <v>50</v>
      </c>
      <c r="G394" t="s">
        <v>27</v>
      </c>
      <c r="H394" t="s">
        <v>28</v>
      </c>
      <c r="I394" t="s">
        <v>29</v>
      </c>
      <c r="J394" t="s">
        <v>1205</v>
      </c>
      <c r="K394" t="s">
        <v>74</v>
      </c>
      <c r="L394" s="1">
        <v>46117</v>
      </c>
      <c r="M394" t="s">
        <v>1170</v>
      </c>
      <c r="N394">
        <f t="shared" si="12"/>
        <v>2026</v>
      </c>
      <c r="O394" t="str">
        <f t="shared" si="13"/>
        <v>Sunday</v>
      </c>
    </row>
    <row r="395" spans="1:15" x14ac:dyDescent="0.3">
      <c r="A395" t="s">
        <v>1206</v>
      </c>
      <c r="B395" t="s">
        <v>1207</v>
      </c>
      <c r="C395" s="1">
        <v>46118.375</v>
      </c>
      <c r="D395" t="s">
        <v>15</v>
      </c>
      <c r="E395" t="s">
        <v>41</v>
      </c>
      <c r="F395" t="s">
        <v>17</v>
      </c>
      <c r="G395" t="s">
        <v>35</v>
      </c>
      <c r="H395" t="s">
        <v>36</v>
      </c>
      <c r="I395" t="s">
        <v>37</v>
      </c>
      <c r="J395" t="s">
        <v>1208</v>
      </c>
      <c r="K395" t="s">
        <v>74</v>
      </c>
      <c r="L395" s="1">
        <v>46118</v>
      </c>
      <c r="M395" t="s">
        <v>1170</v>
      </c>
      <c r="N395">
        <f t="shared" si="12"/>
        <v>2026</v>
      </c>
      <c r="O395" t="str">
        <f t="shared" si="13"/>
        <v>Monday</v>
      </c>
    </row>
    <row r="396" spans="1:15" x14ac:dyDescent="0.3">
      <c r="A396" t="s">
        <v>1209</v>
      </c>
      <c r="B396" t="s">
        <v>1210</v>
      </c>
      <c r="C396" s="1">
        <v>46118.583333333343</v>
      </c>
      <c r="D396" t="s">
        <v>15</v>
      </c>
      <c r="E396" t="s">
        <v>41</v>
      </c>
      <c r="F396" t="s">
        <v>50</v>
      </c>
      <c r="G396" t="s">
        <v>27</v>
      </c>
      <c r="H396" t="s">
        <v>28</v>
      </c>
      <c r="I396" t="s">
        <v>29</v>
      </c>
      <c r="J396" t="s">
        <v>1211</v>
      </c>
      <c r="K396" t="s">
        <v>60</v>
      </c>
      <c r="L396" s="1">
        <v>46118</v>
      </c>
      <c r="M396" t="s">
        <v>1170</v>
      </c>
      <c r="N396">
        <f t="shared" si="12"/>
        <v>2026</v>
      </c>
      <c r="O396" t="str">
        <f t="shared" si="13"/>
        <v>Monday</v>
      </c>
    </row>
    <row r="397" spans="1:15" x14ac:dyDescent="0.3">
      <c r="A397" t="s">
        <v>1212</v>
      </c>
      <c r="B397" t="s">
        <v>1213</v>
      </c>
      <c r="C397" s="1">
        <v>46118.708333333343</v>
      </c>
      <c r="D397" t="s">
        <v>15</v>
      </c>
      <c r="E397" t="s">
        <v>16</v>
      </c>
      <c r="F397" t="s">
        <v>42</v>
      </c>
      <c r="G397" t="s">
        <v>101</v>
      </c>
      <c r="H397" t="s">
        <v>102</v>
      </c>
      <c r="I397" t="s">
        <v>45</v>
      </c>
      <c r="J397" t="s">
        <v>1214</v>
      </c>
      <c r="K397" t="s">
        <v>60</v>
      </c>
      <c r="L397" s="1">
        <v>46118</v>
      </c>
      <c r="M397" t="s">
        <v>1170</v>
      </c>
      <c r="N397">
        <f t="shared" si="12"/>
        <v>2026</v>
      </c>
      <c r="O397" t="str">
        <f t="shared" si="13"/>
        <v>Monday</v>
      </c>
    </row>
    <row r="398" spans="1:15" x14ac:dyDescent="0.3">
      <c r="A398" t="s">
        <v>1215</v>
      </c>
      <c r="B398" t="s">
        <v>1216</v>
      </c>
      <c r="C398" s="1">
        <v>46118.875</v>
      </c>
      <c r="D398" t="s">
        <v>15</v>
      </c>
      <c r="E398" t="s">
        <v>16</v>
      </c>
      <c r="F398" t="s">
        <v>17</v>
      </c>
      <c r="G398" t="s">
        <v>91</v>
      </c>
      <c r="H398" t="s">
        <v>92</v>
      </c>
      <c r="I398" t="s">
        <v>37</v>
      </c>
      <c r="J398" t="s">
        <v>1217</v>
      </c>
      <c r="K398" t="s">
        <v>74</v>
      </c>
      <c r="L398" s="1">
        <v>46118</v>
      </c>
      <c r="M398" t="s">
        <v>1170</v>
      </c>
      <c r="N398">
        <f t="shared" si="12"/>
        <v>2026</v>
      </c>
      <c r="O398" t="str">
        <f t="shared" si="13"/>
        <v>Monday</v>
      </c>
    </row>
    <row r="399" spans="1:15" x14ac:dyDescent="0.3">
      <c r="A399" t="s">
        <v>1218</v>
      </c>
      <c r="B399" t="s">
        <v>1039</v>
      </c>
      <c r="C399" s="1">
        <v>46119.708333333343</v>
      </c>
      <c r="D399" t="s">
        <v>15</v>
      </c>
      <c r="E399" t="s">
        <v>16</v>
      </c>
      <c r="F399" t="s">
        <v>17</v>
      </c>
      <c r="G399" t="s">
        <v>101</v>
      </c>
      <c r="H399" t="s">
        <v>102</v>
      </c>
      <c r="I399" t="s">
        <v>45</v>
      </c>
      <c r="J399" t="s">
        <v>1219</v>
      </c>
      <c r="K399" t="s">
        <v>74</v>
      </c>
      <c r="L399" s="1">
        <v>46119</v>
      </c>
      <c r="M399" t="s">
        <v>1170</v>
      </c>
      <c r="N399">
        <f t="shared" si="12"/>
        <v>2026</v>
      </c>
      <c r="O399" t="str">
        <f t="shared" si="13"/>
        <v>Tuesday</v>
      </c>
    </row>
    <row r="400" spans="1:15" x14ac:dyDescent="0.3">
      <c r="A400" t="s">
        <v>1220</v>
      </c>
      <c r="B400" t="s">
        <v>1221</v>
      </c>
      <c r="C400" s="1">
        <v>46119.75</v>
      </c>
      <c r="D400" t="s">
        <v>15</v>
      </c>
      <c r="E400" t="s">
        <v>16</v>
      </c>
      <c r="F400" t="s">
        <v>17</v>
      </c>
      <c r="G400" t="s">
        <v>112</v>
      </c>
      <c r="H400" t="s">
        <v>113</v>
      </c>
      <c r="I400" t="s">
        <v>37</v>
      </c>
      <c r="J400" t="s">
        <v>1222</v>
      </c>
      <c r="K400" t="s">
        <v>60</v>
      </c>
      <c r="L400" s="1">
        <v>46119</v>
      </c>
      <c r="M400" t="s">
        <v>1170</v>
      </c>
      <c r="N400">
        <f t="shared" si="12"/>
        <v>2026</v>
      </c>
      <c r="O400" t="str">
        <f t="shared" si="13"/>
        <v>Tuesday</v>
      </c>
    </row>
    <row r="401" spans="1:15" x14ac:dyDescent="0.3">
      <c r="A401" t="s">
        <v>1223</v>
      </c>
      <c r="B401" t="s">
        <v>1224</v>
      </c>
      <c r="C401" s="1">
        <v>46119.791666666657</v>
      </c>
      <c r="D401" t="s">
        <v>15</v>
      </c>
      <c r="E401" t="s">
        <v>16</v>
      </c>
      <c r="F401" t="s">
        <v>17</v>
      </c>
      <c r="G401" t="s">
        <v>191</v>
      </c>
      <c r="H401" t="s">
        <v>192</v>
      </c>
      <c r="I401" t="s">
        <v>45</v>
      </c>
      <c r="J401" t="s">
        <v>1225</v>
      </c>
      <c r="K401" t="s">
        <v>74</v>
      </c>
      <c r="L401" s="1">
        <v>46119</v>
      </c>
      <c r="M401" t="s">
        <v>1170</v>
      </c>
      <c r="N401">
        <f t="shared" si="12"/>
        <v>2026</v>
      </c>
      <c r="O401" t="str">
        <f t="shared" si="13"/>
        <v>Tuesday</v>
      </c>
    </row>
    <row r="402" spans="1:15" x14ac:dyDescent="0.3">
      <c r="A402" t="s">
        <v>1226</v>
      </c>
      <c r="B402" t="s">
        <v>1227</v>
      </c>
      <c r="C402" s="1">
        <v>46120.541666666657</v>
      </c>
      <c r="D402" t="s">
        <v>15</v>
      </c>
      <c r="E402" t="s">
        <v>16</v>
      </c>
      <c r="F402" t="s">
        <v>50</v>
      </c>
      <c r="G402" t="s">
        <v>355</v>
      </c>
      <c r="H402" t="s">
        <v>356</v>
      </c>
      <c r="I402" t="s">
        <v>82</v>
      </c>
      <c r="J402" t="s">
        <v>1228</v>
      </c>
      <c r="K402" t="s">
        <v>31</v>
      </c>
      <c r="L402" s="1">
        <v>46120</v>
      </c>
      <c r="M402" t="s">
        <v>1170</v>
      </c>
      <c r="N402">
        <f t="shared" si="12"/>
        <v>2026</v>
      </c>
      <c r="O402" t="str">
        <f t="shared" si="13"/>
        <v>Wednesday</v>
      </c>
    </row>
    <row r="403" spans="1:15" x14ac:dyDescent="0.3">
      <c r="A403" t="s">
        <v>1229</v>
      </c>
      <c r="B403" t="s">
        <v>1230</v>
      </c>
      <c r="C403" s="1">
        <v>46120.541666666657</v>
      </c>
      <c r="D403" t="s">
        <v>15</v>
      </c>
      <c r="E403" t="s">
        <v>41</v>
      </c>
      <c r="F403" t="s">
        <v>42</v>
      </c>
      <c r="G403" t="s">
        <v>106</v>
      </c>
      <c r="H403" t="s">
        <v>107</v>
      </c>
      <c r="I403" t="s">
        <v>108</v>
      </c>
      <c r="J403" t="s">
        <v>1231</v>
      </c>
      <c r="K403" t="s">
        <v>60</v>
      </c>
      <c r="L403" s="1">
        <v>46120</v>
      </c>
      <c r="M403" t="s">
        <v>1170</v>
      </c>
      <c r="N403">
        <f t="shared" si="12"/>
        <v>2026</v>
      </c>
      <c r="O403" t="str">
        <f t="shared" si="13"/>
        <v>Wednesday</v>
      </c>
    </row>
    <row r="404" spans="1:15" x14ac:dyDescent="0.3">
      <c r="A404" t="s">
        <v>1232</v>
      </c>
      <c r="B404" t="s">
        <v>1233</v>
      </c>
      <c r="C404" s="1">
        <v>46121.5</v>
      </c>
      <c r="D404" t="s">
        <v>15</v>
      </c>
      <c r="E404" t="s">
        <v>26</v>
      </c>
      <c r="F404" t="s">
        <v>50</v>
      </c>
      <c r="G404" t="s">
        <v>149</v>
      </c>
      <c r="H404" t="s">
        <v>150</v>
      </c>
      <c r="I404" t="s">
        <v>37</v>
      </c>
      <c r="J404" t="s">
        <v>1234</v>
      </c>
      <c r="K404" t="s">
        <v>22</v>
      </c>
      <c r="L404" s="1">
        <v>46121</v>
      </c>
      <c r="M404" t="s">
        <v>1170</v>
      </c>
      <c r="N404">
        <f t="shared" si="12"/>
        <v>2026</v>
      </c>
      <c r="O404" t="str">
        <f t="shared" si="13"/>
        <v>Thursday</v>
      </c>
    </row>
    <row r="405" spans="1:15" x14ac:dyDescent="0.3">
      <c r="A405" t="s">
        <v>1235</v>
      </c>
      <c r="B405" t="s">
        <v>1236</v>
      </c>
      <c r="C405" s="1">
        <v>46121.583333333343</v>
      </c>
      <c r="D405" t="s">
        <v>15</v>
      </c>
      <c r="E405" t="s">
        <v>41</v>
      </c>
      <c r="F405" t="s">
        <v>50</v>
      </c>
      <c r="G405" t="s">
        <v>91</v>
      </c>
      <c r="H405" t="s">
        <v>92</v>
      </c>
      <c r="I405" t="s">
        <v>37</v>
      </c>
      <c r="J405" t="s">
        <v>1237</v>
      </c>
      <c r="K405" t="s">
        <v>60</v>
      </c>
      <c r="L405" s="1">
        <v>46121</v>
      </c>
      <c r="M405" t="s">
        <v>1170</v>
      </c>
      <c r="N405">
        <f t="shared" si="12"/>
        <v>2026</v>
      </c>
      <c r="O405" t="str">
        <f t="shared" si="13"/>
        <v>Thursday</v>
      </c>
    </row>
    <row r="406" spans="1:15" x14ac:dyDescent="0.3">
      <c r="A406" t="s">
        <v>1238</v>
      </c>
      <c r="B406" t="s">
        <v>1239</v>
      </c>
      <c r="C406" s="1">
        <v>46121.583333333343</v>
      </c>
      <c r="D406" t="s">
        <v>15</v>
      </c>
      <c r="E406" t="s">
        <v>16</v>
      </c>
      <c r="F406" t="s">
        <v>42</v>
      </c>
      <c r="G406" t="s">
        <v>43</v>
      </c>
      <c r="H406" t="s">
        <v>44</v>
      </c>
      <c r="I406" t="s">
        <v>45</v>
      </c>
      <c r="J406" t="s">
        <v>1240</v>
      </c>
      <c r="K406" t="s">
        <v>74</v>
      </c>
      <c r="L406" s="1">
        <v>46121</v>
      </c>
      <c r="M406" t="s">
        <v>1170</v>
      </c>
      <c r="N406">
        <f t="shared" si="12"/>
        <v>2026</v>
      </c>
      <c r="O406" t="str">
        <f t="shared" si="13"/>
        <v>Thursday</v>
      </c>
    </row>
    <row r="407" spans="1:15" x14ac:dyDescent="0.3">
      <c r="A407" t="s">
        <v>1241</v>
      </c>
      <c r="B407" t="s">
        <v>213</v>
      </c>
      <c r="C407" s="1">
        <v>46121.666666666657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 t="s">
        <v>20</v>
      </c>
      <c r="J407" t="s">
        <v>1242</v>
      </c>
      <c r="K407" t="s">
        <v>47</v>
      </c>
      <c r="L407" s="1">
        <v>46121</v>
      </c>
      <c r="M407" t="s">
        <v>1170</v>
      </c>
      <c r="N407">
        <f t="shared" si="12"/>
        <v>2026</v>
      </c>
      <c r="O407" t="str">
        <f t="shared" si="13"/>
        <v>Thursday</v>
      </c>
    </row>
    <row r="408" spans="1:15" x14ac:dyDescent="0.3">
      <c r="A408" t="s">
        <v>1243</v>
      </c>
      <c r="B408" t="s">
        <v>1244</v>
      </c>
      <c r="C408" s="1">
        <v>46121.666666666657</v>
      </c>
      <c r="D408" t="s">
        <v>15</v>
      </c>
      <c r="E408" t="s">
        <v>34</v>
      </c>
      <c r="F408" t="s">
        <v>50</v>
      </c>
      <c r="G408" t="s">
        <v>191</v>
      </c>
      <c r="H408" t="s">
        <v>192</v>
      </c>
      <c r="I408" t="s">
        <v>45</v>
      </c>
      <c r="J408" t="s">
        <v>1245</v>
      </c>
      <c r="K408" t="s">
        <v>22</v>
      </c>
      <c r="L408" s="1">
        <v>46121</v>
      </c>
      <c r="M408" t="s">
        <v>1170</v>
      </c>
      <c r="N408">
        <f t="shared" si="12"/>
        <v>2026</v>
      </c>
      <c r="O408" t="str">
        <f t="shared" si="13"/>
        <v>Thursday</v>
      </c>
    </row>
    <row r="409" spans="1:15" x14ac:dyDescent="0.3">
      <c r="A409" t="s">
        <v>1246</v>
      </c>
      <c r="B409" t="s">
        <v>987</v>
      </c>
      <c r="C409" s="1">
        <v>46121.75</v>
      </c>
      <c r="D409" t="s">
        <v>15</v>
      </c>
      <c r="E409" t="s">
        <v>63</v>
      </c>
      <c r="F409" t="s">
        <v>50</v>
      </c>
      <c r="G409" t="s">
        <v>43</v>
      </c>
      <c r="H409" t="s">
        <v>44</v>
      </c>
      <c r="I409" t="s">
        <v>45</v>
      </c>
      <c r="J409" t="s">
        <v>1247</v>
      </c>
      <c r="K409" t="s">
        <v>22</v>
      </c>
      <c r="L409" s="1">
        <v>46121</v>
      </c>
      <c r="M409" t="s">
        <v>1170</v>
      </c>
      <c r="N409">
        <f t="shared" si="12"/>
        <v>2026</v>
      </c>
      <c r="O409" t="str">
        <f t="shared" si="13"/>
        <v>Thursday</v>
      </c>
    </row>
    <row r="410" spans="1:15" x14ac:dyDescent="0.3">
      <c r="A410" t="s">
        <v>1248</v>
      </c>
      <c r="B410" t="s">
        <v>1249</v>
      </c>
      <c r="C410" s="1">
        <v>46121.833333333343</v>
      </c>
      <c r="D410" t="s">
        <v>15</v>
      </c>
      <c r="E410" t="s">
        <v>34</v>
      </c>
      <c r="F410" t="s">
        <v>50</v>
      </c>
      <c r="G410" t="s">
        <v>149</v>
      </c>
      <c r="H410" t="s">
        <v>150</v>
      </c>
      <c r="I410" t="s">
        <v>37</v>
      </c>
      <c r="J410" t="s">
        <v>1250</v>
      </c>
      <c r="K410" t="s">
        <v>22</v>
      </c>
      <c r="L410" s="1">
        <v>46121</v>
      </c>
      <c r="M410" t="s">
        <v>1170</v>
      </c>
      <c r="N410">
        <f t="shared" si="12"/>
        <v>2026</v>
      </c>
      <c r="O410" t="str">
        <f t="shared" si="13"/>
        <v>Thursday</v>
      </c>
    </row>
    <row r="411" spans="1:15" x14ac:dyDescent="0.3">
      <c r="A411" t="s">
        <v>1251</v>
      </c>
      <c r="B411" t="s">
        <v>1252</v>
      </c>
      <c r="C411" s="1">
        <v>46121.875</v>
      </c>
      <c r="D411" t="s">
        <v>15</v>
      </c>
      <c r="E411" t="s">
        <v>34</v>
      </c>
      <c r="F411" t="s">
        <v>50</v>
      </c>
      <c r="G411" t="s">
        <v>96</v>
      </c>
      <c r="H411" t="s">
        <v>97</v>
      </c>
      <c r="I411" t="s">
        <v>58</v>
      </c>
      <c r="J411" t="s">
        <v>1253</v>
      </c>
      <c r="K411" t="s">
        <v>31</v>
      </c>
      <c r="L411" s="1">
        <v>46121</v>
      </c>
      <c r="M411" t="s">
        <v>1170</v>
      </c>
      <c r="N411">
        <f t="shared" si="12"/>
        <v>2026</v>
      </c>
      <c r="O411" t="str">
        <f t="shared" si="13"/>
        <v>Thursday</v>
      </c>
    </row>
    <row r="412" spans="1:15" x14ac:dyDescent="0.3">
      <c r="A412" t="s">
        <v>1254</v>
      </c>
      <c r="B412" t="s">
        <v>1255</v>
      </c>
      <c r="C412" s="1">
        <v>46122.333333333343</v>
      </c>
      <c r="D412" t="s">
        <v>15</v>
      </c>
      <c r="E412" t="s">
        <v>34</v>
      </c>
      <c r="F412" t="s">
        <v>17</v>
      </c>
      <c r="G412" t="s">
        <v>165</v>
      </c>
      <c r="H412" t="s">
        <v>166</v>
      </c>
      <c r="I412" t="s">
        <v>29</v>
      </c>
      <c r="J412" t="s">
        <v>1256</v>
      </c>
      <c r="K412" t="s">
        <v>74</v>
      </c>
      <c r="L412" s="1">
        <v>46122</v>
      </c>
      <c r="M412" t="s">
        <v>1170</v>
      </c>
      <c r="N412">
        <f t="shared" si="12"/>
        <v>2026</v>
      </c>
      <c r="O412" t="str">
        <f t="shared" si="13"/>
        <v>Friday</v>
      </c>
    </row>
    <row r="413" spans="1:15" x14ac:dyDescent="0.3">
      <c r="A413" t="s">
        <v>1257</v>
      </c>
      <c r="B413" t="s">
        <v>1258</v>
      </c>
      <c r="C413" s="1">
        <v>46122.333333333343</v>
      </c>
      <c r="D413" t="s">
        <v>15</v>
      </c>
      <c r="E413" t="s">
        <v>26</v>
      </c>
      <c r="F413" t="s">
        <v>50</v>
      </c>
      <c r="G413" t="s">
        <v>191</v>
      </c>
      <c r="H413" t="s">
        <v>192</v>
      </c>
      <c r="I413" t="s">
        <v>45</v>
      </c>
      <c r="J413" t="s">
        <v>1259</v>
      </c>
      <c r="K413" t="s">
        <v>22</v>
      </c>
      <c r="L413" s="1">
        <v>46122</v>
      </c>
      <c r="M413" t="s">
        <v>1170</v>
      </c>
      <c r="N413">
        <f t="shared" si="12"/>
        <v>2026</v>
      </c>
      <c r="O413" t="str">
        <f t="shared" si="13"/>
        <v>Friday</v>
      </c>
    </row>
    <row r="414" spans="1:15" x14ac:dyDescent="0.3">
      <c r="A414" t="s">
        <v>1260</v>
      </c>
      <c r="B414" t="s">
        <v>1261</v>
      </c>
      <c r="C414" s="1">
        <v>46122.541666666657</v>
      </c>
      <c r="D414" t="s">
        <v>15</v>
      </c>
      <c r="E414" t="s">
        <v>26</v>
      </c>
      <c r="F414" t="s">
        <v>50</v>
      </c>
      <c r="G414" t="s">
        <v>160</v>
      </c>
      <c r="H414" t="s">
        <v>161</v>
      </c>
      <c r="I414" t="s">
        <v>82</v>
      </c>
      <c r="J414" t="s">
        <v>1262</v>
      </c>
      <c r="K414" t="s">
        <v>47</v>
      </c>
      <c r="L414" s="1">
        <v>46122</v>
      </c>
      <c r="M414" t="s">
        <v>1170</v>
      </c>
      <c r="N414">
        <f t="shared" si="12"/>
        <v>2026</v>
      </c>
      <c r="O414" t="str">
        <f t="shared" si="13"/>
        <v>Friday</v>
      </c>
    </row>
    <row r="415" spans="1:15" x14ac:dyDescent="0.3">
      <c r="A415" t="s">
        <v>1263</v>
      </c>
      <c r="B415" t="s">
        <v>1264</v>
      </c>
      <c r="C415" s="1">
        <v>46123.5</v>
      </c>
      <c r="D415" t="s">
        <v>15</v>
      </c>
      <c r="E415" t="s">
        <v>26</v>
      </c>
      <c r="F415" t="s">
        <v>50</v>
      </c>
      <c r="G415" t="s">
        <v>250</v>
      </c>
      <c r="H415" t="s">
        <v>251</v>
      </c>
      <c r="I415" t="s">
        <v>108</v>
      </c>
      <c r="J415" t="s">
        <v>1265</v>
      </c>
      <c r="K415" t="s">
        <v>47</v>
      </c>
      <c r="L415" s="1">
        <v>46123</v>
      </c>
      <c r="M415" t="s">
        <v>1170</v>
      </c>
      <c r="N415">
        <f t="shared" si="12"/>
        <v>2026</v>
      </c>
      <c r="O415" t="str">
        <f t="shared" si="13"/>
        <v>Saturday</v>
      </c>
    </row>
    <row r="416" spans="1:15" x14ac:dyDescent="0.3">
      <c r="A416" t="s">
        <v>1266</v>
      </c>
      <c r="B416" t="s">
        <v>1267</v>
      </c>
      <c r="C416" s="1">
        <v>46123.666666666657</v>
      </c>
      <c r="D416" t="s">
        <v>15</v>
      </c>
      <c r="E416" t="s">
        <v>34</v>
      </c>
      <c r="F416" t="s">
        <v>50</v>
      </c>
      <c r="G416" t="s">
        <v>35</v>
      </c>
      <c r="H416" t="s">
        <v>36</v>
      </c>
      <c r="I416" t="s">
        <v>37</v>
      </c>
      <c r="J416" t="s">
        <v>1268</v>
      </c>
      <c r="K416" t="s">
        <v>74</v>
      </c>
      <c r="L416" s="1">
        <v>46123</v>
      </c>
      <c r="M416" t="s">
        <v>1170</v>
      </c>
      <c r="N416">
        <f t="shared" si="12"/>
        <v>2026</v>
      </c>
      <c r="O416" t="str">
        <f t="shared" si="13"/>
        <v>Saturday</v>
      </c>
    </row>
    <row r="417" spans="1:15" x14ac:dyDescent="0.3">
      <c r="A417" t="s">
        <v>1269</v>
      </c>
      <c r="B417" t="s">
        <v>1270</v>
      </c>
      <c r="C417" s="1">
        <v>46124.375</v>
      </c>
      <c r="D417" t="s">
        <v>15</v>
      </c>
      <c r="E417" t="s">
        <v>16</v>
      </c>
      <c r="F417" t="s">
        <v>17</v>
      </c>
      <c r="G417" t="s">
        <v>250</v>
      </c>
      <c r="H417" t="s">
        <v>251</v>
      </c>
      <c r="I417" t="s">
        <v>108</v>
      </c>
      <c r="J417" t="s">
        <v>1271</v>
      </c>
      <c r="K417" t="s">
        <v>74</v>
      </c>
      <c r="L417" s="1">
        <v>46124</v>
      </c>
      <c r="M417" t="s">
        <v>1170</v>
      </c>
      <c r="N417">
        <f t="shared" si="12"/>
        <v>2026</v>
      </c>
      <c r="O417" t="str">
        <f t="shared" si="13"/>
        <v>Sunday</v>
      </c>
    </row>
    <row r="418" spans="1:15" x14ac:dyDescent="0.3">
      <c r="A418" t="s">
        <v>1272</v>
      </c>
      <c r="B418" t="s">
        <v>1273</v>
      </c>
      <c r="C418" s="1">
        <v>46124.666666666657</v>
      </c>
      <c r="D418" t="s">
        <v>15</v>
      </c>
      <c r="E418" t="s">
        <v>41</v>
      </c>
      <c r="F418" t="s">
        <v>17</v>
      </c>
      <c r="G418" t="s">
        <v>80</v>
      </c>
      <c r="H418" t="s">
        <v>81</v>
      </c>
      <c r="I418" t="s">
        <v>82</v>
      </c>
      <c r="J418" t="s">
        <v>1274</v>
      </c>
      <c r="K418" t="s">
        <v>22</v>
      </c>
      <c r="L418" s="1">
        <v>46124</v>
      </c>
      <c r="M418" t="s">
        <v>1170</v>
      </c>
      <c r="N418">
        <f t="shared" si="12"/>
        <v>2026</v>
      </c>
      <c r="O418" t="str">
        <f t="shared" si="13"/>
        <v>Sunday</v>
      </c>
    </row>
    <row r="419" spans="1:15" x14ac:dyDescent="0.3">
      <c r="A419" t="s">
        <v>1275</v>
      </c>
      <c r="B419" t="s">
        <v>1276</v>
      </c>
      <c r="C419" s="1">
        <v>46124.75</v>
      </c>
      <c r="D419" t="s">
        <v>15</v>
      </c>
      <c r="E419" t="s">
        <v>63</v>
      </c>
      <c r="F419" t="s">
        <v>17</v>
      </c>
      <c r="G419" t="s">
        <v>56</v>
      </c>
      <c r="H419" t="s">
        <v>57</v>
      </c>
      <c r="I419" t="s">
        <v>58</v>
      </c>
      <c r="J419" t="s">
        <v>1277</v>
      </c>
      <c r="K419" t="s">
        <v>47</v>
      </c>
      <c r="L419" s="1">
        <v>46124</v>
      </c>
      <c r="M419" t="s">
        <v>1170</v>
      </c>
      <c r="N419">
        <f t="shared" si="12"/>
        <v>2026</v>
      </c>
      <c r="O419" t="str">
        <f t="shared" si="13"/>
        <v>Sunday</v>
      </c>
    </row>
    <row r="420" spans="1:15" x14ac:dyDescent="0.3">
      <c r="A420" t="s">
        <v>1278</v>
      </c>
      <c r="B420" t="s">
        <v>1279</v>
      </c>
      <c r="C420" s="1">
        <v>46124.75</v>
      </c>
      <c r="D420" t="s">
        <v>15</v>
      </c>
      <c r="E420" t="s">
        <v>16</v>
      </c>
      <c r="F420" t="s">
        <v>17</v>
      </c>
      <c r="G420" t="s">
        <v>101</v>
      </c>
      <c r="H420" t="s">
        <v>102</v>
      </c>
      <c r="I420" t="s">
        <v>45</v>
      </c>
      <c r="J420" t="s">
        <v>1280</v>
      </c>
      <c r="K420" t="s">
        <v>47</v>
      </c>
      <c r="L420" s="1">
        <v>46124</v>
      </c>
      <c r="M420" t="s">
        <v>1170</v>
      </c>
      <c r="N420">
        <f t="shared" si="12"/>
        <v>2026</v>
      </c>
      <c r="O420" t="str">
        <f t="shared" si="13"/>
        <v>Sunday</v>
      </c>
    </row>
    <row r="421" spans="1:15" x14ac:dyDescent="0.3">
      <c r="A421" t="s">
        <v>1281</v>
      </c>
      <c r="B421" t="s">
        <v>1282</v>
      </c>
      <c r="C421" s="1">
        <v>46125.75</v>
      </c>
      <c r="D421" t="s">
        <v>15</v>
      </c>
      <c r="E421" t="s">
        <v>41</v>
      </c>
      <c r="F421" t="s">
        <v>17</v>
      </c>
      <c r="G421" t="s">
        <v>18</v>
      </c>
      <c r="H421" t="s">
        <v>19</v>
      </c>
      <c r="I421" t="s">
        <v>20</v>
      </c>
      <c r="J421" t="s">
        <v>1283</v>
      </c>
      <c r="K421" t="s">
        <v>47</v>
      </c>
      <c r="L421" s="1">
        <v>46125</v>
      </c>
      <c r="M421" t="s">
        <v>1170</v>
      </c>
      <c r="N421">
        <f t="shared" si="12"/>
        <v>2026</v>
      </c>
      <c r="O421" t="str">
        <f t="shared" si="13"/>
        <v>Monday</v>
      </c>
    </row>
    <row r="422" spans="1:15" x14ac:dyDescent="0.3">
      <c r="A422" t="s">
        <v>1284</v>
      </c>
      <c r="B422" t="s">
        <v>580</v>
      </c>
      <c r="C422" s="1">
        <v>46126.375</v>
      </c>
      <c r="D422" t="s">
        <v>15</v>
      </c>
      <c r="E422" t="s">
        <v>63</v>
      </c>
      <c r="F422" t="s">
        <v>50</v>
      </c>
      <c r="G422" t="s">
        <v>106</v>
      </c>
      <c r="H422" t="s">
        <v>107</v>
      </c>
      <c r="I422" t="s">
        <v>108</v>
      </c>
      <c r="J422" t="s">
        <v>1285</v>
      </c>
      <c r="K422" t="s">
        <v>74</v>
      </c>
      <c r="L422" s="1">
        <v>46126</v>
      </c>
      <c r="M422" t="s">
        <v>1170</v>
      </c>
      <c r="N422">
        <f t="shared" si="12"/>
        <v>2026</v>
      </c>
      <c r="O422" t="str">
        <f t="shared" si="13"/>
        <v>Tuesday</v>
      </c>
    </row>
    <row r="423" spans="1:15" x14ac:dyDescent="0.3">
      <c r="A423" t="s">
        <v>1286</v>
      </c>
      <c r="B423" t="s">
        <v>1287</v>
      </c>
      <c r="C423" s="1">
        <v>46126.416666666657</v>
      </c>
      <c r="D423" t="s">
        <v>15</v>
      </c>
      <c r="E423" t="s">
        <v>41</v>
      </c>
      <c r="F423" t="s">
        <v>17</v>
      </c>
      <c r="G423" t="s">
        <v>27</v>
      </c>
      <c r="H423" t="s">
        <v>28</v>
      </c>
      <c r="I423" t="s">
        <v>29</v>
      </c>
      <c r="J423" t="s">
        <v>1288</v>
      </c>
      <c r="K423" t="s">
        <v>74</v>
      </c>
      <c r="L423" s="1">
        <v>46126</v>
      </c>
      <c r="M423" t="s">
        <v>1170</v>
      </c>
      <c r="N423">
        <f t="shared" si="12"/>
        <v>2026</v>
      </c>
      <c r="O423" t="str">
        <f t="shared" si="13"/>
        <v>Tuesday</v>
      </c>
    </row>
    <row r="424" spans="1:15" x14ac:dyDescent="0.3">
      <c r="A424" t="s">
        <v>1289</v>
      </c>
      <c r="B424" t="s">
        <v>1290</v>
      </c>
      <c r="C424" s="1">
        <v>46126.666666666657</v>
      </c>
      <c r="D424" t="s">
        <v>15</v>
      </c>
      <c r="E424" t="s">
        <v>63</v>
      </c>
      <c r="F424" t="s">
        <v>50</v>
      </c>
      <c r="G424" t="s">
        <v>160</v>
      </c>
      <c r="H424" t="s">
        <v>161</v>
      </c>
      <c r="I424" t="s">
        <v>82</v>
      </c>
      <c r="J424" t="s">
        <v>1291</v>
      </c>
      <c r="K424" t="s">
        <v>74</v>
      </c>
      <c r="L424" s="1">
        <v>46126</v>
      </c>
      <c r="M424" t="s">
        <v>1170</v>
      </c>
      <c r="N424">
        <f t="shared" si="12"/>
        <v>2026</v>
      </c>
      <c r="O424" t="str">
        <f t="shared" si="13"/>
        <v>Tuesday</v>
      </c>
    </row>
    <row r="425" spans="1:15" x14ac:dyDescent="0.3">
      <c r="A425" t="s">
        <v>1292</v>
      </c>
      <c r="B425" t="s">
        <v>1293</v>
      </c>
      <c r="C425" s="1">
        <v>46127.416666666657</v>
      </c>
      <c r="D425" t="s">
        <v>15</v>
      </c>
      <c r="E425" t="s">
        <v>41</v>
      </c>
      <c r="F425" t="s">
        <v>17</v>
      </c>
      <c r="G425" t="s">
        <v>250</v>
      </c>
      <c r="H425" t="s">
        <v>251</v>
      </c>
      <c r="I425" t="s">
        <v>108</v>
      </c>
      <c r="J425" t="s">
        <v>1294</v>
      </c>
      <c r="K425" t="s">
        <v>74</v>
      </c>
      <c r="L425" s="1">
        <v>46127</v>
      </c>
      <c r="M425" t="s">
        <v>1170</v>
      </c>
      <c r="N425">
        <f t="shared" si="12"/>
        <v>2026</v>
      </c>
      <c r="O425" t="str">
        <f t="shared" si="13"/>
        <v>Wednesday</v>
      </c>
    </row>
    <row r="426" spans="1:15" x14ac:dyDescent="0.3">
      <c r="A426" t="s">
        <v>1295</v>
      </c>
      <c r="B426" t="s">
        <v>1296</v>
      </c>
      <c r="C426" s="1">
        <v>46127.458333333343</v>
      </c>
      <c r="D426" t="s">
        <v>15</v>
      </c>
      <c r="E426" t="s">
        <v>16</v>
      </c>
      <c r="F426" t="s">
        <v>17</v>
      </c>
      <c r="G426" t="s">
        <v>27</v>
      </c>
      <c r="H426" t="s">
        <v>28</v>
      </c>
      <c r="I426" t="s">
        <v>29</v>
      </c>
      <c r="J426" t="s">
        <v>1297</v>
      </c>
      <c r="K426" t="s">
        <v>31</v>
      </c>
      <c r="L426" s="1">
        <v>46127</v>
      </c>
      <c r="M426" t="s">
        <v>1170</v>
      </c>
      <c r="N426">
        <f t="shared" si="12"/>
        <v>2026</v>
      </c>
      <c r="O426" t="str">
        <f t="shared" si="13"/>
        <v>Wednesday</v>
      </c>
    </row>
    <row r="427" spans="1:15" x14ac:dyDescent="0.3">
      <c r="A427" t="s">
        <v>1298</v>
      </c>
      <c r="B427" t="s">
        <v>1299</v>
      </c>
      <c r="C427" s="1">
        <v>46127.5</v>
      </c>
      <c r="D427" t="s">
        <v>15</v>
      </c>
      <c r="E427" t="s">
        <v>16</v>
      </c>
      <c r="F427" t="s">
        <v>50</v>
      </c>
      <c r="G427" t="s">
        <v>112</v>
      </c>
      <c r="H427" t="s">
        <v>113</v>
      </c>
      <c r="I427" t="s">
        <v>37</v>
      </c>
      <c r="J427" t="s">
        <v>1300</v>
      </c>
      <c r="K427" t="s">
        <v>74</v>
      </c>
      <c r="L427" s="1">
        <v>46127</v>
      </c>
      <c r="M427" t="s">
        <v>1170</v>
      </c>
      <c r="N427">
        <f t="shared" si="12"/>
        <v>2026</v>
      </c>
      <c r="O427" t="str">
        <f t="shared" si="13"/>
        <v>Wednesday</v>
      </c>
    </row>
    <row r="428" spans="1:15" x14ac:dyDescent="0.3">
      <c r="A428" t="s">
        <v>1301</v>
      </c>
      <c r="B428" t="s">
        <v>1302</v>
      </c>
      <c r="C428" s="1">
        <v>46127.541666666657</v>
      </c>
      <c r="D428" t="s">
        <v>15</v>
      </c>
      <c r="E428" t="s">
        <v>41</v>
      </c>
      <c r="F428" t="s">
        <v>50</v>
      </c>
      <c r="G428" t="s">
        <v>91</v>
      </c>
      <c r="H428" t="s">
        <v>92</v>
      </c>
      <c r="I428" t="s">
        <v>37</v>
      </c>
      <c r="J428" t="s">
        <v>1303</v>
      </c>
      <c r="K428" t="s">
        <v>60</v>
      </c>
      <c r="L428" s="1">
        <v>46127</v>
      </c>
      <c r="M428" t="s">
        <v>1170</v>
      </c>
      <c r="N428">
        <f t="shared" si="12"/>
        <v>2026</v>
      </c>
      <c r="O428" t="str">
        <f t="shared" si="13"/>
        <v>Wednesday</v>
      </c>
    </row>
    <row r="429" spans="1:15" x14ac:dyDescent="0.3">
      <c r="A429" t="s">
        <v>1304</v>
      </c>
      <c r="B429" t="s">
        <v>1305</v>
      </c>
      <c r="C429" s="1">
        <v>46127.833333333343</v>
      </c>
      <c r="D429" t="s">
        <v>15</v>
      </c>
      <c r="E429" t="s">
        <v>63</v>
      </c>
      <c r="F429" t="s">
        <v>50</v>
      </c>
      <c r="G429" t="s">
        <v>126</v>
      </c>
      <c r="H429" t="s">
        <v>127</v>
      </c>
      <c r="I429" t="s">
        <v>45</v>
      </c>
      <c r="J429" t="s">
        <v>1306</v>
      </c>
      <c r="K429" t="s">
        <v>60</v>
      </c>
      <c r="L429" s="1">
        <v>46127</v>
      </c>
      <c r="M429" t="s">
        <v>1170</v>
      </c>
      <c r="N429">
        <f t="shared" si="12"/>
        <v>2026</v>
      </c>
      <c r="O429" t="str">
        <f t="shared" si="13"/>
        <v>Wednesday</v>
      </c>
    </row>
    <row r="430" spans="1:15" x14ac:dyDescent="0.3">
      <c r="A430" t="s">
        <v>1307</v>
      </c>
      <c r="B430" t="s">
        <v>1308</v>
      </c>
      <c r="C430" s="1">
        <v>46128.625</v>
      </c>
      <c r="D430" t="s">
        <v>15</v>
      </c>
      <c r="E430" t="s">
        <v>34</v>
      </c>
      <c r="F430" t="s">
        <v>17</v>
      </c>
      <c r="G430" t="s">
        <v>51</v>
      </c>
      <c r="H430" t="s">
        <v>52</v>
      </c>
      <c r="I430" t="s">
        <v>20</v>
      </c>
      <c r="J430" t="s">
        <v>1309</v>
      </c>
      <c r="K430" t="s">
        <v>22</v>
      </c>
      <c r="L430" s="1">
        <v>46128</v>
      </c>
      <c r="M430" t="s">
        <v>1170</v>
      </c>
      <c r="N430">
        <f t="shared" si="12"/>
        <v>2026</v>
      </c>
      <c r="O430" t="str">
        <f t="shared" si="13"/>
        <v>Thursday</v>
      </c>
    </row>
    <row r="431" spans="1:15" x14ac:dyDescent="0.3">
      <c r="A431" t="s">
        <v>1310</v>
      </c>
      <c r="B431" t="s">
        <v>1175</v>
      </c>
      <c r="C431" s="1">
        <v>46129.333333333343</v>
      </c>
      <c r="D431" t="s">
        <v>15</v>
      </c>
      <c r="E431" t="s">
        <v>16</v>
      </c>
      <c r="F431" t="s">
        <v>17</v>
      </c>
      <c r="G431" t="s">
        <v>106</v>
      </c>
      <c r="H431" t="s">
        <v>107</v>
      </c>
      <c r="I431" t="s">
        <v>108</v>
      </c>
      <c r="J431" t="s">
        <v>1311</v>
      </c>
      <c r="K431" t="s">
        <v>22</v>
      </c>
      <c r="L431" s="1">
        <v>46129</v>
      </c>
      <c r="M431" t="s">
        <v>1170</v>
      </c>
      <c r="N431">
        <f t="shared" si="12"/>
        <v>2026</v>
      </c>
      <c r="O431" t="str">
        <f t="shared" si="13"/>
        <v>Friday</v>
      </c>
    </row>
    <row r="432" spans="1:15" x14ac:dyDescent="0.3">
      <c r="A432" t="s">
        <v>1312</v>
      </c>
      <c r="B432" t="s">
        <v>1313</v>
      </c>
      <c r="C432" s="1">
        <v>46129.666666666657</v>
      </c>
      <c r="D432" t="s">
        <v>15</v>
      </c>
      <c r="E432" t="s">
        <v>16</v>
      </c>
      <c r="F432" t="s">
        <v>50</v>
      </c>
      <c r="G432" t="s">
        <v>149</v>
      </c>
      <c r="H432" t="s">
        <v>150</v>
      </c>
      <c r="I432" t="s">
        <v>37</v>
      </c>
      <c r="J432" t="s">
        <v>1314</v>
      </c>
      <c r="K432" t="s">
        <v>74</v>
      </c>
      <c r="L432" s="1">
        <v>46129</v>
      </c>
      <c r="M432" t="s">
        <v>1170</v>
      </c>
      <c r="N432">
        <f t="shared" si="12"/>
        <v>2026</v>
      </c>
      <c r="O432" t="str">
        <f t="shared" si="13"/>
        <v>Friday</v>
      </c>
    </row>
    <row r="433" spans="1:15" x14ac:dyDescent="0.3">
      <c r="A433" t="s">
        <v>1315</v>
      </c>
      <c r="B433" t="s">
        <v>782</v>
      </c>
      <c r="C433" s="1">
        <v>46130.333333333343</v>
      </c>
      <c r="D433" t="s">
        <v>15</v>
      </c>
      <c r="E433" t="s">
        <v>16</v>
      </c>
      <c r="F433" t="s">
        <v>17</v>
      </c>
      <c r="G433" t="s">
        <v>106</v>
      </c>
      <c r="H433" t="s">
        <v>107</v>
      </c>
      <c r="I433" t="s">
        <v>108</v>
      </c>
      <c r="J433" t="s">
        <v>1316</v>
      </c>
      <c r="K433" t="s">
        <v>22</v>
      </c>
      <c r="L433" s="1">
        <v>46130</v>
      </c>
      <c r="M433" t="s">
        <v>1170</v>
      </c>
      <c r="N433">
        <f t="shared" si="12"/>
        <v>2026</v>
      </c>
      <c r="O433" t="str">
        <f t="shared" si="13"/>
        <v>Saturday</v>
      </c>
    </row>
    <row r="434" spans="1:15" x14ac:dyDescent="0.3">
      <c r="A434" t="s">
        <v>1317</v>
      </c>
      <c r="B434" t="s">
        <v>1318</v>
      </c>
      <c r="C434" s="1">
        <v>46130.375</v>
      </c>
      <c r="D434" t="s">
        <v>15</v>
      </c>
      <c r="E434" t="s">
        <v>16</v>
      </c>
      <c r="F434" t="s">
        <v>50</v>
      </c>
      <c r="G434" t="s">
        <v>250</v>
      </c>
      <c r="H434" t="s">
        <v>251</v>
      </c>
      <c r="I434" t="s">
        <v>108</v>
      </c>
      <c r="J434" t="s">
        <v>1319</v>
      </c>
      <c r="K434" t="s">
        <v>22</v>
      </c>
      <c r="L434" s="1">
        <v>46130</v>
      </c>
      <c r="M434" t="s">
        <v>1170</v>
      </c>
      <c r="N434">
        <f t="shared" si="12"/>
        <v>2026</v>
      </c>
      <c r="O434" t="str">
        <f t="shared" si="13"/>
        <v>Saturday</v>
      </c>
    </row>
    <row r="435" spans="1:15" x14ac:dyDescent="0.3">
      <c r="A435" t="s">
        <v>1320</v>
      </c>
      <c r="B435" t="s">
        <v>1321</v>
      </c>
      <c r="C435" s="1">
        <v>46130.375</v>
      </c>
      <c r="D435" t="s">
        <v>15</v>
      </c>
      <c r="E435" t="s">
        <v>16</v>
      </c>
      <c r="F435" t="s">
        <v>17</v>
      </c>
      <c r="G435" t="s">
        <v>96</v>
      </c>
      <c r="H435" t="s">
        <v>97</v>
      </c>
      <c r="I435" t="s">
        <v>58</v>
      </c>
      <c r="J435" t="s">
        <v>1322</v>
      </c>
      <c r="K435" t="s">
        <v>60</v>
      </c>
      <c r="L435" s="1">
        <v>46130</v>
      </c>
      <c r="M435" t="s">
        <v>1170</v>
      </c>
      <c r="N435">
        <f t="shared" si="12"/>
        <v>2026</v>
      </c>
      <c r="O435" t="str">
        <f t="shared" si="13"/>
        <v>Saturday</v>
      </c>
    </row>
    <row r="436" spans="1:15" x14ac:dyDescent="0.3">
      <c r="A436" t="s">
        <v>1323</v>
      </c>
      <c r="B436" t="s">
        <v>1324</v>
      </c>
      <c r="C436" s="1">
        <v>46130.375</v>
      </c>
      <c r="D436" t="s">
        <v>15</v>
      </c>
      <c r="E436" t="s">
        <v>26</v>
      </c>
      <c r="F436" t="s">
        <v>17</v>
      </c>
      <c r="G436" t="s">
        <v>126</v>
      </c>
      <c r="H436" t="s">
        <v>127</v>
      </c>
      <c r="I436" t="s">
        <v>45</v>
      </c>
      <c r="J436" t="s">
        <v>1325</v>
      </c>
      <c r="K436" t="s">
        <v>22</v>
      </c>
      <c r="L436" s="1">
        <v>46130</v>
      </c>
      <c r="M436" t="s">
        <v>1170</v>
      </c>
      <c r="N436">
        <f t="shared" si="12"/>
        <v>2026</v>
      </c>
      <c r="O436" t="str">
        <f t="shared" si="13"/>
        <v>Saturday</v>
      </c>
    </row>
    <row r="437" spans="1:15" x14ac:dyDescent="0.3">
      <c r="A437" t="s">
        <v>1326</v>
      </c>
      <c r="B437" t="s">
        <v>1327</v>
      </c>
      <c r="C437" s="1">
        <v>46130.5</v>
      </c>
      <c r="D437" t="s">
        <v>15</v>
      </c>
      <c r="E437" t="s">
        <v>34</v>
      </c>
      <c r="F437" t="s">
        <v>17</v>
      </c>
      <c r="G437" t="s">
        <v>112</v>
      </c>
      <c r="H437" t="s">
        <v>113</v>
      </c>
      <c r="I437" t="s">
        <v>37</v>
      </c>
      <c r="J437" t="s">
        <v>1328</v>
      </c>
      <c r="K437" t="s">
        <v>74</v>
      </c>
      <c r="L437" s="1">
        <v>46130</v>
      </c>
      <c r="M437" t="s">
        <v>1170</v>
      </c>
      <c r="N437">
        <f t="shared" si="12"/>
        <v>2026</v>
      </c>
      <c r="O437" t="str">
        <f t="shared" si="13"/>
        <v>Saturday</v>
      </c>
    </row>
    <row r="438" spans="1:15" x14ac:dyDescent="0.3">
      <c r="A438" t="s">
        <v>1329</v>
      </c>
      <c r="B438" t="s">
        <v>266</v>
      </c>
      <c r="C438" s="1">
        <v>46130.5</v>
      </c>
      <c r="D438" t="s">
        <v>15</v>
      </c>
      <c r="E438" t="s">
        <v>34</v>
      </c>
      <c r="F438" t="s">
        <v>17</v>
      </c>
      <c r="G438" t="s">
        <v>80</v>
      </c>
      <c r="H438" t="s">
        <v>81</v>
      </c>
      <c r="I438" t="s">
        <v>82</v>
      </c>
      <c r="J438" t="s">
        <v>1330</v>
      </c>
      <c r="K438" t="s">
        <v>47</v>
      </c>
      <c r="L438" s="1">
        <v>46130</v>
      </c>
      <c r="M438" t="s">
        <v>1170</v>
      </c>
      <c r="N438">
        <f t="shared" si="12"/>
        <v>2026</v>
      </c>
      <c r="O438" t="str">
        <f t="shared" si="13"/>
        <v>Saturday</v>
      </c>
    </row>
    <row r="439" spans="1:15" x14ac:dyDescent="0.3">
      <c r="A439" t="s">
        <v>1331</v>
      </c>
      <c r="B439" t="s">
        <v>1332</v>
      </c>
      <c r="C439" s="1">
        <v>46130.666666666657</v>
      </c>
      <c r="D439" t="s">
        <v>15</v>
      </c>
      <c r="E439" t="s">
        <v>63</v>
      </c>
      <c r="F439" t="s">
        <v>50</v>
      </c>
      <c r="G439" t="s">
        <v>191</v>
      </c>
      <c r="H439" t="s">
        <v>192</v>
      </c>
      <c r="I439" t="s">
        <v>45</v>
      </c>
      <c r="J439" t="s">
        <v>1333</v>
      </c>
      <c r="K439" t="s">
        <v>74</v>
      </c>
      <c r="L439" s="1">
        <v>46130</v>
      </c>
      <c r="M439" t="s">
        <v>1170</v>
      </c>
      <c r="N439">
        <f t="shared" si="12"/>
        <v>2026</v>
      </c>
      <c r="O439" t="str">
        <f t="shared" si="13"/>
        <v>Saturday</v>
      </c>
    </row>
    <row r="440" spans="1:15" x14ac:dyDescent="0.3">
      <c r="A440" t="s">
        <v>1334</v>
      </c>
      <c r="B440" t="s">
        <v>1335</v>
      </c>
      <c r="C440" s="1">
        <v>46130.666666666657</v>
      </c>
      <c r="D440" t="s">
        <v>15</v>
      </c>
      <c r="E440" t="s">
        <v>16</v>
      </c>
      <c r="F440" t="s">
        <v>50</v>
      </c>
      <c r="G440" t="s">
        <v>191</v>
      </c>
      <c r="H440" t="s">
        <v>192</v>
      </c>
      <c r="I440" t="s">
        <v>45</v>
      </c>
      <c r="J440" t="s">
        <v>1336</v>
      </c>
      <c r="K440" t="s">
        <v>74</v>
      </c>
      <c r="L440" s="1">
        <v>46130</v>
      </c>
      <c r="M440" t="s">
        <v>1170</v>
      </c>
      <c r="N440">
        <f t="shared" si="12"/>
        <v>2026</v>
      </c>
      <c r="O440" t="str">
        <f t="shared" si="13"/>
        <v>Saturday</v>
      </c>
    </row>
    <row r="441" spans="1:15" x14ac:dyDescent="0.3">
      <c r="A441" t="s">
        <v>1337</v>
      </c>
      <c r="B441" t="s">
        <v>368</v>
      </c>
      <c r="C441" s="1">
        <v>46131.791666666657</v>
      </c>
      <c r="D441" t="s">
        <v>15</v>
      </c>
      <c r="E441" t="s">
        <v>16</v>
      </c>
      <c r="F441" t="s">
        <v>17</v>
      </c>
      <c r="G441" t="s">
        <v>56</v>
      </c>
      <c r="H441" t="s">
        <v>57</v>
      </c>
      <c r="I441" t="s">
        <v>58</v>
      </c>
      <c r="J441" t="s">
        <v>1338</v>
      </c>
      <c r="K441" t="s">
        <v>22</v>
      </c>
      <c r="L441" s="1">
        <v>46131</v>
      </c>
      <c r="M441" t="s">
        <v>1170</v>
      </c>
      <c r="N441">
        <f t="shared" si="12"/>
        <v>2026</v>
      </c>
      <c r="O441" t="str">
        <f t="shared" si="13"/>
        <v>Sunday</v>
      </c>
    </row>
    <row r="442" spans="1:15" x14ac:dyDescent="0.3">
      <c r="A442" t="s">
        <v>1339</v>
      </c>
      <c r="B442" t="s">
        <v>1340</v>
      </c>
      <c r="C442" s="1">
        <v>46131.875</v>
      </c>
      <c r="D442" t="s">
        <v>15</v>
      </c>
      <c r="E442" t="s">
        <v>41</v>
      </c>
      <c r="F442" t="s">
        <v>42</v>
      </c>
      <c r="G442" t="s">
        <v>355</v>
      </c>
      <c r="H442" t="s">
        <v>356</v>
      </c>
      <c r="I442" t="s">
        <v>82</v>
      </c>
      <c r="J442" t="s">
        <v>1341</v>
      </c>
      <c r="K442" t="s">
        <v>22</v>
      </c>
      <c r="L442" s="1">
        <v>46131</v>
      </c>
      <c r="M442" t="s">
        <v>1170</v>
      </c>
      <c r="N442">
        <f t="shared" si="12"/>
        <v>2026</v>
      </c>
      <c r="O442" t="str">
        <f t="shared" si="13"/>
        <v>Sunday</v>
      </c>
    </row>
    <row r="443" spans="1:15" x14ac:dyDescent="0.3">
      <c r="A443" t="s">
        <v>1342</v>
      </c>
      <c r="B443" t="s">
        <v>1343</v>
      </c>
      <c r="C443" s="1">
        <v>46131.875</v>
      </c>
      <c r="D443" t="s">
        <v>15</v>
      </c>
      <c r="E443" t="s">
        <v>26</v>
      </c>
      <c r="F443" t="s">
        <v>50</v>
      </c>
      <c r="G443" t="s">
        <v>160</v>
      </c>
      <c r="H443" t="s">
        <v>161</v>
      </c>
      <c r="I443" t="s">
        <v>82</v>
      </c>
      <c r="J443" t="s">
        <v>1344</v>
      </c>
      <c r="K443" t="s">
        <v>31</v>
      </c>
      <c r="L443" s="1">
        <v>46131</v>
      </c>
      <c r="M443" t="s">
        <v>1170</v>
      </c>
      <c r="N443">
        <f t="shared" si="12"/>
        <v>2026</v>
      </c>
      <c r="O443" t="str">
        <f t="shared" si="13"/>
        <v>Sunday</v>
      </c>
    </row>
    <row r="444" spans="1:15" x14ac:dyDescent="0.3">
      <c r="A444" t="s">
        <v>1345</v>
      </c>
      <c r="B444" t="s">
        <v>1346</v>
      </c>
      <c r="C444" s="1">
        <v>46132.416666666657</v>
      </c>
      <c r="D444" t="s">
        <v>15</v>
      </c>
      <c r="E444" t="s">
        <v>26</v>
      </c>
      <c r="F444" t="s">
        <v>42</v>
      </c>
      <c r="G444" t="s">
        <v>35</v>
      </c>
      <c r="H444" t="s">
        <v>36</v>
      </c>
      <c r="I444" t="s">
        <v>37</v>
      </c>
      <c r="J444" t="s">
        <v>1347</v>
      </c>
      <c r="K444" t="s">
        <v>31</v>
      </c>
      <c r="L444" s="1">
        <v>46132</v>
      </c>
      <c r="M444" t="s">
        <v>1170</v>
      </c>
      <c r="N444">
        <f t="shared" si="12"/>
        <v>2026</v>
      </c>
      <c r="O444" t="str">
        <f t="shared" si="13"/>
        <v>Monday</v>
      </c>
    </row>
    <row r="445" spans="1:15" x14ac:dyDescent="0.3">
      <c r="A445" t="s">
        <v>1348</v>
      </c>
      <c r="B445" t="s">
        <v>1349</v>
      </c>
      <c r="C445" s="1">
        <v>46132.416666666657</v>
      </c>
      <c r="D445" t="s">
        <v>15</v>
      </c>
      <c r="E445" t="s">
        <v>16</v>
      </c>
      <c r="F445" t="s">
        <v>17</v>
      </c>
      <c r="G445" t="s">
        <v>250</v>
      </c>
      <c r="H445" t="s">
        <v>251</v>
      </c>
      <c r="I445" t="s">
        <v>108</v>
      </c>
      <c r="J445" t="s">
        <v>1350</v>
      </c>
      <c r="K445" t="s">
        <v>60</v>
      </c>
      <c r="L445" s="1">
        <v>46132</v>
      </c>
      <c r="M445" t="s">
        <v>1170</v>
      </c>
      <c r="N445">
        <f t="shared" si="12"/>
        <v>2026</v>
      </c>
      <c r="O445" t="str">
        <f t="shared" si="13"/>
        <v>Monday</v>
      </c>
    </row>
    <row r="446" spans="1:15" x14ac:dyDescent="0.3">
      <c r="A446" t="s">
        <v>1351</v>
      </c>
      <c r="B446" t="s">
        <v>1352</v>
      </c>
      <c r="C446" s="1">
        <v>46133.375</v>
      </c>
      <c r="D446" t="s">
        <v>15</v>
      </c>
      <c r="E446" t="s">
        <v>26</v>
      </c>
      <c r="F446" t="s">
        <v>17</v>
      </c>
      <c r="G446" t="s">
        <v>250</v>
      </c>
      <c r="H446" t="s">
        <v>251</v>
      </c>
      <c r="I446" t="s">
        <v>108</v>
      </c>
      <c r="J446" t="s">
        <v>1353</v>
      </c>
      <c r="K446" t="s">
        <v>47</v>
      </c>
      <c r="L446" s="1">
        <v>46133</v>
      </c>
      <c r="M446" t="s">
        <v>1170</v>
      </c>
      <c r="N446">
        <f t="shared" si="12"/>
        <v>2026</v>
      </c>
      <c r="O446" t="str">
        <f t="shared" si="13"/>
        <v>Tuesday</v>
      </c>
    </row>
    <row r="447" spans="1:15" x14ac:dyDescent="0.3">
      <c r="A447" t="s">
        <v>1354</v>
      </c>
      <c r="B447" t="s">
        <v>207</v>
      </c>
      <c r="C447" s="1">
        <v>46133.458333333343</v>
      </c>
      <c r="D447" t="s">
        <v>15</v>
      </c>
      <c r="E447" t="s">
        <v>16</v>
      </c>
      <c r="F447" t="s">
        <v>17</v>
      </c>
      <c r="G447" t="s">
        <v>250</v>
      </c>
      <c r="H447" t="s">
        <v>251</v>
      </c>
      <c r="I447" t="s">
        <v>108</v>
      </c>
      <c r="J447" t="s">
        <v>1355</v>
      </c>
      <c r="K447" t="s">
        <v>74</v>
      </c>
      <c r="L447" s="1">
        <v>46133</v>
      </c>
      <c r="M447" t="s">
        <v>1170</v>
      </c>
      <c r="N447">
        <f t="shared" si="12"/>
        <v>2026</v>
      </c>
      <c r="O447" t="str">
        <f t="shared" si="13"/>
        <v>Tuesday</v>
      </c>
    </row>
    <row r="448" spans="1:15" x14ac:dyDescent="0.3">
      <c r="A448" t="s">
        <v>1356</v>
      </c>
      <c r="B448" t="s">
        <v>1357</v>
      </c>
      <c r="C448" s="1">
        <v>46133.5</v>
      </c>
      <c r="D448" t="s">
        <v>15</v>
      </c>
      <c r="E448" t="s">
        <v>34</v>
      </c>
      <c r="F448" t="s">
        <v>50</v>
      </c>
      <c r="G448" t="s">
        <v>165</v>
      </c>
      <c r="H448" t="s">
        <v>166</v>
      </c>
      <c r="I448" t="s">
        <v>29</v>
      </c>
      <c r="J448" t="s">
        <v>1358</v>
      </c>
      <c r="K448" t="s">
        <v>31</v>
      </c>
      <c r="L448" s="1">
        <v>46133</v>
      </c>
      <c r="M448" t="s">
        <v>1170</v>
      </c>
      <c r="N448">
        <f t="shared" si="12"/>
        <v>2026</v>
      </c>
      <c r="O448" t="str">
        <f t="shared" si="13"/>
        <v>Tuesday</v>
      </c>
    </row>
    <row r="449" spans="1:15" x14ac:dyDescent="0.3">
      <c r="A449" t="s">
        <v>1359</v>
      </c>
      <c r="B449" t="s">
        <v>1360</v>
      </c>
      <c r="C449" s="1">
        <v>46133.541666666657</v>
      </c>
      <c r="D449" t="s">
        <v>15</v>
      </c>
      <c r="E449" t="s">
        <v>16</v>
      </c>
      <c r="F449" t="s">
        <v>50</v>
      </c>
      <c r="G449" t="s">
        <v>18</v>
      </c>
      <c r="H449" t="s">
        <v>19</v>
      </c>
      <c r="I449" t="s">
        <v>20</v>
      </c>
      <c r="J449" t="s">
        <v>1361</v>
      </c>
      <c r="K449" t="s">
        <v>22</v>
      </c>
      <c r="L449" s="1">
        <v>46133</v>
      </c>
      <c r="M449" t="s">
        <v>1170</v>
      </c>
      <c r="N449">
        <f t="shared" si="12"/>
        <v>2026</v>
      </c>
      <c r="O449" t="str">
        <f t="shared" si="13"/>
        <v>Tuesday</v>
      </c>
    </row>
    <row r="450" spans="1:15" x14ac:dyDescent="0.3">
      <c r="A450" t="s">
        <v>1362</v>
      </c>
      <c r="B450" t="s">
        <v>343</v>
      </c>
      <c r="C450" s="1">
        <v>46133.583333333343</v>
      </c>
      <c r="D450" t="s">
        <v>15</v>
      </c>
      <c r="E450" t="s">
        <v>63</v>
      </c>
      <c r="F450" t="s">
        <v>50</v>
      </c>
      <c r="G450" t="s">
        <v>91</v>
      </c>
      <c r="H450" t="s">
        <v>92</v>
      </c>
      <c r="I450" t="s">
        <v>37</v>
      </c>
      <c r="J450" t="s">
        <v>1363</v>
      </c>
      <c r="K450" t="s">
        <v>60</v>
      </c>
      <c r="L450" s="1">
        <v>46133</v>
      </c>
      <c r="M450" t="s">
        <v>1170</v>
      </c>
      <c r="N450">
        <f t="shared" si="12"/>
        <v>2026</v>
      </c>
      <c r="O450" t="str">
        <f t="shared" si="13"/>
        <v>Tuesday</v>
      </c>
    </row>
    <row r="451" spans="1:15" x14ac:dyDescent="0.3">
      <c r="A451" t="s">
        <v>1364</v>
      </c>
      <c r="B451" t="s">
        <v>1042</v>
      </c>
      <c r="C451" s="1">
        <v>46133.625</v>
      </c>
      <c r="D451" t="s">
        <v>15</v>
      </c>
      <c r="E451" t="s">
        <v>63</v>
      </c>
      <c r="F451" t="s">
        <v>50</v>
      </c>
      <c r="G451" t="s">
        <v>51</v>
      </c>
      <c r="H451" t="s">
        <v>52</v>
      </c>
      <c r="I451" t="s">
        <v>20</v>
      </c>
      <c r="J451" t="s">
        <v>1365</v>
      </c>
      <c r="K451" t="s">
        <v>31</v>
      </c>
      <c r="L451" s="1">
        <v>46133</v>
      </c>
      <c r="M451" t="s">
        <v>1170</v>
      </c>
      <c r="N451">
        <f t="shared" ref="N451:N514" si="14">YEAR(C451)</f>
        <v>2026</v>
      </c>
      <c r="O451" t="str">
        <f t="shared" ref="O451:O514" si="15">TEXT(C451,"dddd")</f>
        <v>Tuesday</v>
      </c>
    </row>
    <row r="452" spans="1:15" x14ac:dyDescent="0.3">
      <c r="A452" t="s">
        <v>1366</v>
      </c>
      <c r="B452" t="s">
        <v>1343</v>
      </c>
      <c r="C452" s="1">
        <v>46133.875</v>
      </c>
      <c r="D452" t="s">
        <v>15</v>
      </c>
      <c r="E452" t="s">
        <v>34</v>
      </c>
      <c r="F452" t="s">
        <v>42</v>
      </c>
      <c r="G452" t="s">
        <v>149</v>
      </c>
      <c r="H452" t="s">
        <v>150</v>
      </c>
      <c r="I452" t="s">
        <v>37</v>
      </c>
      <c r="J452" t="s">
        <v>1367</v>
      </c>
      <c r="K452" t="s">
        <v>22</v>
      </c>
      <c r="L452" s="1">
        <v>46133</v>
      </c>
      <c r="M452" t="s">
        <v>1170</v>
      </c>
      <c r="N452">
        <f t="shared" si="14"/>
        <v>2026</v>
      </c>
      <c r="O452" t="str">
        <f t="shared" si="15"/>
        <v>Tuesday</v>
      </c>
    </row>
    <row r="453" spans="1:15" x14ac:dyDescent="0.3">
      <c r="A453" t="s">
        <v>1368</v>
      </c>
      <c r="B453" t="s">
        <v>1369</v>
      </c>
      <c r="C453" s="1">
        <v>46134.416666666657</v>
      </c>
      <c r="D453" t="s">
        <v>15</v>
      </c>
      <c r="E453" t="s">
        <v>41</v>
      </c>
      <c r="F453" t="s">
        <v>17</v>
      </c>
      <c r="G453" t="s">
        <v>165</v>
      </c>
      <c r="H453" t="s">
        <v>166</v>
      </c>
      <c r="I453" t="s">
        <v>29</v>
      </c>
      <c r="J453" t="s">
        <v>1370</v>
      </c>
      <c r="K453" t="s">
        <v>60</v>
      </c>
      <c r="L453" s="1">
        <v>46134</v>
      </c>
      <c r="M453" t="s">
        <v>1170</v>
      </c>
      <c r="N453">
        <f t="shared" si="14"/>
        <v>2026</v>
      </c>
      <c r="O453" t="str">
        <f t="shared" si="15"/>
        <v>Wednesday</v>
      </c>
    </row>
    <row r="454" spans="1:15" x14ac:dyDescent="0.3">
      <c r="A454" t="s">
        <v>1371</v>
      </c>
      <c r="B454" t="s">
        <v>187</v>
      </c>
      <c r="C454" s="1">
        <v>46134.5</v>
      </c>
      <c r="D454" t="s">
        <v>15</v>
      </c>
      <c r="E454" t="s">
        <v>41</v>
      </c>
      <c r="F454" t="s">
        <v>50</v>
      </c>
      <c r="G454" t="s">
        <v>355</v>
      </c>
      <c r="H454" t="s">
        <v>356</v>
      </c>
      <c r="I454" t="s">
        <v>82</v>
      </c>
      <c r="J454" t="s">
        <v>1372</v>
      </c>
      <c r="K454" t="s">
        <v>31</v>
      </c>
      <c r="L454" s="1">
        <v>46134</v>
      </c>
      <c r="M454" t="s">
        <v>1170</v>
      </c>
      <c r="N454">
        <f t="shared" si="14"/>
        <v>2026</v>
      </c>
      <c r="O454" t="str">
        <f t="shared" si="15"/>
        <v>Wednesday</v>
      </c>
    </row>
    <row r="455" spans="1:15" x14ac:dyDescent="0.3">
      <c r="A455" t="s">
        <v>1373</v>
      </c>
      <c r="B455" t="s">
        <v>1374</v>
      </c>
      <c r="C455" s="1">
        <v>46134.5</v>
      </c>
      <c r="D455" t="s">
        <v>15</v>
      </c>
      <c r="E455" t="s">
        <v>16</v>
      </c>
      <c r="F455" t="s">
        <v>17</v>
      </c>
      <c r="G455" t="s">
        <v>101</v>
      </c>
      <c r="H455" t="s">
        <v>102</v>
      </c>
      <c r="I455" t="s">
        <v>45</v>
      </c>
      <c r="J455" t="s">
        <v>1375</v>
      </c>
      <c r="K455" t="s">
        <v>31</v>
      </c>
      <c r="L455" s="1">
        <v>46134</v>
      </c>
      <c r="M455" t="s">
        <v>1170</v>
      </c>
      <c r="N455">
        <f t="shared" si="14"/>
        <v>2026</v>
      </c>
      <c r="O455" t="str">
        <f t="shared" si="15"/>
        <v>Wednesday</v>
      </c>
    </row>
    <row r="456" spans="1:15" x14ac:dyDescent="0.3">
      <c r="A456" t="s">
        <v>1376</v>
      </c>
      <c r="B456" t="s">
        <v>1377</v>
      </c>
      <c r="C456" s="1">
        <v>46134.583333333343</v>
      </c>
      <c r="D456" t="s">
        <v>15</v>
      </c>
      <c r="E456" t="s">
        <v>41</v>
      </c>
      <c r="F456" t="s">
        <v>17</v>
      </c>
      <c r="G456" t="s">
        <v>126</v>
      </c>
      <c r="H456" t="s">
        <v>127</v>
      </c>
      <c r="I456" t="s">
        <v>45</v>
      </c>
      <c r="J456" t="s">
        <v>1378</v>
      </c>
      <c r="K456" t="s">
        <v>74</v>
      </c>
      <c r="L456" s="1">
        <v>46134</v>
      </c>
      <c r="M456" t="s">
        <v>1170</v>
      </c>
      <c r="N456">
        <f t="shared" si="14"/>
        <v>2026</v>
      </c>
      <c r="O456" t="str">
        <f t="shared" si="15"/>
        <v>Wednesday</v>
      </c>
    </row>
    <row r="457" spans="1:15" x14ac:dyDescent="0.3">
      <c r="A457" t="s">
        <v>1379</v>
      </c>
      <c r="B457" t="s">
        <v>1290</v>
      </c>
      <c r="C457" s="1">
        <v>46134.791666666657</v>
      </c>
      <c r="D457" t="s">
        <v>15</v>
      </c>
      <c r="E457" t="s">
        <v>16</v>
      </c>
      <c r="F457" t="s">
        <v>17</v>
      </c>
      <c r="G457" t="s">
        <v>355</v>
      </c>
      <c r="H457" t="s">
        <v>356</v>
      </c>
      <c r="I457" t="s">
        <v>82</v>
      </c>
      <c r="J457" t="s">
        <v>1380</v>
      </c>
      <c r="K457" t="s">
        <v>74</v>
      </c>
      <c r="L457" s="1">
        <v>46134</v>
      </c>
      <c r="M457" t="s">
        <v>1170</v>
      </c>
      <c r="N457">
        <f t="shared" si="14"/>
        <v>2026</v>
      </c>
      <c r="O457" t="str">
        <f t="shared" si="15"/>
        <v>Wednesday</v>
      </c>
    </row>
    <row r="458" spans="1:15" x14ac:dyDescent="0.3">
      <c r="A458" t="s">
        <v>1381</v>
      </c>
      <c r="B458" t="s">
        <v>1382</v>
      </c>
      <c r="C458" s="1">
        <v>46134.875</v>
      </c>
      <c r="D458" t="s">
        <v>15</v>
      </c>
      <c r="E458" t="s">
        <v>16</v>
      </c>
      <c r="F458" t="s">
        <v>50</v>
      </c>
      <c r="G458" t="s">
        <v>91</v>
      </c>
      <c r="H458" t="s">
        <v>92</v>
      </c>
      <c r="I458" t="s">
        <v>37</v>
      </c>
      <c r="J458" t="s">
        <v>1383</v>
      </c>
      <c r="K458" t="s">
        <v>60</v>
      </c>
      <c r="L458" s="1">
        <v>46134</v>
      </c>
      <c r="M458" t="s">
        <v>1170</v>
      </c>
      <c r="N458">
        <f t="shared" si="14"/>
        <v>2026</v>
      </c>
      <c r="O458" t="str">
        <f t="shared" si="15"/>
        <v>Wednesday</v>
      </c>
    </row>
    <row r="459" spans="1:15" x14ac:dyDescent="0.3">
      <c r="A459" t="s">
        <v>1384</v>
      </c>
      <c r="B459" t="s">
        <v>624</v>
      </c>
      <c r="C459" s="1">
        <v>46135.333333333343</v>
      </c>
      <c r="D459" t="s">
        <v>15</v>
      </c>
      <c r="E459" t="s">
        <v>26</v>
      </c>
      <c r="F459" t="s">
        <v>42</v>
      </c>
      <c r="G459" t="s">
        <v>80</v>
      </c>
      <c r="H459" t="s">
        <v>81</v>
      </c>
      <c r="I459" t="s">
        <v>82</v>
      </c>
      <c r="J459" t="s">
        <v>1385</v>
      </c>
      <c r="K459" t="s">
        <v>47</v>
      </c>
      <c r="L459" s="1">
        <v>46135</v>
      </c>
      <c r="M459" t="s">
        <v>1170</v>
      </c>
      <c r="N459">
        <f t="shared" si="14"/>
        <v>2026</v>
      </c>
      <c r="O459" t="str">
        <f t="shared" si="15"/>
        <v>Thursday</v>
      </c>
    </row>
    <row r="460" spans="1:15" x14ac:dyDescent="0.3">
      <c r="A460" t="s">
        <v>1386</v>
      </c>
      <c r="B460" t="s">
        <v>1387</v>
      </c>
      <c r="C460" s="1">
        <v>46135.333333333343</v>
      </c>
      <c r="D460" t="s">
        <v>15</v>
      </c>
      <c r="E460" t="s">
        <v>16</v>
      </c>
      <c r="F460" t="s">
        <v>42</v>
      </c>
      <c r="G460" t="s">
        <v>35</v>
      </c>
      <c r="H460" t="s">
        <v>36</v>
      </c>
      <c r="I460" t="s">
        <v>37</v>
      </c>
      <c r="J460" t="s">
        <v>1388</v>
      </c>
      <c r="K460" t="s">
        <v>22</v>
      </c>
      <c r="L460" s="1">
        <v>46135</v>
      </c>
      <c r="M460" t="s">
        <v>1170</v>
      </c>
      <c r="N460">
        <f t="shared" si="14"/>
        <v>2026</v>
      </c>
      <c r="O460" t="str">
        <f t="shared" si="15"/>
        <v>Thursday</v>
      </c>
    </row>
    <row r="461" spans="1:15" x14ac:dyDescent="0.3">
      <c r="A461" t="s">
        <v>1389</v>
      </c>
      <c r="B461" t="s">
        <v>1390</v>
      </c>
      <c r="C461" s="1">
        <v>46135.416666666657</v>
      </c>
      <c r="D461" t="s">
        <v>15</v>
      </c>
      <c r="E461" t="s">
        <v>34</v>
      </c>
      <c r="F461" t="s">
        <v>17</v>
      </c>
      <c r="G461" t="s">
        <v>51</v>
      </c>
      <c r="H461" t="s">
        <v>52</v>
      </c>
      <c r="I461" t="s">
        <v>20</v>
      </c>
      <c r="J461" t="s">
        <v>1391</v>
      </c>
      <c r="K461" t="s">
        <v>22</v>
      </c>
      <c r="L461" s="1">
        <v>46135</v>
      </c>
      <c r="M461" t="s">
        <v>1170</v>
      </c>
      <c r="N461">
        <f t="shared" si="14"/>
        <v>2026</v>
      </c>
      <c r="O461" t="str">
        <f t="shared" si="15"/>
        <v>Thursday</v>
      </c>
    </row>
    <row r="462" spans="1:15" x14ac:dyDescent="0.3">
      <c r="A462" t="s">
        <v>1392</v>
      </c>
      <c r="B462" t="s">
        <v>1393</v>
      </c>
      <c r="C462" s="1">
        <v>46135.5</v>
      </c>
      <c r="D462" t="s">
        <v>15</v>
      </c>
      <c r="E462" t="s">
        <v>26</v>
      </c>
      <c r="F462" t="s">
        <v>17</v>
      </c>
      <c r="G462" t="s">
        <v>160</v>
      </c>
      <c r="H462" t="s">
        <v>161</v>
      </c>
      <c r="I462" t="s">
        <v>82</v>
      </c>
      <c r="J462" t="s">
        <v>1394</v>
      </c>
      <c r="K462" t="s">
        <v>31</v>
      </c>
      <c r="L462" s="1">
        <v>46135</v>
      </c>
      <c r="M462" t="s">
        <v>1170</v>
      </c>
      <c r="N462">
        <f t="shared" si="14"/>
        <v>2026</v>
      </c>
      <c r="O462" t="str">
        <f t="shared" si="15"/>
        <v>Thursday</v>
      </c>
    </row>
    <row r="463" spans="1:15" x14ac:dyDescent="0.3">
      <c r="A463" t="s">
        <v>1395</v>
      </c>
      <c r="B463" t="s">
        <v>1396</v>
      </c>
      <c r="C463" s="1">
        <v>46135.708333333343</v>
      </c>
      <c r="D463" t="s">
        <v>15</v>
      </c>
      <c r="E463" t="s">
        <v>63</v>
      </c>
      <c r="F463" t="s">
        <v>17</v>
      </c>
      <c r="G463" t="s">
        <v>43</v>
      </c>
      <c r="H463" t="s">
        <v>44</v>
      </c>
      <c r="I463" t="s">
        <v>45</v>
      </c>
      <c r="J463" t="s">
        <v>1397</v>
      </c>
      <c r="K463" t="s">
        <v>74</v>
      </c>
      <c r="L463" s="1">
        <v>46135</v>
      </c>
      <c r="M463" t="s">
        <v>1170</v>
      </c>
      <c r="N463">
        <f t="shared" si="14"/>
        <v>2026</v>
      </c>
      <c r="O463" t="str">
        <f t="shared" si="15"/>
        <v>Thursday</v>
      </c>
    </row>
    <row r="464" spans="1:15" x14ac:dyDescent="0.3">
      <c r="A464" t="s">
        <v>1398</v>
      </c>
      <c r="B464" t="s">
        <v>1039</v>
      </c>
      <c r="C464" s="1">
        <v>46136.416666666657</v>
      </c>
      <c r="D464" t="s">
        <v>15</v>
      </c>
      <c r="E464" t="s">
        <v>16</v>
      </c>
      <c r="F464" t="s">
        <v>17</v>
      </c>
      <c r="G464" t="s">
        <v>126</v>
      </c>
      <c r="H464" t="s">
        <v>127</v>
      </c>
      <c r="I464" t="s">
        <v>45</v>
      </c>
      <c r="J464" t="s">
        <v>1399</v>
      </c>
      <c r="K464" t="s">
        <v>31</v>
      </c>
      <c r="L464" s="1">
        <v>46136</v>
      </c>
      <c r="M464" t="s">
        <v>1170</v>
      </c>
      <c r="N464">
        <f t="shared" si="14"/>
        <v>2026</v>
      </c>
      <c r="O464" t="str">
        <f t="shared" si="15"/>
        <v>Friday</v>
      </c>
    </row>
    <row r="465" spans="1:15" x14ac:dyDescent="0.3">
      <c r="A465" t="s">
        <v>1400</v>
      </c>
      <c r="B465" t="s">
        <v>557</v>
      </c>
      <c r="C465" s="1">
        <v>46136.458333333343</v>
      </c>
      <c r="D465" t="s">
        <v>15</v>
      </c>
      <c r="E465" t="s">
        <v>34</v>
      </c>
      <c r="F465" t="s">
        <v>17</v>
      </c>
      <c r="G465" t="s">
        <v>112</v>
      </c>
      <c r="H465" t="s">
        <v>113</v>
      </c>
      <c r="I465" t="s">
        <v>37</v>
      </c>
      <c r="J465" t="s">
        <v>1401</v>
      </c>
      <c r="K465" t="s">
        <v>31</v>
      </c>
      <c r="L465" s="1">
        <v>46136</v>
      </c>
      <c r="M465" t="s">
        <v>1170</v>
      </c>
      <c r="N465">
        <f t="shared" si="14"/>
        <v>2026</v>
      </c>
      <c r="O465" t="str">
        <f t="shared" si="15"/>
        <v>Friday</v>
      </c>
    </row>
    <row r="466" spans="1:15" x14ac:dyDescent="0.3">
      <c r="A466" t="s">
        <v>1402</v>
      </c>
      <c r="B466" t="s">
        <v>1403</v>
      </c>
      <c r="C466" s="1">
        <v>46136.708333333343</v>
      </c>
      <c r="D466" t="s">
        <v>15</v>
      </c>
      <c r="E466" t="s">
        <v>63</v>
      </c>
      <c r="F466" t="s">
        <v>17</v>
      </c>
      <c r="G466" t="s">
        <v>43</v>
      </c>
      <c r="H466" t="s">
        <v>44</v>
      </c>
      <c r="I466" t="s">
        <v>45</v>
      </c>
      <c r="J466" t="s">
        <v>1404</v>
      </c>
      <c r="K466" t="s">
        <v>74</v>
      </c>
      <c r="L466" s="1">
        <v>46136</v>
      </c>
      <c r="M466" t="s">
        <v>1170</v>
      </c>
      <c r="N466">
        <f t="shared" si="14"/>
        <v>2026</v>
      </c>
      <c r="O466" t="str">
        <f t="shared" si="15"/>
        <v>Friday</v>
      </c>
    </row>
    <row r="467" spans="1:15" x14ac:dyDescent="0.3">
      <c r="A467" t="s">
        <v>1405</v>
      </c>
      <c r="B467" t="s">
        <v>1406</v>
      </c>
      <c r="C467" s="1">
        <v>46136.75</v>
      </c>
      <c r="D467" t="s">
        <v>15</v>
      </c>
      <c r="E467" t="s">
        <v>34</v>
      </c>
      <c r="F467" t="s">
        <v>17</v>
      </c>
      <c r="G467" t="s">
        <v>191</v>
      </c>
      <c r="H467" t="s">
        <v>192</v>
      </c>
      <c r="I467" t="s">
        <v>45</v>
      </c>
      <c r="J467" t="s">
        <v>1407</v>
      </c>
      <c r="K467" t="s">
        <v>74</v>
      </c>
      <c r="L467" s="1">
        <v>46136</v>
      </c>
      <c r="M467" t="s">
        <v>1170</v>
      </c>
      <c r="N467">
        <f t="shared" si="14"/>
        <v>2026</v>
      </c>
      <c r="O467" t="str">
        <f t="shared" si="15"/>
        <v>Friday</v>
      </c>
    </row>
    <row r="468" spans="1:15" x14ac:dyDescent="0.3">
      <c r="A468" t="s">
        <v>1408</v>
      </c>
      <c r="B468" t="s">
        <v>616</v>
      </c>
      <c r="C468" s="1">
        <v>46136.833333333343</v>
      </c>
      <c r="D468" t="s">
        <v>15</v>
      </c>
      <c r="E468" t="s">
        <v>34</v>
      </c>
      <c r="F468" t="s">
        <v>50</v>
      </c>
      <c r="G468" t="s">
        <v>106</v>
      </c>
      <c r="H468" t="s">
        <v>107</v>
      </c>
      <c r="I468" t="s">
        <v>108</v>
      </c>
      <c r="J468" t="s">
        <v>1409</v>
      </c>
      <c r="K468" t="s">
        <v>74</v>
      </c>
      <c r="L468" s="1">
        <v>46136</v>
      </c>
      <c r="M468" t="s">
        <v>1170</v>
      </c>
      <c r="N468">
        <f t="shared" si="14"/>
        <v>2026</v>
      </c>
      <c r="O468" t="str">
        <f t="shared" si="15"/>
        <v>Friday</v>
      </c>
    </row>
    <row r="469" spans="1:15" x14ac:dyDescent="0.3">
      <c r="A469" t="s">
        <v>1410</v>
      </c>
      <c r="B469" t="s">
        <v>1411</v>
      </c>
      <c r="C469" s="1">
        <v>46137.375</v>
      </c>
      <c r="D469" t="s">
        <v>15</v>
      </c>
      <c r="E469" t="s">
        <v>34</v>
      </c>
      <c r="F469" t="s">
        <v>42</v>
      </c>
      <c r="G469" t="s">
        <v>160</v>
      </c>
      <c r="H469" t="s">
        <v>161</v>
      </c>
      <c r="I469" t="s">
        <v>82</v>
      </c>
      <c r="J469" t="s">
        <v>1412</v>
      </c>
      <c r="K469" t="s">
        <v>74</v>
      </c>
      <c r="L469" s="1">
        <v>46137</v>
      </c>
      <c r="M469" t="s">
        <v>1170</v>
      </c>
      <c r="N469">
        <f t="shared" si="14"/>
        <v>2026</v>
      </c>
      <c r="O469" t="str">
        <f t="shared" si="15"/>
        <v>Saturday</v>
      </c>
    </row>
    <row r="470" spans="1:15" x14ac:dyDescent="0.3">
      <c r="A470" t="s">
        <v>1413</v>
      </c>
      <c r="B470" t="s">
        <v>1414</v>
      </c>
      <c r="C470" s="1">
        <v>46137.375</v>
      </c>
      <c r="D470" t="s">
        <v>15</v>
      </c>
      <c r="E470" t="s">
        <v>63</v>
      </c>
      <c r="F470" t="s">
        <v>50</v>
      </c>
      <c r="G470" t="s">
        <v>43</v>
      </c>
      <c r="H470" t="s">
        <v>44</v>
      </c>
      <c r="I470" t="s">
        <v>45</v>
      </c>
      <c r="J470" t="s">
        <v>1415</v>
      </c>
      <c r="K470" t="s">
        <v>22</v>
      </c>
      <c r="L470" s="1">
        <v>46137</v>
      </c>
      <c r="M470" t="s">
        <v>1170</v>
      </c>
      <c r="N470">
        <f t="shared" si="14"/>
        <v>2026</v>
      </c>
      <c r="O470" t="str">
        <f t="shared" si="15"/>
        <v>Saturday</v>
      </c>
    </row>
    <row r="471" spans="1:15" x14ac:dyDescent="0.3">
      <c r="A471" t="s">
        <v>1416</v>
      </c>
      <c r="B471" t="s">
        <v>1417</v>
      </c>
      <c r="C471" s="1">
        <v>46137.416666666657</v>
      </c>
      <c r="D471" t="s">
        <v>15</v>
      </c>
      <c r="E471" t="s">
        <v>26</v>
      </c>
      <c r="F471" t="s">
        <v>17</v>
      </c>
      <c r="G471" t="s">
        <v>91</v>
      </c>
      <c r="H471" t="s">
        <v>92</v>
      </c>
      <c r="I471" t="s">
        <v>37</v>
      </c>
      <c r="J471" t="s">
        <v>1418</v>
      </c>
      <c r="K471" t="s">
        <v>22</v>
      </c>
      <c r="L471" s="1">
        <v>46137</v>
      </c>
      <c r="M471" t="s">
        <v>1170</v>
      </c>
      <c r="N471">
        <f t="shared" si="14"/>
        <v>2026</v>
      </c>
      <c r="O471" t="str">
        <f t="shared" si="15"/>
        <v>Saturday</v>
      </c>
    </row>
    <row r="472" spans="1:15" x14ac:dyDescent="0.3">
      <c r="A472" t="s">
        <v>1419</v>
      </c>
      <c r="B472" t="s">
        <v>1420</v>
      </c>
      <c r="C472" s="1">
        <v>46137.75</v>
      </c>
      <c r="D472" t="s">
        <v>15</v>
      </c>
      <c r="E472" t="s">
        <v>34</v>
      </c>
      <c r="F472" t="s">
        <v>17</v>
      </c>
      <c r="G472" t="s">
        <v>126</v>
      </c>
      <c r="H472" t="s">
        <v>127</v>
      </c>
      <c r="I472" t="s">
        <v>45</v>
      </c>
      <c r="J472" t="s">
        <v>1421</v>
      </c>
      <c r="K472" t="s">
        <v>31</v>
      </c>
      <c r="L472" s="1">
        <v>46137</v>
      </c>
      <c r="M472" t="s">
        <v>1170</v>
      </c>
      <c r="N472">
        <f t="shared" si="14"/>
        <v>2026</v>
      </c>
      <c r="O472" t="str">
        <f t="shared" si="15"/>
        <v>Saturday</v>
      </c>
    </row>
    <row r="473" spans="1:15" x14ac:dyDescent="0.3">
      <c r="A473" t="s">
        <v>1422</v>
      </c>
      <c r="B473" t="s">
        <v>1423</v>
      </c>
      <c r="C473" s="1">
        <v>46138.333333333343</v>
      </c>
      <c r="D473" t="s">
        <v>15</v>
      </c>
      <c r="E473" t="s">
        <v>34</v>
      </c>
      <c r="F473" t="s">
        <v>17</v>
      </c>
      <c r="G473" t="s">
        <v>35</v>
      </c>
      <c r="H473" t="s">
        <v>36</v>
      </c>
      <c r="I473" t="s">
        <v>37</v>
      </c>
      <c r="J473" t="s">
        <v>1424</v>
      </c>
      <c r="K473" t="s">
        <v>60</v>
      </c>
      <c r="L473" s="1">
        <v>46138</v>
      </c>
      <c r="M473" t="s">
        <v>1170</v>
      </c>
      <c r="N473">
        <f t="shared" si="14"/>
        <v>2026</v>
      </c>
      <c r="O473" t="str">
        <f t="shared" si="15"/>
        <v>Sunday</v>
      </c>
    </row>
    <row r="474" spans="1:15" x14ac:dyDescent="0.3">
      <c r="A474" t="s">
        <v>1425</v>
      </c>
      <c r="B474" t="s">
        <v>1426</v>
      </c>
      <c r="C474" s="1">
        <v>46138.375</v>
      </c>
      <c r="D474" t="s">
        <v>15</v>
      </c>
      <c r="E474" t="s">
        <v>41</v>
      </c>
      <c r="F474" t="s">
        <v>50</v>
      </c>
      <c r="G474" t="s">
        <v>160</v>
      </c>
      <c r="H474" t="s">
        <v>161</v>
      </c>
      <c r="I474" t="s">
        <v>82</v>
      </c>
      <c r="J474" t="s">
        <v>1427</v>
      </c>
      <c r="K474" t="s">
        <v>47</v>
      </c>
      <c r="L474" s="1">
        <v>46138</v>
      </c>
      <c r="M474" t="s">
        <v>1170</v>
      </c>
      <c r="N474">
        <f t="shared" si="14"/>
        <v>2026</v>
      </c>
      <c r="O474" t="str">
        <f t="shared" si="15"/>
        <v>Sunday</v>
      </c>
    </row>
    <row r="475" spans="1:15" x14ac:dyDescent="0.3">
      <c r="A475" t="s">
        <v>1428</v>
      </c>
      <c r="B475" t="s">
        <v>1429</v>
      </c>
      <c r="C475" s="1">
        <v>46138.75</v>
      </c>
      <c r="D475" t="s">
        <v>15</v>
      </c>
      <c r="E475" t="s">
        <v>26</v>
      </c>
      <c r="F475" t="s">
        <v>42</v>
      </c>
      <c r="G475" t="s">
        <v>51</v>
      </c>
      <c r="H475" t="s">
        <v>52</v>
      </c>
      <c r="I475" t="s">
        <v>20</v>
      </c>
      <c r="J475" t="s">
        <v>1430</v>
      </c>
      <c r="K475" t="s">
        <v>74</v>
      </c>
      <c r="L475" s="1">
        <v>46138</v>
      </c>
      <c r="M475" t="s">
        <v>1170</v>
      </c>
      <c r="N475">
        <f t="shared" si="14"/>
        <v>2026</v>
      </c>
      <c r="O475" t="str">
        <f t="shared" si="15"/>
        <v>Sunday</v>
      </c>
    </row>
    <row r="476" spans="1:15" x14ac:dyDescent="0.3">
      <c r="A476" t="s">
        <v>1431</v>
      </c>
      <c r="B476" t="s">
        <v>1432</v>
      </c>
      <c r="C476" s="1">
        <v>46138.833333333343</v>
      </c>
      <c r="D476" t="s">
        <v>15</v>
      </c>
      <c r="E476" t="s">
        <v>63</v>
      </c>
      <c r="F476" t="s">
        <v>17</v>
      </c>
      <c r="G476" t="s">
        <v>112</v>
      </c>
      <c r="H476" t="s">
        <v>113</v>
      </c>
      <c r="I476" t="s">
        <v>37</v>
      </c>
      <c r="J476" t="s">
        <v>1433</v>
      </c>
      <c r="K476" t="s">
        <v>31</v>
      </c>
      <c r="L476" s="1">
        <v>46138</v>
      </c>
      <c r="M476" t="s">
        <v>1170</v>
      </c>
      <c r="N476">
        <f t="shared" si="14"/>
        <v>2026</v>
      </c>
      <c r="O476" t="str">
        <f t="shared" si="15"/>
        <v>Sunday</v>
      </c>
    </row>
    <row r="477" spans="1:15" x14ac:dyDescent="0.3">
      <c r="A477" t="s">
        <v>1434</v>
      </c>
      <c r="B477" t="s">
        <v>1104</v>
      </c>
      <c r="C477" s="1">
        <v>46138.833333333343</v>
      </c>
      <c r="D477" t="s">
        <v>15</v>
      </c>
      <c r="E477" t="s">
        <v>26</v>
      </c>
      <c r="F477" t="s">
        <v>17</v>
      </c>
      <c r="G477" t="s">
        <v>149</v>
      </c>
      <c r="H477" t="s">
        <v>150</v>
      </c>
      <c r="I477" t="s">
        <v>37</v>
      </c>
      <c r="J477" t="s">
        <v>1435</v>
      </c>
      <c r="K477" t="s">
        <v>47</v>
      </c>
      <c r="L477" s="1">
        <v>46138</v>
      </c>
      <c r="M477" t="s">
        <v>1170</v>
      </c>
      <c r="N477">
        <f t="shared" si="14"/>
        <v>2026</v>
      </c>
      <c r="O477" t="str">
        <f t="shared" si="15"/>
        <v>Sunday</v>
      </c>
    </row>
    <row r="478" spans="1:15" x14ac:dyDescent="0.3">
      <c r="A478" t="s">
        <v>1436</v>
      </c>
      <c r="B478" t="s">
        <v>1437</v>
      </c>
      <c r="C478" s="1">
        <v>46139.333333333343</v>
      </c>
      <c r="D478" t="s">
        <v>15</v>
      </c>
      <c r="E478" t="s">
        <v>34</v>
      </c>
      <c r="F478" t="s">
        <v>17</v>
      </c>
      <c r="G478" t="s">
        <v>43</v>
      </c>
      <c r="H478" t="s">
        <v>44</v>
      </c>
      <c r="I478" t="s">
        <v>45</v>
      </c>
      <c r="J478" t="s">
        <v>1438</v>
      </c>
      <c r="K478" t="s">
        <v>74</v>
      </c>
      <c r="L478" s="1">
        <v>46139</v>
      </c>
      <c r="M478" t="s">
        <v>1170</v>
      </c>
      <c r="N478">
        <f t="shared" si="14"/>
        <v>2026</v>
      </c>
      <c r="O478" t="str">
        <f t="shared" si="15"/>
        <v>Monday</v>
      </c>
    </row>
    <row r="479" spans="1:15" x14ac:dyDescent="0.3">
      <c r="A479" t="s">
        <v>1439</v>
      </c>
      <c r="B479" t="s">
        <v>1440</v>
      </c>
      <c r="C479" s="1">
        <v>46139.375</v>
      </c>
      <c r="D479" t="s">
        <v>15</v>
      </c>
      <c r="E479" t="s">
        <v>26</v>
      </c>
      <c r="F479" t="s">
        <v>17</v>
      </c>
      <c r="G479" t="s">
        <v>126</v>
      </c>
      <c r="H479" t="s">
        <v>127</v>
      </c>
      <c r="I479" t="s">
        <v>45</v>
      </c>
      <c r="J479" t="s">
        <v>1441</v>
      </c>
      <c r="K479" t="s">
        <v>47</v>
      </c>
      <c r="L479" s="1">
        <v>46139</v>
      </c>
      <c r="M479" t="s">
        <v>1170</v>
      </c>
      <c r="N479">
        <f t="shared" si="14"/>
        <v>2026</v>
      </c>
      <c r="O479" t="str">
        <f t="shared" si="15"/>
        <v>Monday</v>
      </c>
    </row>
    <row r="480" spans="1:15" x14ac:dyDescent="0.3">
      <c r="A480" t="s">
        <v>1442</v>
      </c>
      <c r="B480" t="s">
        <v>1443</v>
      </c>
      <c r="C480" s="1">
        <v>46139.583333333343</v>
      </c>
      <c r="D480" t="s">
        <v>15</v>
      </c>
      <c r="E480" t="s">
        <v>63</v>
      </c>
      <c r="F480" t="s">
        <v>50</v>
      </c>
      <c r="G480" t="s">
        <v>80</v>
      </c>
      <c r="H480" t="s">
        <v>81</v>
      </c>
      <c r="I480" t="s">
        <v>82</v>
      </c>
      <c r="J480" t="s">
        <v>1444</v>
      </c>
      <c r="K480" t="s">
        <v>22</v>
      </c>
      <c r="L480" s="1">
        <v>46139</v>
      </c>
      <c r="M480" t="s">
        <v>1170</v>
      </c>
      <c r="N480">
        <f t="shared" si="14"/>
        <v>2026</v>
      </c>
      <c r="O480" t="str">
        <f t="shared" si="15"/>
        <v>Monday</v>
      </c>
    </row>
    <row r="481" spans="1:15" x14ac:dyDescent="0.3">
      <c r="A481" t="s">
        <v>1445</v>
      </c>
      <c r="B481" t="s">
        <v>1446</v>
      </c>
      <c r="C481" s="1">
        <v>46140.333333333343</v>
      </c>
      <c r="D481" t="s">
        <v>15</v>
      </c>
      <c r="E481" t="s">
        <v>26</v>
      </c>
      <c r="F481" t="s">
        <v>17</v>
      </c>
      <c r="G481" t="s">
        <v>112</v>
      </c>
      <c r="H481" t="s">
        <v>113</v>
      </c>
      <c r="I481" t="s">
        <v>37</v>
      </c>
      <c r="J481" t="s">
        <v>1447</v>
      </c>
      <c r="K481" t="s">
        <v>60</v>
      </c>
      <c r="L481" s="1">
        <v>46140</v>
      </c>
      <c r="M481" t="s">
        <v>1170</v>
      </c>
      <c r="N481">
        <f t="shared" si="14"/>
        <v>2026</v>
      </c>
      <c r="O481" t="str">
        <f t="shared" si="15"/>
        <v>Tuesday</v>
      </c>
    </row>
    <row r="482" spans="1:15" x14ac:dyDescent="0.3">
      <c r="A482" t="s">
        <v>1448</v>
      </c>
      <c r="B482" t="s">
        <v>1449</v>
      </c>
      <c r="C482" s="1">
        <v>46140.5</v>
      </c>
      <c r="D482" t="s">
        <v>15</v>
      </c>
      <c r="E482" t="s">
        <v>34</v>
      </c>
      <c r="F482" t="s">
        <v>42</v>
      </c>
      <c r="G482" t="s">
        <v>160</v>
      </c>
      <c r="H482" t="s">
        <v>161</v>
      </c>
      <c r="I482" t="s">
        <v>82</v>
      </c>
      <c r="J482" t="s">
        <v>1450</v>
      </c>
      <c r="K482" t="s">
        <v>47</v>
      </c>
      <c r="L482" s="1">
        <v>46140</v>
      </c>
      <c r="M482" t="s">
        <v>1170</v>
      </c>
      <c r="N482">
        <f t="shared" si="14"/>
        <v>2026</v>
      </c>
      <c r="O482" t="str">
        <f t="shared" si="15"/>
        <v>Tuesday</v>
      </c>
    </row>
    <row r="483" spans="1:15" x14ac:dyDescent="0.3">
      <c r="A483" t="s">
        <v>1451</v>
      </c>
      <c r="B483" t="s">
        <v>978</v>
      </c>
      <c r="C483" s="1">
        <v>46140.75</v>
      </c>
      <c r="D483" t="s">
        <v>15</v>
      </c>
      <c r="E483" t="s">
        <v>26</v>
      </c>
      <c r="F483" t="s">
        <v>17</v>
      </c>
      <c r="G483" t="s">
        <v>149</v>
      </c>
      <c r="H483" t="s">
        <v>150</v>
      </c>
      <c r="I483" t="s">
        <v>37</v>
      </c>
      <c r="J483" t="s">
        <v>1452</v>
      </c>
      <c r="K483" t="s">
        <v>60</v>
      </c>
      <c r="L483" s="1">
        <v>46140</v>
      </c>
      <c r="M483" t="s">
        <v>1170</v>
      </c>
      <c r="N483">
        <f t="shared" si="14"/>
        <v>2026</v>
      </c>
      <c r="O483" t="str">
        <f t="shared" si="15"/>
        <v>Tuesday</v>
      </c>
    </row>
    <row r="484" spans="1:15" x14ac:dyDescent="0.3">
      <c r="A484" t="s">
        <v>1453</v>
      </c>
      <c r="B484" t="s">
        <v>1454</v>
      </c>
      <c r="C484" s="1">
        <v>46140.833333333343</v>
      </c>
      <c r="D484" t="s">
        <v>15</v>
      </c>
      <c r="E484" t="s">
        <v>16</v>
      </c>
      <c r="F484" t="s">
        <v>17</v>
      </c>
      <c r="G484" t="s">
        <v>160</v>
      </c>
      <c r="H484" t="s">
        <v>161</v>
      </c>
      <c r="I484" t="s">
        <v>82</v>
      </c>
      <c r="J484" t="s">
        <v>1455</v>
      </c>
      <c r="K484" t="s">
        <v>31</v>
      </c>
      <c r="L484" s="1">
        <v>46140</v>
      </c>
      <c r="M484" t="s">
        <v>1170</v>
      </c>
      <c r="N484">
        <f t="shared" si="14"/>
        <v>2026</v>
      </c>
      <c r="O484" t="str">
        <f t="shared" si="15"/>
        <v>Tuesday</v>
      </c>
    </row>
    <row r="485" spans="1:15" x14ac:dyDescent="0.3">
      <c r="A485" t="s">
        <v>1456</v>
      </c>
      <c r="B485" t="s">
        <v>1457</v>
      </c>
      <c r="C485" s="1">
        <v>46141.541666666657</v>
      </c>
      <c r="D485" t="s">
        <v>15</v>
      </c>
      <c r="E485" t="s">
        <v>34</v>
      </c>
      <c r="F485" t="s">
        <v>17</v>
      </c>
      <c r="G485" t="s">
        <v>51</v>
      </c>
      <c r="H485" t="s">
        <v>52</v>
      </c>
      <c r="I485" t="s">
        <v>20</v>
      </c>
      <c r="J485" t="s">
        <v>1458</v>
      </c>
      <c r="K485" t="s">
        <v>60</v>
      </c>
      <c r="L485" s="1">
        <v>46141</v>
      </c>
      <c r="M485" t="s">
        <v>1170</v>
      </c>
      <c r="N485">
        <f t="shared" si="14"/>
        <v>2026</v>
      </c>
      <c r="O485" t="str">
        <f t="shared" si="15"/>
        <v>Wednesday</v>
      </c>
    </row>
    <row r="486" spans="1:15" x14ac:dyDescent="0.3">
      <c r="A486" t="s">
        <v>1459</v>
      </c>
      <c r="B486" t="s">
        <v>1460</v>
      </c>
      <c r="C486" s="1">
        <v>46141.708333333343</v>
      </c>
      <c r="D486" t="s">
        <v>15</v>
      </c>
      <c r="E486" t="s">
        <v>16</v>
      </c>
      <c r="F486" t="s">
        <v>50</v>
      </c>
      <c r="G486" t="s">
        <v>51</v>
      </c>
      <c r="H486" t="s">
        <v>52</v>
      </c>
      <c r="I486" t="s">
        <v>20</v>
      </c>
      <c r="J486" t="s">
        <v>1461</v>
      </c>
      <c r="K486" t="s">
        <v>22</v>
      </c>
      <c r="L486" s="1">
        <v>46141</v>
      </c>
      <c r="M486" t="s">
        <v>1170</v>
      </c>
      <c r="N486">
        <f t="shared" si="14"/>
        <v>2026</v>
      </c>
      <c r="O486" t="str">
        <f t="shared" si="15"/>
        <v>Wednesday</v>
      </c>
    </row>
    <row r="487" spans="1:15" x14ac:dyDescent="0.3">
      <c r="A487" t="s">
        <v>1462</v>
      </c>
      <c r="B487" t="s">
        <v>1463</v>
      </c>
      <c r="C487" s="1">
        <v>46141.833333333343</v>
      </c>
      <c r="D487" t="s">
        <v>15</v>
      </c>
      <c r="E487" t="s">
        <v>63</v>
      </c>
      <c r="F487" t="s">
        <v>17</v>
      </c>
      <c r="G487" t="s">
        <v>191</v>
      </c>
      <c r="H487" t="s">
        <v>192</v>
      </c>
      <c r="I487" t="s">
        <v>45</v>
      </c>
      <c r="J487" t="s">
        <v>1464</v>
      </c>
      <c r="K487" t="s">
        <v>47</v>
      </c>
      <c r="L487" s="1">
        <v>46141</v>
      </c>
      <c r="M487" t="s">
        <v>1170</v>
      </c>
      <c r="N487">
        <f t="shared" si="14"/>
        <v>2026</v>
      </c>
      <c r="O487" t="str">
        <f t="shared" si="15"/>
        <v>Wednesday</v>
      </c>
    </row>
    <row r="488" spans="1:15" x14ac:dyDescent="0.3">
      <c r="A488" t="s">
        <v>1465</v>
      </c>
      <c r="B488" t="s">
        <v>125</v>
      </c>
      <c r="C488" s="1">
        <v>46142.5</v>
      </c>
      <c r="D488" t="s">
        <v>15</v>
      </c>
      <c r="E488" t="s">
        <v>34</v>
      </c>
      <c r="F488" t="s">
        <v>17</v>
      </c>
      <c r="G488" t="s">
        <v>106</v>
      </c>
      <c r="H488" t="s">
        <v>107</v>
      </c>
      <c r="I488" t="s">
        <v>108</v>
      </c>
      <c r="J488" t="s">
        <v>1466</v>
      </c>
      <c r="K488" t="s">
        <v>74</v>
      </c>
      <c r="L488" s="1">
        <v>46142</v>
      </c>
      <c r="M488" t="s">
        <v>1170</v>
      </c>
      <c r="N488">
        <f t="shared" si="14"/>
        <v>2026</v>
      </c>
      <c r="O488" t="str">
        <f t="shared" si="15"/>
        <v>Thursday</v>
      </c>
    </row>
    <row r="489" spans="1:15" x14ac:dyDescent="0.3">
      <c r="A489" t="s">
        <v>1467</v>
      </c>
      <c r="B489" t="s">
        <v>1468</v>
      </c>
      <c r="C489" s="1">
        <v>46142.666666666657</v>
      </c>
      <c r="D489" t="s">
        <v>15</v>
      </c>
      <c r="E489" t="s">
        <v>41</v>
      </c>
      <c r="F489" t="s">
        <v>17</v>
      </c>
      <c r="G489" t="s">
        <v>165</v>
      </c>
      <c r="H489" t="s">
        <v>166</v>
      </c>
      <c r="I489" t="s">
        <v>29</v>
      </c>
      <c r="J489" t="s">
        <v>1469</v>
      </c>
      <c r="K489" t="s">
        <v>31</v>
      </c>
      <c r="L489" s="1">
        <v>46142</v>
      </c>
      <c r="M489" t="s">
        <v>1170</v>
      </c>
      <c r="N489">
        <f t="shared" si="14"/>
        <v>2026</v>
      </c>
      <c r="O489" t="str">
        <f t="shared" si="15"/>
        <v>Thursday</v>
      </c>
    </row>
    <row r="490" spans="1:15" x14ac:dyDescent="0.3">
      <c r="A490" t="s">
        <v>1470</v>
      </c>
      <c r="B490" t="s">
        <v>1471</v>
      </c>
      <c r="C490" s="1">
        <v>46142.75</v>
      </c>
      <c r="D490" t="s">
        <v>15</v>
      </c>
      <c r="E490" t="s">
        <v>16</v>
      </c>
      <c r="F490" t="s">
        <v>17</v>
      </c>
      <c r="G490" t="s">
        <v>56</v>
      </c>
      <c r="H490" t="s">
        <v>57</v>
      </c>
      <c r="I490" t="s">
        <v>58</v>
      </c>
      <c r="J490" t="s">
        <v>1472</v>
      </c>
      <c r="K490" t="s">
        <v>22</v>
      </c>
      <c r="L490" s="1">
        <v>46142</v>
      </c>
      <c r="M490" t="s">
        <v>1170</v>
      </c>
      <c r="N490">
        <f t="shared" si="14"/>
        <v>2026</v>
      </c>
      <c r="O490" t="str">
        <f t="shared" si="15"/>
        <v>Thursday</v>
      </c>
    </row>
    <row r="491" spans="1:15" x14ac:dyDescent="0.3">
      <c r="A491" t="s">
        <v>1473</v>
      </c>
      <c r="B491" t="s">
        <v>1474</v>
      </c>
      <c r="C491" s="1">
        <v>46142.791666666657</v>
      </c>
      <c r="D491" t="s">
        <v>15</v>
      </c>
      <c r="E491" t="s">
        <v>63</v>
      </c>
      <c r="F491" t="s">
        <v>17</v>
      </c>
      <c r="G491" t="s">
        <v>355</v>
      </c>
      <c r="H491" t="s">
        <v>356</v>
      </c>
      <c r="I491" t="s">
        <v>82</v>
      </c>
      <c r="J491" t="s">
        <v>1475</v>
      </c>
      <c r="K491" t="s">
        <v>47</v>
      </c>
      <c r="L491" s="1">
        <v>46142</v>
      </c>
      <c r="M491" t="s">
        <v>1170</v>
      </c>
      <c r="N491">
        <f t="shared" si="14"/>
        <v>2026</v>
      </c>
      <c r="O491" t="str">
        <f t="shared" si="15"/>
        <v>Thursday</v>
      </c>
    </row>
    <row r="492" spans="1:15" x14ac:dyDescent="0.3">
      <c r="A492" t="s">
        <v>1476</v>
      </c>
      <c r="B492" t="s">
        <v>1477</v>
      </c>
      <c r="C492" s="1">
        <v>46143.541666666657</v>
      </c>
      <c r="D492" t="s">
        <v>15</v>
      </c>
      <c r="E492" t="s">
        <v>34</v>
      </c>
      <c r="F492" t="s">
        <v>42</v>
      </c>
      <c r="G492" t="s">
        <v>91</v>
      </c>
      <c r="H492" t="s">
        <v>92</v>
      </c>
      <c r="I492" t="s">
        <v>37</v>
      </c>
      <c r="J492" t="s">
        <v>1478</v>
      </c>
      <c r="K492" t="s">
        <v>31</v>
      </c>
      <c r="L492" s="1">
        <v>46143</v>
      </c>
      <c r="M492" t="s">
        <v>1479</v>
      </c>
      <c r="N492">
        <f t="shared" si="14"/>
        <v>2026</v>
      </c>
      <c r="O492" t="str">
        <f t="shared" si="15"/>
        <v>Friday</v>
      </c>
    </row>
    <row r="493" spans="1:15" x14ac:dyDescent="0.3">
      <c r="A493" t="s">
        <v>1480</v>
      </c>
      <c r="B493" t="s">
        <v>1449</v>
      </c>
      <c r="C493" s="1">
        <v>46143.625</v>
      </c>
      <c r="D493" t="s">
        <v>15</v>
      </c>
      <c r="E493" t="s">
        <v>63</v>
      </c>
      <c r="F493" t="s">
        <v>50</v>
      </c>
      <c r="G493" t="s">
        <v>355</v>
      </c>
      <c r="H493" t="s">
        <v>356</v>
      </c>
      <c r="I493" t="s">
        <v>82</v>
      </c>
      <c r="J493" t="s">
        <v>1481</v>
      </c>
      <c r="K493" t="s">
        <v>22</v>
      </c>
      <c r="L493" s="1">
        <v>46143</v>
      </c>
      <c r="M493" t="s">
        <v>1479</v>
      </c>
      <c r="N493">
        <f t="shared" si="14"/>
        <v>2026</v>
      </c>
      <c r="O493" t="str">
        <f t="shared" si="15"/>
        <v>Friday</v>
      </c>
    </row>
    <row r="494" spans="1:15" x14ac:dyDescent="0.3">
      <c r="A494" t="s">
        <v>1482</v>
      </c>
      <c r="B494" t="s">
        <v>876</v>
      </c>
      <c r="C494" s="1">
        <v>46143.75</v>
      </c>
      <c r="D494" t="s">
        <v>15</v>
      </c>
      <c r="E494" t="s">
        <v>34</v>
      </c>
      <c r="F494" t="s">
        <v>17</v>
      </c>
      <c r="G494" t="s">
        <v>96</v>
      </c>
      <c r="H494" t="s">
        <v>97</v>
      </c>
      <c r="I494" t="s">
        <v>58</v>
      </c>
      <c r="J494" t="s">
        <v>1483</v>
      </c>
      <c r="K494" t="s">
        <v>22</v>
      </c>
      <c r="L494" s="1">
        <v>46143</v>
      </c>
      <c r="M494" t="s">
        <v>1479</v>
      </c>
      <c r="N494">
        <f t="shared" si="14"/>
        <v>2026</v>
      </c>
      <c r="O494" t="str">
        <f t="shared" si="15"/>
        <v>Friday</v>
      </c>
    </row>
    <row r="495" spans="1:15" x14ac:dyDescent="0.3">
      <c r="A495" t="s">
        <v>1484</v>
      </c>
      <c r="B495" t="s">
        <v>225</v>
      </c>
      <c r="C495" s="1">
        <v>46143.875</v>
      </c>
      <c r="D495" t="s">
        <v>15</v>
      </c>
      <c r="E495" t="s">
        <v>26</v>
      </c>
      <c r="F495" t="s">
        <v>17</v>
      </c>
      <c r="G495" t="s">
        <v>86</v>
      </c>
      <c r="H495" t="s">
        <v>87</v>
      </c>
      <c r="I495" t="s">
        <v>82</v>
      </c>
      <c r="J495" t="s">
        <v>1485</v>
      </c>
      <c r="K495" t="s">
        <v>74</v>
      </c>
      <c r="L495" s="1">
        <v>46143</v>
      </c>
      <c r="M495" t="s">
        <v>1479</v>
      </c>
      <c r="N495">
        <f t="shared" si="14"/>
        <v>2026</v>
      </c>
      <c r="O495" t="str">
        <f t="shared" si="15"/>
        <v>Friday</v>
      </c>
    </row>
    <row r="496" spans="1:15" x14ac:dyDescent="0.3">
      <c r="A496" t="s">
        <v>1486</v>
      </c>
      <c r="B496" t="s">
        <v>1487</v>
      </c>
      <c r="C496" s="1">
        <v>46144.375</v>
      </c>
      <c r="D496" t="s">
        <v>15</v>
      </c>
      <c r="E496" t="s">
        <v>34</v>
      </c>
      <c r="F496" t="s">
        <v>17</v>
      </c>
      <c r="G496" t="s">
        <v>160</v>
      </c>
      <c r="H496" t="s">
        <v>161</v>
      </c>
      <c r="I496" t="s">
        <v>82</v>
      </c>
      <c r="J496" t="s">
        <v>1488</v>
      </c>
      <c r="K496" t="s">
        <v>47</v>
      </c>
      <c r="L496" s="1">
        <v>46144</v>
      </c>
      <c r="M496" t="s">
        <v>1479</v>
      </c>
      <c r="N496">
        <f t="shared" si="14"/>
        <v>2026</v>
      </c>
      <c r="O496" t="str">
        <f t="shared" si="15"/>
        <v>Saturday</v>
      </c>
    </row>
    <row r="497" spans="1:15" x14ac:dyDescent="0.3">
      <c r="A497" t="s">
        <v>1489</v>
      </c>
      <c r="B497" t="s">
        <v>1490</v>
      </c>
      <c r="C497" s="1">
        <v>46144.5</v>
      </c>
      <c r="D497" t="s">
        <v>15</v>
      </c>
      <c r="E497" t="s">
        <v>26</v>
      </c>
      <c r="F497" t="s">
        <v>17</v>
      </c>
      <c r="G497" t="s">
        <v>250</v>
      </c>
      <c r="H497" t="s">
        <v>251</v>
      </c>
      <c r="I497" t="s">
        <v>108</v>
      </c>
      <c r="J497" t="s">
        <v>1491</v>
      </c>
      <c r="K497" t="s">
        <v>31</v>
      </c>
      <c r="L497" s="1">
        <v>46144</v>
      </c>
      <c r="M497" t="s">
        <v>1479</v>
      </c>
      <c r="N497">
        <f t="shared" si="14"/>
        <v>2026</v>
      </c>
      <c r="O497" t="str">
        <f t="shared" si="15"/>
        <v>Saturday</v>
      </c>
    </row>
    <row r="498" spans="1:15" x14ac:dyDescent="0.3">
      <c r="A498" t="s">
        <v>1492</v>
      </c>
      <c r="B498" t="s">
        <v>1493</v>
      </c>
      <c r="C498" s="1">
        <v>46144.583333333343</v>
      </c>
      <c r="D498" t="s">
        <v>15</v>
      </c>
      <c r="E498" t="s">
        <v>16</v>
      </c>
      <c r="F498" t="s">
        <v>17</v>
      </c>
      <c r="G498" t="s">
        <v>27</v>
      </c>
      <c r="H498" t="s">
        <v>28</v>
      </c>
      <c r="I498" t="s">
        <v>29</v>
      </c>
      <c r="J498" t="s">
        <v>1494</v>
      </c>
      <c r="K498" t="s">
        <v>22</v>
      </c>
      <c r="L498" s="1">
        <v>46144</v>
      </c>
      <c r="M498" t="s">
        <v>1479</v>
      </c>
      <c r="N498">
        <f t="shared" si="14"/>
        <v>2026</v>
      </c>
      <c r="O498" t="str">
        <f t="shared" si="15"/>
        <v>Saturday</v>
      </c>
    </row>
    <row r="499" spans="1:15" x14ac:dyDescent="0.3">
      <c r="A499" t="s">
        <v>1495</v>
      </c>
      <c r="B499" t="s">
        <v>1496</v>
      </c>
      <c r="C499" s="1">
        <v>46144.791666666657</v>
      </c>
      <c r="D499" t="s">
        <v>15</v>
      </c>
      <c r="E499" t="s">
        <v>63</v>
      </c>
      <c r="F499" t="s">
        <v>17</v>
      </c>
      <c r="G499" t="s">
        <v>86</v>
      </c>
      <c r="H499" t="s">
        <v>87</v>
      </c>
      <c r="I499" t="s">
        <v>82</v>
      </c>
      <c r="J499" t="s">
        <v>1497</v>
      </c>
      <c r="K499" t="s">
        <v>22</v>
      </c>
      <c r="L499" s="1">
        <v>46144</v>
      </c>
      <c r="M499" t="s">
        <v>1479</v>
      </c>
      <c r="N499">
        <f t="shared" si="14"/>
        <v>2026</v>
      </c>
      <c r="O499" t="str">
        <f t="shared" si="15"/>
        <v>Saturday</v>
      </c>
    </row>
    <row r="500" spans="1:15" x14ac:dyDescent="0.3">
      <c r="A500" t="s">
        <v>1498</v>
      </c>
      <c r="B500" t="s">
        <v>1499</v>
      </c>
      <c r="C500" s="1">
        <v>46144.833333333343</v>
      </c>
      <c r="D500" t="s">
        <v>15</v>
      </c>
      <c r="E500" t="s">
        <v>41</v>
      </c>
      <c r="F500" t="s">
        <v>17</v>
      </c>
      <c r="G500" t="s">
        <v>43</v>
      </c>
      <c r="H500" t="s">
        <v>44</v>
      </c>
      <c r="I500" t="s">
        <v>45</v>
      </c>
      <c r="J500" t="s">
        <v>1500</v>
      </c>
      <c r="K500" t="s">
        <v>22</v>
      </c>
      <c r="L500" s="1">
        <v>46144</v>
      </c>
      <c r="M500" t="s">
        <v>1479</v>
      </c>
      <c r="N500">
        <f t="shared" si="14"/>
        <v>2026</v>
      </c>
      <c r="O500" t="str">
        <f t="shared" si="15"/>
        <v>Saturday</v>
      </c>
    </row>
    <row r="501" spans="1:15" x14ac:dyDescent="0.3">
      <c r="A501" t="s">
        <v>1501</v>
      </c>
      <c r="B501" t="s">
        <v>317</v>
      </c>
      <c r="C501" s="1">
        <v>46145.333333333343</v>
      </c>
      <c r="D501" t="s">
        <v>15</v>
      </c>
      <c r="E501" t="s">
        <v>16</v>
      </c>
      <c r="F501" t="s">
        <v>17</v>
      </c>
      <c r="G501" t="s">
        <v>27</v>
      </c>
      <c r="H501" t="s">
        <v>28</v>
      </c>
      <c r="I501" t="s">
        <v>29</v>
      </c>
      <c r="J501" t="s">
        <v>1502</v>
      </c>
      <c r="K501" t="s">
        <v>60</v>
      </c>
      <c r="L501" s="1">
        <v>46145</v>
      </c>
      <c r="M501" t="s">
        <v>1479</v>
      </c>
      <c r="N501">
        <f t="shared" si="14"/>
        <v>2026</v>
      </c>
      <c r="O501" t="str">
        <f t="shared" si="15"/>
        <v>Sunday</v>
      </c>
    </row>
    <row r="502" spans="1:15" x14ac:dyDescent="0.3">
      <c r="A502" t="s">
        <v>1503</v>
      </c>
      <c r="B502" t="s">
        <v>1504</v>
      </c>
      <c r="C502" s="1">
        <v>46145.375</v>
      </c>
      <c r="D502" t="s">
        <v>15</v>
      </c>
      <c r="E502" t="s">
        <v>34</v>
      </c>
      <c r="F502" t="s">
        <v>17</v>
      </c>
      <c r="G502" t="s">
        <v>101</v>
      </c>
      <c r="H502" t="s">
        <v>102</v>
      </c>
      <c r="I502" t="s">
        <v>45</v>
      </c>
      <c r="J502" t="s">
        <v>1505</v>
      </c>
      <c r="K502" t="s">
        <v>60</v>
      </c>
      <c r="L502" s="1">
        <v>46145</v>
      </c>
      <c r="M502" t="s">
        <v>1479</v>
      </c>
      <c r="N502">
        <f t="shared" si="14"/>
        <v>2026</v>
      </c>
      <c r="O502" t="str">
        <f t="shared" si="15"/>
        <v>Sunday</v>
      </c>
    </row>
    <row r="503" spans="1:15" x14ac:dyDescent="0.3">
      <c r="A503" t="s">
        <v>1506</v>
      </c>
      <c r="B503" t="s">
        <v>1507</v>
      </c>
      <c r="C503" s="1">
        <v>46145.458333333343</v>
      </c>
      <c r="D503" t="s">
        <v>15</v>
      </c>
      <c r="E503" t="s">
        <v>41</v>
      </c>
      <c r="F503" t="s">
        <v>17</v>
      </c>
      <c r="G503" t="s">
        <v>56</v>
      </c>
      <c r="H503" t="s">
        <v>57</v>
      </c>
      <c r="I503" t="s">
        <v>58</v>
      </c>
      <c r="J503" t="s">
        <v>1508</v>
      </c>
      <c r="K503" t="s">
        <v>74</v>
      </c>
      <c r="L503" s="1">
        <v>46145</v>
      </c>
      <c r="M503" t="s">
        <v>1479</v>
      </c>
      <c r="N503">
        <f t="shared" si="14"/>
        <v>2026</v>
      </c>
      <c r="O503" t="str">
        <f t="shared" si="15"/>
        <v>Sunday</v>
      </c>
    </row>
    <row r="504" spans="1:15" x14ac:dyDescent="0.3">
      <c r="A504" t="s">
        <v>1509</v>
      </c>
      <c r="B504" t="s">
        <v>1510</v>
      </c>
      <c r="C504" s="1">
        <v>46145.5</v>
      </c>
      <c r="D504" t="s">
        <v>15</v>
      </c>
      <c r="E504" t="s">
        <v>34</v>
      </c>
      <c r="F504" t="s">
        <v>17</v>
      </c>
      <c r="G504" t="s">
        <v>112</v>
      </c>
      <c r="H504" t="s">
        <v>113</v>
      </c>
      <c r="I504" t="s">
        <v>37</v>
      </c>
      <c r="J504" t="s">
        <v>1511</v>
      </c>
      <c r="K504" t="s">
        <v>31</v>
      </c>
      <c r="L504" s="1">
        <v>46145</v>
      </c>
      <c r="M504" t="s">
        <v>1479</v>
      </c>
      <c r="N504">
        <f t="shared" si="14"/>
        <v>2026</v>
      </c>
      <c r="O504" t="str">
        <f t="shared" si="15"/>
        <v>Sunday</v>
      </c>
    </row>
    <row r="505" spans="1:15" x14ac:dyDescent="0.3">
      <c r="A505" t="s">
        <v>1512</v>
      </c>
      <c r="B505" t="s">
        <v>1513</v>
      </c>
      <c r="C505" s="1">
        <v>46145.708333333343</v>
      </c>
      <c r="D505" t="s">
        <v>15</v>
      </c>
      <c r="E505" t="s">
        <v>16</v>
      </c>
      <c r="F505" t="s">
        <v>42</v>
      </c>
      <c r="G505" t="s">
        <v>91</v>
      </c>
      <c r="H505" t="s">
        <v>92</v>
      </c>
      <c r="I505" t="s">
        <v>37</v>
      </c>
      <c r="J505" t="s">
        <v>1514</v>
      </c>
      <c r="K505" t="s">
        <v>31</v>
      </c>
      <c r="L505" s="1">
        <v>46145</v>
      </c>
      <c r="M505" t="s">
        <v>1479</v>
      </c>
      <c r="N505">
        <f t="shared" si="14"/>
        <v>2026</v>
      </c>
      <c r="O505" t="str">
        <f t="shared" si="15"/>
        <v>Sunday</v>
      </c>
    </row>
    <row r="506" spans="1:15" x14ac:dyDescent="0.3">
      <c r="A506" t="s">
        <v>1515</v>
      </c>
      <c r="B506" t="s">
        <v>1516</v>
      </c>
      <c r="C506" s="1">
        <v>46146.333333333343</v>
      </c>
      <c r="D506" t="s">
        <v>15</v>
      </c>
      <c r="E506" t="s">
        <v>16</v>
      </c>
      <c r="F506" t="s">
        <v>50</v>
      </c>
      <c r="G506" t="s">
        <v>80</v>
      </c>
      <c r="H506" t="s">
        <v>81</v>
      </c>
      <c r="I506" t="s">
        <v>82</v>
      </c>
      <c r="J506" t="s">
        <v>1517</v>
      </c>
      <c r="K506" t="s">
        <v>74</v>
      </c>
      <c r="L506" s="1">
        <v>46146</v>
      </c>
      <c r="M506" t="s">
        <v>1479</v>
      </c>
      <c r="N506">
        <f t="shared" si="14"/>
        <v>2026</v>
      </c>
      <c r="O506" t="str">
        <f t="shared" si="15"/>
        <v>Monday</v>
      </c>
    </row>
    <row r="507" spans="1:15" x14ac:dyDescent="0.3">
      <c r="A507" t="s">
        <v>1518</v>
      </c>
      <c r="B507" t="s">
        <v>1519</v>
      </c>
      <c r="C507" s="1">
        <v>46146.416666666657</v>
      </c>
      <c r="D507" t="s">
        <v>15</v>
      </c>
      <c r="E507" t="s">
        <v>41</v>
      </c>
      <c r="F507" t="s">
        <v>17</v>
      </c>
      <c r="G507" t="s">
        <v>35</v>
      </c>
      <c r="H507" t="s">
        <v>36</v>
      </c>
      <c r="I507" t="s">
        <v>37</v>
      </c>
      <c r="J507" t="s">
        <v>1520</v>
      </c>
      <c r="K507" t="s">
        <v>47</v>
      </c>
      <c r="L507" s="1">
        <v>46146</v>
      </c>
      <c r="M507" t="s">
        <v>1479</v>
      </c>
      <c r="N507">
        <f t="shared" si="14"/>
        <v>2026</v>
      </c>
      <c r="O507" t="str">
        <f t="shared" si="15"/>
        <v>Monday</v>
      </c>
    </row>
    <row r="508" spans="1:15" x14ac:dyDescent="0.3">
      <c r="A508" t="s">
        <v>1521</v>
      </c>
      <c r="B508" t="s">
        <v>1522</v>
      </c>
      <c r="C508" s="1">
        <v>46146.666666666657</v>
      </c>
      <c r="D508" t="s">
        <v>15</v>
      </c>
      <c r="E508" t="s">
        <v>34</v>
      </c>
      <c r="F508" t="s">
        <v>17</v>
      </c>
      <c r="G508" t="s">
        <v>112</v>
      </c>
      <c r="H508" t="s">
        <v>113</v>
      </c>
      <c r="I508" t="s">
        <v>37</v>
      </c>
      <c r="J508" t="s">
        <v>1523</v>
      </c>
      <c r="K508" t="s">
        <v>31</v>
      </c>
      <c r="L508" s="1">
        <v>46146</v>
      </c>
      <c r="M508" t="s">
        <v>1479</v>
      </c>
      <c r="N508">
        <f t="shared" si="14"/>
        <v>2026</v>
      </c>
      <c r="O508" t="str">
        <f t="shared" si="15"/>
        <v>Monday</v>
      </c>
    </row>
    <row r="509" spans="1:15" x14ac:dyDescent="0.3">
      <c r="A509" t="s">
        <v>1524</v>
      </c>
      <c r="B509" t="s">
        <v>1525</v>
      </c>
      <c r="C509" s="1">
        <v>46146.666666666657</v>
      </c>
      <c r="D509" t="s">
        <v>15</v>
      </c>
      <c r="E509" t="s">
        <v>16</v>
      </c>
      <c r="F509" t="s">
        <v>17</v>
      </c>
      <c r="G509" t="s">
        <v>112</v>
      </c>
      <c r="H509" t="s">
        <v>113</v>
      </c>
      <c r="I509" t="s">
        <v>37</v>
      </c>
      <c r="J509" t="s">
        <v>1526</v>
      </c>
      <c r="K509" t="s">
        <v>31</v>
      </c>
      <c r="L509" s="1">
        <v>46146</v>
      </c>
      <c r="M509" t="s">
        <v>1479</v>
      </c>
      <c r="N509">
        <f t="shared" si="14"/>
        <v>2026</v>
      </c>
      <c r="O509" t="str">
        <f t="shared" si="15"/>
        <v>Monday</v>
      </c>
    </row>
    <row r="510" spans="1:15" x14ac:dyDescent="0.3">
      <c r="A510" t="s">
        <v>1527</v>
      </c>
      <c r="B510" t="s">
        <v>1528</v>
      </c>
      <c r="C510" s="1">
        <v>46146.75</v>
      </c>
      <c r="D510" t="s">
        <v>15</v>
      </c>
      <c r="E510" t="s">
        <v>26</v>
      </c>
      <c r="F510" t="s">
        <v>17</v>
      </c>
      <c r="G510" t="s">
        <v>18</v>
      </c>
      <c r="H510" t="s">
        <v>19</v>
      </c>
      <c r="I510" t="s">
        <v>20</v>
      </c>
      <c r="J510" t="s">
        <v>1529</v>
      </c>
      <c r="K510" t="s">
        <v>74</v>
      </c>
      <c r="L510" s="1">
        <v>46146</v>
      </c>
      <c r="M510" t="s">
        <v>1479</v>
      </c>
      <c r="N510">
        <f t="shared" si="14"/>
        <v>2026</v>
      </c>
      <c r="O510" t="str">
        <f t="shared" si="15"/>
        <v>Monday</v>
      </c>
    </row>
    <row r="511" spans="1:15" x14ac:dyDescent="0.3">
      <c r="A511" t="s">
        <v>1530</v>
      </c>
      <c r="B511" t="s">
        <v>1531</v>
      </c>
      <c r="C511" s="1">
        <v>46146.791666666657</v>
      </c>
      <c r="D511" t="s">
        <v>15</v>
      </c>
      <c r="E511" t="s">
        <v>16</v>
      </c>
      <c r="F511" t="s">
        <v>17</v>
      </c>
      <c r="G511" t="s">
        <v>43</v>
      </c>
      <c r="H511" t="s">
        <v>44</v>
      </c>
      <c r="I511" t="s">
        <v>45</v>
      </c>
      <c r="J511" t="s">
        <v>1532</v>
      </c>
      <c r="K511" t="s">
        <v>22</v>
      </c>
      <c r="L511" s="1">
        <v>46146</v>
      </c>
      <c r="M511" t="s">
        <v>1479</v>
      </c>
      <c r="N511">
        <f t="shared" si="14"/>
        <v>2026</v>
      </c>
      <c r="O511" t="str">
        <f t="shared" si="15"/>
        <v>Monday</v>
      </c>
    </row>
    <row r="512" spans="1:15" x14ac:dyDescent="0.3">
      <c r="A512" t="s">
        <v>1533</v>
      </c>
      <c r="B512" t="s">
        <v>1534</v>
      </c>
      <c r="C512" s="1">
        <v>46147.416666666657</v>
      </c>
      <c r="D512" t="s">
        <v>15</v>
      </c>
      <c r="E512" t="s">
        <v>16</v>
      </c>
      <c r="F512" t="s">
        <v>17</v>
      </c>
      <c r="G512" t="s">
        <v>27</v>
      </c>
      <c r="H512" t="s">
        <v>28</v>
      </c>
      <c r="I512" t="s">
        <v>29</v>
      </c>
      <c r="J512" t="s">
        <v>1535</v>
      </c>
      <c r="K512" t="s">
        <v>74</v>
      </c>
      <c r="L512" s="1">
        <v>46147</v>
      </c>
      <c r="M512" t="s">
        <v>1479</v>
      </c>
      <c r="N512">
        <f t="shared" si="14"/>
        <v>2026</v>
      </c>
      <c r="O512" t="str">
        <f t="shared" si="15"/>
        <v>Tuesday</v>
      </c>
    </row>
    <row r="513" spans="1:15" x14ac:dyDescent="0.3">
      <c r="A513" t="s">
        <v>1536</v>
      </c>
      <c r="B513" t="s">
        <v>1537</v>
      </c>
      <c r="C513" s="1">
        <v>46147.833333333343</v>
      </c>
      <c r="D513" t="s">
        <v>15</v>
      </c>
      <c r="E513" t="s">
        <v>16</v>
      </c>
      <c r="F513" t="s">
        <v>17</v>
      </c>
      <c r="G513" t="s">
        <v>86</v>
      </c>
      <c r="H513" t="s">
        <v>87</v>
      </c>
      <c r="I513" t="s">
        <v>82</v>
      </c>
      <c r="J513" t="s">
        <v>1538</v>
      </c>
      <c r="K513" t="s">
        <v>47</v>
      </c>
      <c r="L513" s="1">
        <v>46147</v>
      </c>
      <c r="M513" t="s">
        <v>1479</v>
      </c>
      <c r="N513">
        <f t="shared" si="14"/>
        <v>2026</v>
      </c>
      <c r="O513" t="str">
        <f t="shared" si="15"/>
        <v>Tuesday</v>
      </c>
    </row>
    <row r="514" spans="1:15" x14ac:dyDescent="0.3">
      <c r="A514" t="s">
        <v>1539</v>
      </c>
      <c r="B514" t="s">
        <v>1540</v>
      </c>
      <c r="C514" s="1">
        <v>46148.333333333343</v>
      </c>
      <c r="D514" t="s">
        <v>15</v>
      </c>
      <c r="E514" t="s">
        <v>34</v>
      </c>
      <c r="F514" t="s">
        <v>17</v>
      </c>
      <c r="G514" t="s">
        <v>43</v>
      </c>
      <c r="H514" t="s">
        <v>44</v>
      </c>
      <c r="I514" t="s">
        <v>45</v>
      </c>
      <c r="J514" t="s">
        <v>1541</v>
      </c>
      <c r="K514" t="s">
        <v>31</v>
      </c>
      <c r="L514" s="1">
        <v>46148</v>
      </c>
      <c r="M514" t="s">
        <v>1479</v>
      </c>
      <c r="N514">
        <f t="shared" si="14"/>
        <v>2026</v>
      </c>
      <c r="O514" t="str">
        <f t="shared" si="15"/>
        <v>Wednesday</v>
      </c>
    </row>
    <row r="515" spans="1:15" x14ac:dyDescent="0.3">
      <c r="A515" t="s">
        <v>1542</v>
      </c>
      <c r="B515" t="s">
        <v>1543</v>
      </c>
      <c r="C515" s="1">
        <v>46148.833333333343</v>
      </c>
      <c r="D515" t="s">
        <v>15</v>
      </c>
      <c r="E515" t="s">
        <v>34</v>
      </c>
      <c r="F515" t="s">
        <v>42</v>
      </c>
      <c r="G515" t="s">
        <v>191</v>
      </c>
      <c r="H515" t="s">
        <v>192</v>
      </c>
      <c r="I515" t="s">
        <v>45</v>
      </c>
      <c r="J515" t="s">
        <v>1544</v>
      </c>
      <c r="K515" t="s">
        <v>31</v>
      </c>
      <c r="L515" s="1">
        <v>46148</v>
      </c>
      <c r="M515" t="s">
        <v>1479</v>
      </c>
      <c r="N515">
        <f t="shared" ref="N515:N578" si="16">YEAR(C515)</f>
        <v>2026</v>
      </c>
      <c r="O515" t="str">
        <f t="shared" ref="O515:O578" si="17">TEXT(C515,"dddd")</f>
        <v>Wednesday</v>
      </c>
    </row>
    <row r="516" spans="1:15" x14ac:dyDescent="0.3">
      <c r="A516" t="s">
        <v>1545</v>
      </c>
      <c r="B516" t="s">
        <v>1546</v>
      </c>
      <c r="C516" s="1">
        <v>46149.333333333343</v>
      </c>
      <c r="D516" t="s">
        <v>15</v>
      </c>
      <c r="E516" t="s">
        <v>26</v>
      </c>
      <c r="F516" t="s">
        <v>17</v>
      </c>
      <c r="G516" t="s">
        <v>43</v>
      </c>
      <c r="H516" t="s">
        <v>44</v>
      </c>
      <c r="I516" t="s">
        <v>45</v>
      </c>
      <c r="J516" t="s">
        <v>1547</v>
      </c>
      <c r="K516" t="s">
        <v>74</v>
      </c>
      <c r="L516" s="1">
        <v>46149</v>
      </c>
      <c r="M516" t="s">
        <v>1479</v>
      </c>
      <c r="N516">
        <f t="shared" si="16"/>
        <v>2026</v>
      </c>
      <c r="O516" t="str">
        <f t="shared" si="17"/>
        <v>Thursday</v>
      </c>
    </row>
    <row r="517" spans="1:15" x14ac:dyDescent="0.3">
      <c r="A517" t="s">
        <v>1548</v>
      </c>
      <c r="B517" t="s">
        <v>533</v>
      </c>
      <c r="C517" s="1">
        <v>46149.583333333343</v>
      </c>
      <c r="D517" t="s">
        <v>15</v>
      </c>
      <c r="E517" t="s">
        <v>26</v>
      </c>
      <c r="F517" t="s">
        <v>17</v>
      </c>
      <c r="G517" t="s">
        <v>126</v>
      </c>
      <c r="H517" t="s">
        <v>127</v>
      </c>
      <c r="I517" t="s">
        <v>45</v>
      </c>
      <c r="J517" t="s">
        <v>1549</v>
      </c>
      <c r="K517" t="s">
        <v>74</v>
      </c>
      <c r="L517" s="1">
        <v>46149</v>
      </c>
      <c r="M517" t="s">
        <v>1479</v>
      </c>
      <c r="N517">
        <f t="shared" si="16"/>
        <v>2026</v>
      </c>
      <c r="O517" t="str">
        <f t="shared" si="17"/>
        <v>Thursday</v>
      </c>
    </row>
    <row r="518" spans="1:15" x14ac:dyDescent="0.3">
      <c r="A518" t="s">
        <v>1550</v>
      </c>
      <c r="B518" t="s">
        <v>1551</v>
      </c>
      <c r="C518" s="1">
        <v>46149.875</v>
      </c>
      <c r="D518" t="s">
        <v>15</v>
      </c>
      <c r="E518" t="s">
        <v>34</v>
      </c>
      <c r="F518" t="s">
        <v>17</v>
      </c>
      <c r="G518" t="s">
        <v>56</v>
      </c>
      <c r="H518" t="s">
        <v>57</v>
      </c>
      <c r="I518" t="s">
        <v>58</v>
      </c>
      <c r="J518" t="s">
        <v>1552</v>
      </c>
      <c r="K518" t="s">
        <v>22</v>
      </c>
      <c r="L518" s="1">
        <v>46149</v>
      </c>
      <c r="M518" t="s">
        <v>1479</v>
      </c>
      <c r="N518">
        <f t="shared" si="16"/>
        <v>2026</v>
      </c>
      <c r="O518" t="str">
        <f t="shared" si="17"/>
        <v>Thursday</v>
      </c>
    </row>
    <row r="519" spans="1:15" x14ac:dyDescent="0.3">
      <c r="A519" t="s">
        <v>1553</v>
      </c>
      <c r="B519" t="s">
        <v>1554</v>
      </c>
      <c r="C519" s="1">
        <v>46150.458333333343</v>
      </c>
      <c r="D519" t="s">
        <v>15</v>
      </c>
      <c r="E519" t="s">
        <v>16</v>
      </c>
      <c r="F519" t="s">
        <v>17</v>
      </c>
      <c r="G519" t="s">
        <v>250</v>
      </c>
      <c r="H519" t="s">
        <v>251</v>
      </c>
      <c r="I519" t="s">
        <v>108</v>
      </c>
      <c r="J519" t="s">
        <v>1555</v>
      </c>
      <c r="K519" t="s">
        <v>47</v>
      </c>
      <c r="L519" s="1">
        <v>46150</v>
      </c>
      <c r="M519" t="s">
        <v>1479</v>
      </c>
      <c r="N519">
        <f t="shared" si="16"/>
        <v>2026</v>
      </c>
      <c r="O519" t="str">
        <f t="shared" si="17"/>
        <v>Friday</v>
      </c>
    </row>
    <row r="520" spans="1:15" x14ac:dyDescent="0.3">
      <c r="A520" t="s">
        <v>1556</v>
      </c>
      <c r="B520" t="s">
        <v>1302</v>
      </c>
      <c r="C520" s="1">
        <v>46150.5</v>
      </c>
      <c r="D520" t="s">
        <v>15</v>
      </c>
      <c r="E520" t="s">
        <v>26</v>
      </c>
      <c r="F520" t="s">
        <v>17</v>
      </c>
      <c r="G520" t="s">
        <v>160</v>
      </c>
      <c r="H520" t="s">
        <v>161</v>
      </c>
      <c r="I520" t="s">
        <v>82</v>
      </c>
      <c r="J520" t="s">
        <v>1557</v>
      </c>
      <c r="K520" t="s">
        <v>74</v>
      </c>
      <c r="L520" s="1">
        <v>46150</v>
      </c>
      <c r="M520" t="s">
        <v>1479</v>
      </c>
      <c r="N520">
        <f t="shared" si="16"/>
        <v>2026</v>
      </c>
      <c r="O520" t="str">
        <f t="shared" si="17"/>
        <v>Friday</v>
      </c>
    </row>
    <row r="521" spans="1:15" x14ac:dyDescent="0.3">
      <c r="A521" t="s">
        <v>1558</v>
      </c>
      <c r="B521" t="s">
        <v>1559</v>
      </c>
      <c r="C521" s="1">
        <v>46150.583333333343</v>
      </c>
      <c r="D521" t="s">
        <v>15</v>
      </c>
      <c r="E521" t="s">
        <v>16</v>
      </c>
      <c r="F521" t="s">
        <v>50</v>
      </c>
      <c r="G521" t="s">
        <v>91</v>
      </c>
      <c r="H521" t="s">
        <v>92</v>
      </c>
      <c r="I521" t="s">
        <v>37</v>
      </c>
      <c r="J521" t="s">
        <v>1560</v>
      </c>
      <c r="K521" t="s">
        <v>22</v>
      </c>
      <c r="L521" s="1">
        <v>46150</v>
      </c>
      <c r="M521" t="s">
        <v>1479</v>
      </c>
      <c r="N521">
        <f t="shared" si="16"/>
        <v>2026</v>
      </c>
      <c r="O521" t="str">
        <f t="shared" si="17"/>
        <v>Friday</v>
      </c>
    </row>
    <row r="522" spans="1:15" x14ac:dyDescent="0.3">
      <c r="A522" t="s">
        <v>1561</v>
      </c>
      <c r="B522" t="s">
        <v>1562</v>
      </c>
      <c r="C522" s="1">
        <v>46150.625</v>
      </c>
      <c r="D522" t="s">
        <v>15</v>
      </c>
      <c r="E522" t="s">
        <v>16</v>
      </c>
      <c r="F522" t="s">
        <v>50</v>
      </c>
      <c r="G522" t="s">
        <v>51</v>
      </c>
      <c r="H522" t="s">
        <v>52</v>
      </c>
      <c r="I522" t="s">
        <v>20</v>
      </c>
      <c r="J522" t="s">
        <v>1563</v>
      </c>
      <c r="K522" t="s">
        <v>74</v>
      </c>
      <c r="L522" s="1">
        <v>46150</v>
      </c>
      <c r="M522" t="s">
        <v>1479</v>
      </c>
      <c r="N522">
        <f t="shared" si="16"/>
        <v>2026</v>
      </c>
      <c r="O522" t="str">
        <f t="shared" si="17"/>
        <v>Friday</v>
      </c>
    </row>
    <row r="523" spans="1:15" x14ac:dyDescent="0.3">
      <c r="A523" t="s">
        <v>1564</v>
      </c>
      <c r="B523" t="s">
        <v>1565</v>
      </c>
      <c r="C523" s="1">
        <v>46150.75</v>
      </c>
      <c r="D523" t="s">
        <v>15</v>
      </c>
      <c r="E523" t="s">
        <v>34</v>
      </c>
      <c r="F523" t="s">
        <v>50</v>
      </c>
      <c r="G523" t="s">
        <v>101</v>
      </c>
      <c r="H523" t="s">
        <v>102</v>
      </c>
      <c r="I523" t="s">
        <v>45</v>
      </c>
      <c r="J523" t="s">
        <v>1566</v>
      </c>
      <c r="K523" t="s">
        <v>47</v>
      </c>
      <c r="L523" s="1">
        <v>46150</v>
      </c>
      <c r="M523" t="s">
        <v>1479</v>
      </c>
      <c r="N523">
        <f t="shared" si="16"/>
        <v>2026</v>
      </c>
      <c r="O523" t="str">
        <f t="shared" si="17"/>
        <v>Friday</v>
      </c>
    </row>
    <row r="524" spans="1:15" x14ac:dyDescent="0.3">
      <c r="A524" t="s">
        <v>1567</v>
      </c>
      <c r="B524" t="s">
        <v>1140</v>
      </c>
      <c r="C524" s="1">
        <v>46150.833333333343</v>
      </c>
      <c r="D524" t="s">
        <v>15</v>
      </c>
      <c r="E524" t="s">
        <v>26</v>
      </c>
      <c r="F524" t="s">
        <v>17</v>
      </c>
      <c r="G524" t="s">
        <v>35</v>
      </c>
      <c r="H524" t="s">
        <v>36</v>
      </c>
      <c r="I524" t="s">
        <v>37</v>
      </c>
      <c r="J524" t="s">
        <v>1568</v>
      </c>
      <c r="K524" t="s">
        <v>60</v>
      </c>
      <c r="L524" s="1">
        <v>46150</v>
      </c>
      <c r="M524" t="s">
        <v>1479</v>
      </c>
      <c r="N524">
        <f t="shared" si="16"/>
        <v>2026</v>
      </c>
      <c r="O524" t="str">
        <f t="shared" si="17"/>
        <v>Friday</v>
      </c>
    </row>
    <row r="525" spans="1:15" x14ac:dyDescent="0.3">
      <c r="A525" t="s">
        <v>1569</v>
      </c>
      <c r="B525" t="s">
        <v>1570</v>
      </c>
      <c r="C525" s="1">
        <v>46150.875</v>
      </c>
      <c r="D525" t="s">
        <v>15</v>
      </c>
      <c r="E525" t="s">
        <v>26</v>
      </c>
      <c r="F525" t="s">
        <v>42</v>
      </c>
      <c r="G525" t="s">
        <v>165</v>
      </c>
      <c r="H525" t="s">
        <v>166</v>
      </c>
      <c r="I525" t="s">
        <v>29</v>
      </c>
      <c r="J525" t="s">
        <v>1571</v>
      </c>
      <c r="K525" t="s">
        <v>60</v>
      </c>
      <c r="L525" s="1">
        <v>46150</v>
      </c>
      <c r="M525" t="s">
        <v>1479</v>
      </c>
      <c r="N525">
        <f t="shared" si="16"/>
        <v>2026</v>
      </c>
      <c r="O525" t="str">
        <f t="shared" si="17"/>
        <v>Friday</v>
      </c>
    </row>
    <row r="526" spans="1:15" x14ac:dyDescent="0.3">
      <c r="A526" t="s">
        <v>1572</v>
      </c>
      <c r="B526" t="s">
        <v>1573</v>
      </c>
      <c r="C526" s="1">
        <v>46151.458333333343</v>
      </c>
      <c r="D526" t="s">
        <v>15</v>
      </c>
      <c r="E526" t="s">
        <v>41</v>
      </c>
      <c r="F526" t="s">
        <v>17</v>
      </c>
      <c r="G526" t="s">
        <v>191</v>
      </c>
      <c r="H526" t="s">
        <v>192</v>
      </c>
      <c r="I526" t="s">
        <v>45</v>
      </c>
      <c r="J526" t="s">
        <v>1574</v>
      </c>
      <c r="K526" t="s">
        <v>60</v>
      </c>
      <c r="L526" s="1">
        <v>46151</v>
      </c>
      <c r="M526" t="s">
        <v>1479</v>
      </c>
      <c r="N526">
        <f t="shared" si="16"/>
        <v>2026</v>
      </c>
      <c r="O526" t="str">
        <f t="shared" si="17"/>
        <v>Saturday</v>
      </c>
    </row>
    <row r="527" spans="1:15" x14ac:dyDescent="0.3">
      <c r="A527" t="s">
        <v>1575</v>
      </c>
      <c r="B527" t="s">
        <v>1576</v>
      </c>
      <c r="C527" s="1">
        <v>46151.5</v>
      </c>
      <c r="D527" t="s">
        <v>15</v>
      </c>
      <c r="E527" t="s">
        <v>26</v>
      </c>
      <c r="F527" t="s">
        <v>50</v>
      </c>
      <c r="G527" t="s">
        <v>126</v>
      </c>
      <c r="H527" t="s">
        <v>127</v>
      </c>
      <c r="I527" t="s">
        <v>45</v>
      </c>
      <c r="J527" t="s">
        <v>1577</v>
      </c>
      <c r="K527" t="s">
        <v>74</v>
      </c>
      <c r="L527" s="1">
        <v>46151</v>
      </c>
      <c r="M527" t="s">
        <v>1479</v>
      </c>
      <c r="N527">
        <f t="shared" si="16"/>
        <v>2026</v>
      </c>
      <c r="O527" t="str">
        <f t="shared" si="17"/>
        <v>Saturday</v>
      </c>
    </row>
    <row r="528" spans="1:15" x14ac:dyDescent="0.3">
      <c r="A528" t="s">
        <v>1578</v>
      </c>
      <c r="B528" t="s">
        <v>1020</v>
      </c>
      <c r="C528" s="1">
        <v>46151.541666666657</v>
      </c>
      <c r="D528" t="s">
        <v>15</v>
      </c>
      <c r="E528" t="s">
        <v>16</v>
      </c>
      <c r="F528" t="s">
        <v>50</v>
      </c>
      <c r="G528" t="s">
        <v>35</v>
      </c>
      <c r="H528" t="s">
        <v>36</v>
      </c>
      <c r="I528" t="s">
        <v>37</v>
      </c>
      <c r="J528" t="s">
        <v>1579</v>
      </c>
      <c r="K528" t="s">
        <v>60</v>
      </c>
      <c r="L528" s="1">
        <v>46151</v>
      </c>
      <c r="M528" t="s">
        <v>1479</v>
      </c>
      <c r="N528">
        <f t="shared" si="16"/>
        <v>2026</v>
      </c>
      <c r="O528" t="str">
        <f t="shared" si="17"/>
        <v>Saturday</v>
      </c>
    </row>
    <row r="529" spans="1:15" x14ac:dyDescent="0.3">
      <c r="A529" t="s">
        <v>1580</v>
      </c>
      <c r="B529" t="s">
        <v>1581</v>
      </c>
      <c r="C529" s="1">
        <v>46151.875</v>
      </c>
      <c r="D529" t="s">
        <v>15</v>
      </c>
      <c r="E529" t="s">
        <v>26</v>
      </c>
      <c r="F529" t="s">
        <v>50</v>
      </c>
      <c r="G529" t="s">
        <v>160</v>
      </c>
      <c r="H529" t="s">
        <v>161</v>
      </c>
      <c r="I529" t="s">
        <v>82</v>
      </c>
      <c r="J529" t="s">
        <v>1582</v>
      </c>
      <c r="K529" t="s">
        <v>22</v>
      </c>
      <c r="L529" s="1">
        <v>46151</v>
      </c>
      <c r="M529" t="s">
        <v>1479</v>
      </c>
      <c r="N529">
        <f t="shared" si="16"/>
        <v>2026</v>
      </c>
      <c r="O529" t="str">
        <f t="shared" si="17"/>
        <v>Saturday</v>
      </c>
    </row>
    <row r="530" spans="1:15" x14ac:dyDescent="0.3">
      <c r="A530" t="s">
        <v>1583</v>
      </c>
      <c r="B530" t="s">
        <v>571</v>
      </c>
      <c r="C530" s="1">
        <v>46152.375</v>
      </c>
      <c r="D530" t="s">
        <v>15</v>
      </c>
      <c r="E530" t="s">
        <v>63</v>
      </c>
      <c r="F530" t="s">
        <v>50</v>
      </c>
      <c r="G530" t="s">
        <v>91</v>
      </c>
      <c r="H530" t="s">
        <v>92</v>
      </c>
      <c r="I530" t="s">
        <v>37</v>
      </c>
      <c r="J530" t="s">
        <v>1584</v>
      </c>
      <c r="K530" t="s">
        <v>47</v>
      </c>
      <c r="L530" s="1">
        <v>46152</v>
      </c>
      <c r="M530" t="s">
        <v>1479</v>
      </c>
      <c r="N530">
        <f t="shared" si="16"/>
        <v>2026</v>
      </c>
      <c r="O530" t="str">
        <f t="shared" si="17"/>
        <v>Sunday</v>
      </c>
    </row>
    <row r="531" spans="1:15" x14ac:dyDescent="0.3">
      <c r="A531" t="s">
        <v>1585</v>
      </c>
      <c r="B531" t="s">
        <v>1586</v>
      </c>
      <c r="C531" s="1">
        <v>46152.5</v>
      </c>
      <c r="D531" t="s">
        <v>15</v>
      </c>
      <c r="E531" t="s">
        <v>63</v>
      </c>
      <c r="F531" t="s">
        <v>17</v>
      </c>
      <c r="G531" t="s">
        <v>35</v>
      </c>
      <c r="H531" t="s">
        <v>36</v>
      </c>
      <c r="I531" t="s">
        <v>37</v>
      </c>
      <c r="J531" t="s">
        <v>1587</v>
      </c>
      <c r="K531" t="s">
        <v>74</v>
      </c>
      <c r="L531" s="1">
        <v>46152</v>
      </c>
      <c r="M531" t="s">
        <v>1479</v>
      </c>
      <c r="N531">
        <f t="shared" si="16"/>
        <v>2026</v>
      </c>
      <c r="O531" t="str">
        <f t="shared" si="17"/>
        <v>Sunday</v>
      </c>
    </row>
    <row r="532" spans="1:15" x14ac:dyDescent="0.3">
      <c r="A532" t="s">
        <v>1588</v>
      </c>
      <c r="B532" t="s">
        <v>1589</v>
      </c>
      <c r="C532" s="1">
        <v>46152.541666666657</v>
      </c>
      <c r="D532" t="s">
        <v>15</v>
      </c>
      <c r="E532" t="s">
        <v>34</v>
      </c>
      <c r="F532" t="s">
        <v>17</v>
      </c>
      <c r="G532" t="s">
        <v>35</v>
      </c>
      <c r="H532" t="s">
        <v>36</v>
      </c>
      <c r="I532" t="s">
        <v>37</v>
      </c>
      <c r="J532" t="s">
        <v>1590</v>
      </c>
      <c r="K532" t="s">
        <v>22</v>
      </c>
      <c r="L532" s="1">
        <v>46152</v>
      </c>
      <c r="M532" t="s">
        <v>1479</v>
      </c>
      <c r="N532">
        <f t="shared" si="16"/>
        <v>2026</v>
      </c>
      <c r="O532" t="str">
        <f t="shared" si="17"/>
        <v>Sunday</v>
      </c>
    </row>
    <row r="533" spans="1:15" x14ac:dyDescent="0.3">
      <c r="A533" t="s">
        <v>1591</v>
      </c>
      <c r="B533" t="s">
        <v>1592</v>
      </c>
      <c r="C533" s="1">
        <v>46152.625</v>
      </c>
      <c r="D533" t="s">
        <v>15</v>
      </c>
      <c r="E533" t="s">
        <v>63</v>
      </c>
      <c r="F533" t="s">
        <v>42</v>
      </c>
      <c r="G533" t="s">
        <v>43</v>
      </c>
      <c r="H533" t="s">
        <v>44</v>
      </c>
      <c r="I533" t="s">
        <v>45</v>
      </c>
      <c r="J533" t="s">
        <v>1593</v>
      </c>
      <c r="K533" t="s">
        <v>74</v>
      </c>
      <c r="L533" s="1">
        <v>46152</v>
      </c>
      <c r="M533" t="s">
        <v>1479</v>
      </c>
      <c r="N533">
        <f t="shared" si="16"/>
        <v>2026</v>
      </c>
      <c r="O533" t="str">
        <f t="shared" si="17"/>
        <v>Sunday</v>
      </c>
    </row>
    <row r="534" spans="1:15" x14ac:dyDescent="0.3">
      <c r="A534" t="s">
        <v>1594</v>
      </c>
      <c r="B534" t="s">
        <v>1595</v>
      </c>
      <c r="C534" s="1">
        <v>46153.541666666657</v>
      </c>
      <c r="D534" t="s">
        <v>15</v>
      </c>
      <c r="E534" t="s">
        <v>26</v>
      </c>
      <c r="F534" t="s">
        <v>50</v>
      </c>
      <c r="G534" t="s">
        <v>126</v>
      </c>
      <c r="H534" t="s">
        <v>127</v>
      </c>
      <c r="I534" t="s">
        <v>45</v>
      </c>
      <c r="J534" t="s">
        <v>1596</v>
      </c>
      <c r="K534" t="s">
        <v>74</v>
      </c>
      <c r="L534" s="1">
        <v>46153</v>
      </c>
      <c r="M534" t="s">
        <v>1479</v>
      </c>
      <c r="N534">
        <f t="shared" si="16"/>
        <v>2026</v>
      </c>
      <c r="O534" t="str">
        <f t="shared" si="17"/>
        <v>Monday</v>
      </c>
    </row>
    <row r="535" spans="1:15" x14ac:dyDescent="0.3">
      <c r="A535" t="s">
        <v>1597</v>
      </c>
      <c r="B535" t="s">
        <v>1598</v>
      </c>
      <c r="C535" s="1">
        <v>46153.708333333343</v>
      </c>
      <c r="D535" t="s">
        <v>15</v>
      </c>
      <c r="E535" t="s">
        <v>63</v>
      </c>
      <c r="F535" t="s">
        <v>17</v>
      </c>
      <c r="G535" t="s">
        <v>56</v>
      </c>
      <c r="H535" t="s">
        <v>57</v>
      </c>
      <c r="I535" t="s">
        <v>58</v>
      </c>
      <c r="J535" t="s">
        <v>1599</v>
      </c>
      <c r="K535" t="s">
        <v>31</v>
      </c>
      <c r="L535" s="1">
        <v>46153</v>
      </c>
      <c r="M535" t="s">
        <v>1479</v>
      </c>
      <c r="N535">
        <f t="shared" si="16"/>
        <v>2026</v>
      </c>
      <c r="O535" t="str">
        <f t="shared" si="17"/>
        <v>Monday</v>
      </c>
    </row>
    <row r="536" spans="1:15" x14ac:dyDescent="0.3">
      <c r="A536" t="s">
        <v>1600</v>
      </c>
      <c r="B536" t="s">
        <v>1601</v>
      </c>
      <c r="C536" s="1">
        <v>46153.791666666657</v>
      </c>
      <c r="D536" t="s">
        <v>15</v>
      </c>
      <c r="E536" t="s">
        <v>63</v>
      </c>
      <c r="F536" t="s">
        <v>17</v>
      </c>
      <c r="G536" t="s">
        <v>91</v>
      </c>
      <c r="H536" t="s">
        <v>92</v>
      </c>
      <c r="I536" t="s">
        <v>37</v>
      </c>
      <c r="J536" t="s">
        <v>1602</v>
      </c>
      <c r="K536" t="s">
        <v>60</v>
      </c>
      <c r="L536" s="1">
        <v>46153</v>
      </c>
      <c r="M536" t="s">
        <v>1479</v>
      </c>
      <c r="N536">
        <f t="shared" si="16"/>
        <v>2026</v>
      </c>
      <c r="O536" t="str">
        <f t="shared" si="17"/>
        <v>Monday</v>
      </c>
    </row>
    <row r="537" spans="1:15" x14ac:dyDescent="0.3">
      <c r="A537" t="s">
        <v>1603</v>
      </c>
      <c r="B537" t="s">
        <v>1604</v>
      </c>
      <c r="C537" s="1">
        <v>46153.875</v>
      </c>
      <c r="D537" t="s">
        <v>15</v>
      </c>
      <c r="E537" t="s">
        <v>16</v>
      </c>
      <c r="F537" t="s">
        <v>42</v>
      </c>
      <c r="G537" t="s">
        <v>86</v>
      </c>
      <c r="H537" t="s">
        <v>87</v>
      </c>
      <c r="I537" t="s">
        <v>82</v>
      </c>
      <c r="J537" t="s">
        <v>1605</v>
      </c>
      <c r="K537" t="s">
        <v>74</v>
      </c>
      <c r="L537" s="1">
        <v>46153</v>
      </c>
      <c r="M537" t="s">
        <v>1479</v>
      </c>
      <c r="N537">
        <f t="shared" si="16"/>
        <v>2026</v>
      </c>
      <c r="O537" t="str">
        <f t="shared" si="17"/>
        <v>Monday</v>
      </c>
    </row>
    <row r="538" spans="1:15" x14ac:dyDescent="0.3">
      <c r="A538" t="s">
        <v>1606</v>
      </c>
      <c r="B538" t="s">
        <v>1607</v>
      </c>
      <c r="C538" s="1">
        <v>46154.333333333343</v>
      </c>
      <c r="D538" t="s">
        <v>15</v>
      </c>
      <c r="E538" t="s">
        <v>26</v>
      </c>
      <c r="F538" t="s">
        <v>17</v>
      </c>
      <c r="G538" t="s">
        <v>18</v>
      </c>
      <c r="H538" t="s">
        <v>19</v>
      </c>
      <c r="I538" t="s">
        <v>20</v>
      </c>
      <c r="J538" t="s">
        <v>1608</v>
      </c>
      <c r="K538" t="s">
        <v>60</v>
      </c>
      <c r="L538" s="1">
        <v>46154</v>
      </c>
      <c r="M538" t="s">
        <v>1479</v>
      </c>
      <c r="N538">
        <f t="shared" si="16"/>
        <v>2026</v>
      </c>
      <c r="O538" t="str">
        <f t="shared" si="17"/>
        <v>Tuesday</v>
      </c>
    </row>
    <row r="539" spans="1:15" x14ac:dyDescent="0.3">
      <c r="A539" t="s">
        <v>1609</v>
      </c>
      <c r="B539" t="s">
        <v>1610</v>
      </c>
      <c r="C539" s="1">
        <v>46154.416666666657</v>
      </c>
      <c r="D539" t="s">
        <v>15</v>
      </c>
      <c r="E539" t="s">
        <v>63</v>
      </c>
      <c r="F539" t="s">
        <v>17</v>
      </c>
      <c r="G539" t="s">
        <v>80</v>
      </c>
      <c r="H539" t="s">
        <v>81</v>
      </c>
      <c r="I539" t="s">
        <v>82</v>
      </c>
      <c r="J539" t="s">
        <v>1611</v>
      </c>
      <c r="K539" t="s">
        <v>74</v>
      </c>
      <c r="L539" s="1">
        <v>46154</v>
      </c>
      <c r="M539" t="s">
        <v>1479</v>
      </c>
      <c r="N539">
        <f t="shared" si="16"/>
        <v>2026</v>
      </c>
      <c r="O539" t="str">
        <f t="shared" si="17"/>
        <v>Tuesday</v>
      </c>
    </row>
    <row r="540" spans="1:15" x14ac:dyDescent="0.3">
      <c r="A540" t="s">
        <v>1612</v>
      </c>
      <c r="B540" t="s">
        <v>1613</v>
      </c>
      <c r="C540" s="1">
        <v>46154.541666666657</v>
      </c>
      <c r="D540" t="s">
        <v>15</v>
      </c>
      <c r="E540" t="s">
        <v>63</v>
      </c>
      <c r="F540" t="s">
        <v>50</v>
      </c>
      <c r="G540" t="s">
        <v>27</v>
      </c>
      <c r="H540" t="s">
        <v>28</v>
      </c>
      <c r="I540" t="s">
        <v>29</v>
      </c>
      <c r="J540" t="s">
        <v>1614</v>
      </c>
      <c r="K540" t="s">
        <v>60</v>
      </c>
      <c r="L540" s="1">
        <v>46154</v>
      </c>
      <c r="M540" t="s">
        <v>1479</v>
      </c>
      <c r="N540">
        <f t="shared" si="16"/>
        <v>2026</v>
      </c>
      <c r="O540" t="str">
        <f t="shared" si="17"/>
        <v>Tuesday</v>
      </c>
    </row>
    <row r="541" spans="1:15" x14ac:dyDescent="0.3">
      <c r="A541" t="s">
        <v>1615</v>
      </c>
      <c r="B541" t="s">
        <v>1616</v>
      </c>
      <c r="C541" s="1">
        <v>46154.666666666657</v>
      </c>
      <c r="D541" t="s">
        <v>15</v>
      </c>
      <c r="E541" t="s">
        <v>16</v>
      </c>
      <c r="F541" t="s">
        <v>42</v>
      </c>
      <c r="G541" t="s">
        <v>56</v>
      </c>
      <c r="H541" t="s">
        <v>57</v>
      </c>
      <c r="I541" t="s">
        <v>58</v>
      </c>
      <c r="J541" t="s">
        <v>1617</v>
      </c>
      <c r="K541" t="s">
        <v>22</v>
      </c>
      <c r="L541" s="1">
        <v>46154</v>
      </c>
      <c r="M541" t="s">
        <v>1479</v>
      </c>
      <c r="N541">
        <f t="shared" si="16"/>
        <v>2026</v>
      </c>
      <c r="O541" t="str">
        <f t="shared" si="17"/>
        <v>Tuesday</v>
      </c>
    </row>
    <row r="542" spans="1:15" x14ac:dyDescent="0.3">
      <c r="A542" t="s">
        <v>1618</v>
      </c>
      <c r="B542" t="s">
        <v>1619</v>
      </c>
      <c r="C542" s="1">
        <v>46154.708333333343</v>
      </c>
      <c r="D542" t="s">
        <v>15</v>
      </c>
      <c r="E542" t="s">
        <v>16</v>
      </c>
      <c r="F542" t="s">
        <v>50</v>
      </c>
      <c r="G542" t="s">
        <v>355</v>
      </c>
      <c r="H542" t="s">
        <v>356</v>
      </c>
      <c r="I542" t="s">
        <v>82</v>
      </c>
      <c r="J542" t="s">
        <v>1620</v>
      </c>
      <c r="K542" t="s">
        <v>60</v>
      </c>
      <c r="L542" s="1">
        <v>46154</v>
      </c>
      <c r="M542" t="s">
        <v>1479</v>
      </c>
      <c r="N542">
        <f t="shared" si="16"/>
        <v>2026</v>
      </c>
      <c r="O542" t="str">
        <f t="shared" si="17"/>
        <v>Tuesday</v>
      </c>
    </row>
    <row r="543" spans="1:15" x14ac:dyDescent="0.3">
      <c r="A543" t="s">
        <v>1621</v>
      </c>
      <c r="B543" t="s">
        <v>1622</v>
      </c>
      <c r="C543" s="1">
        <v>46154.791666666657</v>
      </c>
      <c r="D543" t="s">
        <v>15</v>
      </c>
      <c r="E543" t="s">
        <v>16</v>
      </c>
      <c r="F543" t="s">
        <v>17</v>
      </c>
      <c r="G543" t="s">
        <v>165</v>
      </c>
      <c r="H543" t="s">
        <v>166</v>
      </c>
      <c r="I543" t="s">
        <v>29</v>
      </c>
      <c r="J543" t="s">
        <v>1623</v>
      </c>
      <c r="K543" t="s">
        <v>74</v>
      </c>
      <c r="L543" s="1">
        <v>46154</v>
      </c>
      <c r="M543" t="s">
        <v>1479</v>
      </c>
      <c r="N543">
        <f t="shared" si="16"/>
        <v>2026</v>
      </c>
      <c r="O543" t="str">
        <f t="shared" si="17"/>
        <v>Tuesday</v>
      </c>
    </row>
    <row r="544" spans="1:15" x14ac:dyDescent="0.3">
      <c r="A544" t="s">
        <v>1624</v>
      </c>
      <c r="B544" t="s">
        <v>1625</v>
      </c>
      <c r="C544" s="1">
        <v>46154.791666666657</v>
      </c>
      <c r="D544" t="s">
        <v>15</v>
      </c>
      <c r="E544" t="s">
        <v>41</v>
      </c>
      <c r="F544" t="s">
        <v>17</v>
      </c>
      <c r="G544" t="s">
        <v>56</v>
      </c>
      <c r="H544" t="s">
        <v>57</v>
      </c>
      <c r="I544" t="s">
        <v>58</v>
      </c>
      <c r="J544" t="s">
        <v>1626</v>
      </c>
      <c r="K544" t="s">
        <v>31</v>
      </c>
      <c r="L544" s="1">
        <v>46154</v>
      </c>
      <c r="M544" t="s">
        <v>1479</v>
      </c>
      <c r="N544">
        <f t="shared" si="16"/>
        <v>2026</v>
      </c>
      <c r="O544" t="str">
        <f t="shared" si="17"/>
        <v>Tuesday</v>
      </c>
    </row>
    <row r="545" spans="1:15" x14ac:dyDescent="0.3">
      <c r="A545" t="s">
        <v>1627</v>
      </c>
      <c r="B545" t="s">
        <v>1628</v>
      </c>
      <c r="C545" s="1">
        <v>46154.875</v>
      </c>
      <c r="D545" t="s">
        <v>15</v>
      </c>
      <c r="E545" t="s">
        <v>34</v>
      </c>
      <c r="F545" t="s">
        <v>50</v>
      </c>
      <c r="G545" t="s">
        <v>91</v>
      </c>
      <c r="H545" t="s">
        <v>92</v>
      </c>
      <c r="I545" t="s">
        <v>37</v>
      </c>
      <c r="J545" t="s">
        <v>1629</v>
      </c>
      <c r="K545" t="s">
        <v>31</v>
      </c>
      <c r="L545" s="1">
        <v>46154</v>
      </c>
      <c r="M545" t="s">
        <v>1479</v>
      </c>
      <c r="N545">
        <f t="shared" si="16"/>
        <v>2026</v>
      </c>
      <c r="O545" t="str">
        <f t="shared" si="17"/>
        <v>Tuesday</v>
      </c>
    </row>
    <row r="546" spans="1:15" x14ac:dyDescent="0.3">
      <c r="A546" t="s">
        <v>1630</v>
      </c>
      <c r="B546" t="s">
        <v>1631</v>
      </c>
      <c r="C546" s="1">
        <v>46155.333333333343</v>
      </c>
      <c r="D546" t="s">
        <v>15</v>
      </c>
      <c r="E546" t="s">
        <v>26</v>
      </c>
      <c r="F546" t="s">
        <v>17</v>
      </c>
      <c r="G546" t="s">
        <v>355</v>
      </c>
      <c r="H546" t="s">
        <v>356</v>
      </c>
      <c r="I546" t="s">
        <v>82</v>
      </c>
      <c r="J546" t="s">
        <v>1632</v>
      </c>
      <c r="K546" t="s">
        <v>60</v>
      </c>
      <c r="L546" s="1">
        <v>46155</v>
      </c>
      <c r="M546" t="s">
        <v>1479</v>
      </c>
      <c r="N546">
        <f t="shared" si="16"/>
        <v>2026</v>
      </c>
      <c r="O546" t="str">
        <f t="shared" si="17"/>
        <v>Wednesday</v>
      </c>
    </row>
    <row r="547" spans="1:15" x14ac:dyDescent="0.3">
      <c r="A547" t="s">
        <v>1633</v>
      </c>
      <c r="B547" t="s">
        <v>1634</v>
      </c>
      <c r="C547" s="1">
        <v>46155.333333333343</v>
      </c>
      <c r="D547" t="s">
        <v>15</v>
      </c>
      <c r="E547" t="s">
        <v>16</v>
      </c>
      <c r="F547" t="s">
        <v>42</v>
      </c>
      <c r="G547" t="s">
        <v>27</v>
      </c>
      <c r="H547" t="s">
        <v>28</v>
      </c>
      <c r="I547" t="s">
        <v>29</v>
      </c>
      <c r="J547" t="s">
        <v>1635</v>
      </c>
      <c r="K547" t="s">
        <v>47</v>
      </c>
      <c r="L547" s="1">
        <v>46155</v>
      </c>
      <c r="M547" t="s">
        <v>1479</v>
      </c>
      <c r="N547">
        <f t="shared" si="16"/>
        <v>2026</v>
      </c>
      <c r="O547" t="str">
        <f t="shared" si="17"/>
        <v>Wednesday</v>
      </c>
    </row>
    <row r="548" spans="1:15" x14ac:dyDescent="0.3">
      <c r="A548" t="s">
        <v>1636</v>
      </c>
      <c r="B548" t="s">
        <v>1637</v>
      </c>
      <c r="C548" s="1">
        <v>46156.375</v>
      </c>
      <c r="D548" t="s">
        <v>15</v>
      </c>
      <c r="E548" t="s">
        <v>16</v>
      </c>
      <c r="F548" t="s">
        <v>50</v>
      </c>
      <c r="G548" t="s">
        <v>112</v>
      </c>
      <c r="H548" t="s">
        <v>113</v>
      </c>
      <c r="I548" t="s">
        <v>37</v>
      </c>
      <c r="J548" t="s">
        <v>1638</v>
      </c>
      <c r="K548" t="s">
        <v>22</v>
      </c>
      <c r="L548" s="1">
        <v>46156</v>
      </c>
      <c r="M548" t="s">
        <v>1479</v>
      </c>
      <c r="N548">
        <f t="shared" si="16"/>
        <v>2026</v>
      </c>
      <c r="O548" t="str">
        <f t="shared" si="17"/>
        <v>Thursday</v>
      </c>
    </row>
    <row r="549" spans="1:15" x14ac:dyDescent="0.3">
      <c r="A549" t="s">
        <v>1639</v>
      </c>
      <c r="B549" t="s">
        <v>1640</v>
      </c>
      <c r="C549" s="1">
        <v>46156.416666666657</v>
      </c>
      <c r="D549" t="s">
        <v>15</v>
      </c>
      <c r="E549" t="s">
        <v>16</v>
      </c>
      <c r="F549" t="s">
        <v>17</v>
      </c>
      <c r="G549" t="s">
        <v>106</v>
      </c>
      <c r="H549" t="s">
        <v>107</v>
      </c>
      <c r="I549" t="s">
        <v>108</v>
      </c>
      <c r="J549" t="s">
        <v>1641</v>
      </c>
      <c r="K549" t="s">
        <v>47</v>
      </c>
      <c r="L549" s="1">
        <v>46156</v>
      </c>
      <c r="M549" t="s">
        <v>1479</v>
      </c>
      <c r="N549">
        <f t="shared" si="16"/>
        <v>2026</v>
      </c>
      <c r="O549" t="str">
        <f t="shared" si="17"/>
        <v>Thursday</v>
      </c>
    </row>
    <row r="550" spans="1:15" x14ac:dyDescent="0.3">
      <c r="A550" t="s">
        <v>1642</v>
      </c>
      <c r="B550" t="s">
        <v>1643</v>
      </c>
      <c r="C550" s="1">
        <v>46156.416666666657</v>
      </c>
      <c r="D550" t="s">
        <v>15</v>
      </c>
      <c r="E550" t="s">
        <v>16</v>
      </c>
      <c r="F550" t="s">
        <v>50</v>
      </c>
      <c r="G550" t="s">
        <v>91</v>
      </c>
      <c r="H550" t="s">
        <v>92</v>
      </c>
      <c r="I550" t="s">
        <v>37</v>
      </c>
      <c r="J550" t="s">
        <v>1644</v>
      </c>
      <c r="K550" t="s">
        <v>31</v>
      </c>
      <c r="L550" s="1">
        <v>46156</v>
      </c>
      <c r="M550" t="s">
        <v>1479</v>
      </c>
      <c r="N550">
        <f t="shared" si="16"/>
        <v>2026</v>
      </c>
      <c r="O550" t="str">
        <f t="shared" si="17"/>
        <v>Thursday</v>
      </c>
    </row>
    <row r="551" spans="1:15" x14ac:dyDescent="0.3">
      <c r="A551" t="s">
        <v>1645</v>
      </c>
      <c r="B551" t="s">
        <v>1646</v>
      </c>
      <c r="C551" s="1">
        <v>46156.5</v>
      </c>
      <c r="D551" t="s">
        <v>15</v>
      </c>
      <c r="E551" t="s">
        <v>16</v>
      </c>
      <c r="F551" t="s">
        <v>17</v>
      </c>
      <c r="G551" t="s">
        <v>35</v>
      </c>
      <c r="H551" t="s">
        <v>36</v>
      </c>
      <c r="I551" t="s">
        <v>37</v>
      </c>
      <c r="J551" t="s">
        <v>1647</v>
      </c>
      <c r="K551" t="s">
        <v>60</v>
      </c>
      <c r="L551" s="1">
        <v>46156</v>
      </c>
      <c r="M551" t="s">
        <v>1479</v>
      </c>
      <c r="N551">
        <f t="shared" si="16"/>
        <v>2026</v>
      </c>
      <c r="O551" t="str">
        <f t="shared" si="17"/>
        <v>Thursday</v>
      </c>
    </row>
    <row r="552" spans="1:15" x14ac:dyDescent="0.3">
      <c r="A552" t="s">
        <v>1648</v>
      </c>
      <c r="B552" t="s">
        <v>514</v>
      </c>
      <c r="C552" s="1">
        <v>46156.625</v>
      </c>
      <c r="D552" t="s">
        <v>15</v>
      </c>
      <c r="E552" t="s">
        <v>34</v>
      </c>
      <c r="F552" t="s">
        <v>17</v>
      </c>
      <c r="G552" t="s">
        <v>112</v>
      </c>
      <c r="H552" t="s">
        <v>113</v>
      </c>
      <c r="I552" t="s">
        <v>37</v>
      </c>
      <c r="J552" t="s">
        <v>1649</v>
      </c>
      <c r="K552" t="s">
        <v>47</v>
      </c>
      <c r="L552" s="1">
        <v>46156</v>
      </c>
      <c r="M552" t="s">
        <v>1479</v>
      </c>
      <c r="N552">
        <f t="shared" si="16"/>
        <v>2026</v>
      </c>
      <c r="O552" t="str">
        <f t="shared" si="17"/>
        <v>Thursday</v>
      </c>
    </row>
    <row r="553" spans="1:15" x14ac:dyDescent="0.3">
      <c r="A553" t="s">
        <v>1650</v>
      </c>
      <c r="B553" t="s">
        <v>1573</v>
      </c>
      <c r="C553" s="1">
        <v>46157.625</v>
      </c>
      <c r="D553" t="s">
        <v>15</v>
      </c>
      <c r="E553" t="s">
        <v>34</v>
      </c>
      <c r="F553" t="s">
        <v>50</v>
      </c>
      <c r="G553" t="s">
        <v>35</v>
      </c>
      <c r="H553" t="s">
        <v>36</v>
      </c>
      <c r="I553" t="s">
        <v>37</v>
      </c>
      <c r="J553" t="s">
        <v>1651</v>
      </c>
      <c r="K553" t="s">
        <v>31</v>
      </c>
      <c r="L553" s="1">
        <v>46157</v>
      </c>
      <c r="M553" t="s">
        <v>1479</v>
      </c>
      <c r="N553">
        <f t="shared" si="16"/>
        <v>2026</v>
      </c>
      <c r="O553" t="str">
        <f t="shared" si="17"/>
        <v>Friday</v>
      </c>
    </row>
    <row r="554" spans="1:15" x14ac:dyDescent="0.3">
      <c r="A554" t="s">
        <v>1652</v>
      </c>
      <c r="B554" t="s">
        <v>1653</v>
      </c>
      <c r="C554" s="1">
        <v>46157.666666666657</v>
      </c>
      <c r="D554" t="s">
        <v>15</v>
      </c>
      <c r="E554" t="s">
        <v>16</v>
      </c>
      <c r="F554" t="s">
        <v>17</v>
      </c>
      <c r="G554" t="s">
        <v>43</v>
      </c>
      <c r="H554" t="s">
        <v>44</v>
      </c>
      <c r="I554" t="s">
        <v>45</v>
      </c>
      <c r="J554" t="s">
        <v>1654</v>
      </c>
      <c r="K554" t="s">
        <v>22</v>
      </c>
      <c r="L554" s="1">
        <v>46157</v>
      </c>
      <c r="M554" t="s">
        <v>1479</v>
      </c>
      <c r="N554">
        <f t="shared" si="16"/>
        <v>2026</v>
      </c>
      <c r="O554" t="str">
        <f t="shared" si="17"/>
        <v>Friday</v>
      </c>
    </row>
    <row r="555" spans="1:15" x14ac:dyDescent="0.3">
      <c r="A555" t="s">
        <v>1655</v>
      </c>
      <c r="B555" t="s">
        <v>1656</v>
      </c>
      <c r="C555" s="1">
        <v>46157.708333333343</v>
      </c>
      <c r="D555" t="s">
        <v>15</v>
      </c>
      <c r="E555" t="s">
        <v>34</v>
      </c>
      <c r="F555" t="s">
        <v>17</v>
      </c>
      <c r="G555" t="s">
        <v>149</v>
      </c>
      <c r="H555" t="s">
        <v>150</v>
      </c>
      <c r="I555" t="s">
        <v>37</v>
      </c>
      <c r="J555" t="s">
        <v>1657</v>
      </c>
      <c r="K555" t="s">
        <v>47</v>
      </c>
      <c r="L555" s="1">
        <v>46157</v>
      </c>
      <c r="M555" t="s">
        <v>1479</v>
      </c>
      <c r="N555">
        <f t="shared" si="16"/>
        <v>2026</v>
      </c>
      <c r="O555" t="str">
        <f t="shared" si="17"/>
        <v>Friday</v>
      </c>
    </row>
    <row r="556" spans="1:15" x14ac:dyDescent="0.3">
      <c r="A556" t="s">
        <v>1658</v>
      </c>
      <c r="B556" t="s">
        <v>1659</v>
      </c>
      <c r="C556" s="1">
        <v>46157.75</v>
      </c>
      <c r="D556" t="s">
        <v>15</v>
      </c>
      <c r="E556" t="s">
        <v>34</v>
      </c>
      <c r="F556" t="s">
        <v>17</v>
      </c>
      <c r="G556" t="s">
        <v>91</v>
      </c>
      <c r="H556" t="s">
        <v>92</v>
      </c>
      <c r="I556" t="s">
        <v>37</v>
      </c>
      <c r="J556" t="s">
        <v>1660</v>
      </c>
      <c r="K556" t="s">
        <v>31</v>
      </c>
      <c r="L556" s="1">
        <v>46157</v>
      </c>
      <c r="M556" t="s">
        <v>1479</v>
      </c>
      <c r="N556">
        <f t="shared" si="16"/>
        <v>2026</v>
      </c>
      <c r="O556" t="str">
        <f t="shared" si="17"/>
        <v>Friday</v>
      </c>
    </row>
    <row r="557" spans="1:15" x14ac:dyDescent="0.3">
      <c r="A557" t="s">
        <v>1661</v>
      </c>
      <c r="B557" t="s">
        <v>1662</v>
      </c>
      <c r="C557" s="1">
        <v>46157.833333333343</v>
      </c>
      <c r="D557" t="s">
        <v>15</v>
      </c>
      <c r="E557" t="s">
        <v>16</v>
      </c>
      <c r="F557" t="s">
        <v>17</v>
      </c>
      <c r="G557" t="s">
        <v>35</v>
      </c>
      <c r="H557" t="s">
        <v>36</v>
      </c>
      <c r="I557" t="s">
        <v>37</v>
      </c>
      <c r="J557" t="s">
        <v>1663</v>
      </c>
      <c r="K557" t="s">
        <v>60</v>
      </c>
      <c r="L557" s="1">
        <v>46157</v>
      </c>
      <c r="M557" t="s">
        <v>1479</v>
      </c>
      <c r="N557">
        <f t="shared" si="16"/>
        <v>2026</v>
      </c>
      <c r="O557" t="str">
        <f t="shared" si="17"/>
        <v>Friday</v>
      </c>
    </row>
    <row r="558" spans="1:15" x14ac:dyDescent="0.3">
      <c r="A558" t="s">
        <v>1664</v>
      </c>
      <c r="B558" t="s">
        <v>1665</v>
      </c>
      <c r="C558" s="1">
        <v>46157.875</v>
      </c>
      <c r="D558" t="s">
        <v>15</v>
      </c>
      <c r="E558" t="s">
        <v>16</v>
      </c>
      <c r="F558" t="s">
        <v>50</v>
      </c>
      <c r="G558" t="s">
        <v>165</v>
      </c>
      <c r="H558" t="s">
        <v>166</v>
      </c>
      <c r="I558" t="s">
        <v>29</v>
      </c>
      <c r="J558" t="s">
        <v>1666</v>
      </c>
      <c r="K558" t="s">
        <v>60</v>
      </c>
      <c r="L558" s="1">
        <v>46157</v>
      </c>
      <c r="M558" t="s">
        <v>1479</v>
      </c>
      <c r="N558">
        <f t="shared" si="16"/>
        <v>2026</v>
      </c>
      <c r="O558" t="str">
        <f t="shared" si="17"/>
        <v>Friday</v>
      </c>
    </row>
    <row r="559" spans="1:15" x14ac:dyDescent="0.3">
      <c r="A559" t="s">
        <v>1667</v>
      </c>
      <c r="B559" t="s">
        <v>1668</v>
      </c>
      <c r="C559" s="1">
        <v>46158.416666666657</v>
      </c>
      <c r="D559" t="s">
        <v>15</v>
      </c>
      <c r="E559" t="s">
        <v>16</v>
      </c>
      <c r="F559" t="s">
        <v>50</v>
      </c>
      <c r="G559" t="s">
        <v>18</v>
      </c>
      <c r="H559" t="s">
        <v>19</v>
      </c>
      <c r="I559" t="s">
        <v>20</v>
      </c>
      <c r="J559" t="s">
        <v>1669</v>
      </c>
      <c r="K559" t="s">
        <v>47</v>
      </c>
      <c r="L559" s="1">
        <v>46158</v>
      </c>
      <c r="M559" t="s">
        <v>1479</v>
      </c>
      <c r="N559">
        <f t="shared" si="16"/>
        <v>2026</v>
      </c>
      <c r="O559" t="str">
        <f t="shared" si="17"/>
        <v>Saturday</v>
      </c>
    </row>
    <row r="560" spans="1:15" x14ac:dyDescent="0.3">
      <c r="A560" t="s">
        <v>1670</v>
      </c>
      <c r="B560" t="s">
        <v>1671</v>
      </c>
      <c r="C560" s="1">
        <v>46158.875</v>
      </c>
      <c r="D560" t="s">
        <v>15</v>
      </c>
      <c r="E560" t="s">
        <v>16</v>
      </c>
      <c r="F560" t="s">
        <v>50</v>
      </c>
      <c r="G560" t="s">
        <v>51</v>
      </c>
      <c r="H560" t="s">
        <v>52</v>
      </c>
      <c r="I560" t="s">
        <v>20</v>
      </c>
      <c r="J560" t="s">
        <v>1672</v>
      </c>
      <c r="K560" t="s">
        <v>60</v>
      </c>
      <c r="L560" s="1">
        <v>46158</v>
      </c>
      <c r="M560" t="s">
        <v>1479</v>
      </c>
      <c r="N560">
        <f t="shared" si="16"/>
        <v>2026</v>
      </c>
      <c r="O560" t="str">
        <f t="shared" si="17"/>
        <v>Saturday</v>
      </c>
    </row>
    <row r="561" spans="1:15" x14ac:dyDescent="0.3">
      <c r="A561" t="s">
        <v>1673</v>
      </c>
      <c r="B561" t="s">
        <v>1674</v>
      </c>
      <c r="C561" s="1">
        <v>46159.5</v>
      </c>
      <c r="D561" t="s">
        <v>15</v>
      </c>
      <c r="E561" t="s">
        <v>26</v>
      </c>
      <c r="F561" t="s">
        <v>50</v>
      </c>
      <c r="G561" t="s">
        <v>91</v>
      </c>
      <c r="H561" t="s">
        <v>92</v>
      </c>
      <c r="I561" t="s">
        <v>37</v>
      </c>
      <c r="J561" t="s">
        <v>1675</v>
      </c>
      <c r="K561" t="s">
        <v>60</v>
      </c>
      <c r="L561" s="1">
        <v>46159</v>
      </c>
      <c r="M561" t="s">
        <v>1479</v>
      </c>
      <c r="N561">
        <f t="shared" si="16"/>
        <v>2026</v>
      </c>
      <c r="O561" t="str">
        <f t="shared" si="17"/>
        <v>Sunday</v>
      </c>
    </row>
    <row r="562" spans="1:15" x14ac:dyDescent="0.3">
      <c r="A562" t="s">
        <v>1676</v>
      </c>
      <c r="B562" t="s">
        <v>1677</v>
      </c>
      <c r="C562" s="1">
        <v>46159.583333333343</v>
      </c>
      <c r="D562" t="s">
        <v>15</v>
      </c>
      <c r="E562" t="s">
        <v>26</v>
      </c>
      <c r="F562" t="s">
        <v>17</v>
      </c>
      <c r="G562" t="s">
        <v>112</v>
      </c>
      <c r="H562" t="s">
        <v>113</v>
      </c>
      <c r="I562" t="s">
        <v>37</v>
      </c>
      <c r="J562" t="s">
        <v>1678</v>
      </c>
      <c r="K562" t="s">
        <v>47</v>
      </c>
      <c r="L562" s="1">
        <v>46159</v>
      </c>
      <c r="M562" t="s">
        <v>1479</v>
      </c>
      <c r="N562">
        <f t="shared" si="16"/>
        <v>2026</v>
      </c>
      <c r="O562" t="str">
        <f t="shared" si="17"/>
        <v>Sunday</v>
      </c>
    </row>
    <row r="563" spans="1:15" x14ac:dyDescent="0.3">
      <c r="A563" t="s">
        <v>1679</v>
      </c>
      <c r="B563" t="s">
        <v>1680</v>
      </c>
      <c r="C563" s="1">
        <v>46159.708333333343</v>
      </c>
      <c r="D563" t="s">
        <v>15</v>
      </c>
      <c r="E563" t="s">
        <v>16</v>
      </c>
      <c r="F563" t="s">
        <v>50</v>
      </c>
      <c r="G563" t="s">
        <v>43</v>
      </c>
      <c r="H563" t="s">
        <v>44</v>
      </c>
      <c r="I563" t="s">
        <v>45</v>
      </c>
      <c r="J563" t="s">
        <v>1681</v>
      </c>
      <c r="K563" t="s">
        <v>60</v>
      </c>
      <c r="L563" s="1">
        <v>46159</v>
      </c>
      <c r="M563" t="s">
        <v>1479</v>
      </c>
      <c r="N563">
        <f t="shared" si="16"/>
        <v>2026</v>
      </c>
      <c r="O563" t="str">
        <f t="shared" si="17"/>
        <v>Sunday</v>
      </c>
    </row>
    <row r="564" spans="1:15" x14ac:dyDescent="0.3">
      <c r="A564" t="s">
        <v>1682</v>
      </c>
      <c r="B564" t="s">
        <v>1683</v>
      </c>
      <c r="C564" s="1">
        <v>46160.375</v>
      </c>
      <c r="D564" t="s">
        <v>15</v>
      </c>
      <c r="E564" t="s">
        <v>26</v>
      </c>
      <c r="F564" t="s">
        <v>17</v>
      </c>
      <c r="G564" t="s">
        <v>191</v>
      </c>
      <c r="H564" t="s">
        <v>192</v>
      </c>
      <c r="I564" t="s">
        <v>45</v>
      </c>
      <c r="J564" t="s">
        <v>1684</v>
      </c>
      <c r="K564" t="s">
        <v>22</v>
      </c>
      <c r="L564" s="1">
        <v>46160</v>
      </c>
      <c r="M564" t="s">
        <v>1479</v>
      </c>
      <c r="N564">
        <f t="shared" si="16"/>
        <v>2026</v>
      </c>
      <c r="O564" t="str">
        <f t="shared" si="17"/>
        <v>Monday</v>
      </c>
    </row>
    <row r="565" spans="1:15" x14ac:dyDescent="0.3">
      <c r="A565" t="s">
        <v>1685</v>
      </c>
      <c r="B565" t="s">
        <v>254</v>
      </c>
      <c r="C565" s="1">
        <v>46160.458333333343</v>
      </c>
      <c r="D565" t="s">
        <v>15</v>
      </c>
      <c r="E565" t="s">
        <v>16</v>
      </c>
      <c r="F565" t="s">
        <v>17</v>
      </c>
      <c r="G565" t="s">
        <v>191</v>
      </c>
      <c r="H565" t="s">
        <v>192</v>
      </c>
      <c r="I565" t="s">
        <v>45</v>
      </c>
      <c r="J565" t="s">
        <v>1686</v>
      </c>
      <c r="K565" t="s">
        <v>74</v>
      </c>
      <c r="L565" s="1">
        <v>46160</v>
      </c>
      <c r="M565" t="s">
        <v>1479</v>
      </c>
      <c r="N565">
        <f t="shared" si="16"/>
        <v>2026</v>
      </c>
      <c r="O565" t="str">
        <f t="shared" si="17"/>
        <v>Monday</v>
      </c>
    </row>
    <row r="566" spans="1:15" x14ac:dyDescent="0.3">
      <c r="A566" t="s">
        <v>1687</v>
      </c>
      <c r="B566" t="s">
        <v>1056</v>
      </c>
      <c r="C566" s="1">
        <v>46160.5</v>
      </c>
      <c r="D566" t="s">
        <v>15</v>
      </c>
      <c r="E566" t="s">
        <v>16</v>
      </c>
      <c r="F566" t="s">
        <v>17</v>
      </c>
      <c r="G566" t="s">
        <v>106</v>
      </c>
      <c r="H566" t="s">
        <v>107</v>
      </c>
      <c r="I566" t="s">
        <v>108</v>
      </c>
      <c r="J566" t="s">
        <v>1688</v>
      </c>
      <c r="K566" t="s">
        <v>22</v>
      </c>
      <c r="L566" s="1">
        <v>46160</v>
      </c>
      <c r="M566" t="s">
        <v>1479</v>
      </c>
      <c r="N566">
        <f t="shared" si="16"/>
        <v>2026</v>
      </c>
      <c r="O566" t="str">
        <f t="shared" si="17"/>
        <v>Monday</v>
      </c>
    </row>
    <row r="567" spans="1:15" x14ac:dyDescent="0.3">
      <c r="A567" t="s">
        <v>1689</v>
      </c>
      <c r="B567" t="s">
        <v>1690</v>
      </c>
      <c r="C567" s="1">
        <v>46161.5</v>
      </c>
      <c r="D567" t="s">
        <v>15</v>
      </c>
      <c r="E567" t="s">
        <v>16</v>
      </c>
      <c r="F567" t="s">
        <v>50</v>
      </c>
      <c r="G567" t="s">
        <v>149</v>
      </c>
      <c r="H567" t="s">
        <v>150</v>
      </c>
      <c r="I567" t="s">
        <v>37</v>
      </c>
      <c r="J567" t="s">
        <v>1691</v>
      </c>
      <c r="K567" t="s">
        <v>31</v>
      </c>
      <c r="L567" s="1">
        <v>46161</v>
      </c>
      <c r="M567" t="s">
        <v>1479</v>
      </c>
      <c r="N567">
        <f t="shared" si="16"/>
        <v>2026</v>
      </c>
      <c r="O567" t="str">
        <f t="shared" si="17"/>
        <v>Tuesday</v>
      </c>
    </row>
    <row r="568" spans="1:15" x14ac:dyDescent="0.3">
      <c r="A568" t="s">
        <v>1692</v>
      </c>
      <c r="B568" t="s">
        <v>1693</v>
      </c>
      <c r="C568" s="1">
        <v>46161.666666666657</v>
      </c>
      <c r="D568" t="s">
        <v>15</v>
      </c>
      <c r="E568" t="s">
        <v>41</v>
      </c>
      <c r="F568" t="s">
        <v>17</v>
      </c>
      <c r="G568" t="s">
        <v>160</v>
      </c>
      <c r="H568" t="s">
        <v>161</v>
      </c>
      <c r="I568" t="s">
        <v>82</v>
      </c>
      <c r="J568" t="s">
        <v>1694</v>
      </c>
      <c r="K568" t="s">
        <v>47</v>
      </c>
      <c r="L568" s="1">
        <v>46161</v>
      </c>
      <c r="M568" t="s">
        <v>1479</v>
      </c>
      <c r="N568">
        <f t="shared" si="16"/>
        <v>2026</v>
      </c>
      <c r="O568" t="str">
        <f t="shared" si="17"/>
        <v>Tuesday</v>
      </c>
    </row>
    <row r="569" spans="1:15" x14ac:dyDescent="0.3">
      <c r="A569" t="s">
        <v>1695</v>
      </c>
      <c r="B569" t="s">
        <v>1696</v>
      </c>
      <c r="C569" s="1">
        <v>46161.708333333343</v>
      </c>
      <c r="D569" t="s">
        <v>15</v>
      </c>
      <c r="E569" t="s">
        <v>16</v>
      </c>
      <c r="F569" t="s">
        <v>17</v>
      </c>
      <c r="G569" t="s">
        <v>126</v>
      </c>
      <c r="H569" t="s">
        <v>127</v>
      </c>
      <c r="I569" t="s">
        <v>45</v>
      </c>
      <c r="J569" t="s">
        <v>1697</v>
      </c>
      <c r="K569" t="s">
        <v>60</v>
      </c>
      <c r="L569" s="1">
        <v>46161</v>
      </c>
      <c r="M569" t="s">
        <v>1479</v>
      </c>
      <c r="N569">
        <f t="shared" si="16"/>
        <v>2026</v>
      </c>
      <c r="O569" t="str">
        <f t="shared" si="17"/>
        <v>Tuesday</v>
      </c>
    </row>
    <row r="570" spans="1:15" x14ac:dyDescent="0.3">
      <c r="A570" t="s">
        <v>1698</v>
      </c>
      <c r="B570" t="s">
        <v>891</v>
      </c>
      <c r="C570" s="1">
        <v>46162.625</v>
      </c>
      <c r="D570" t="s">
        <v>15</v>
      </c>
      <c r="E570" t="s">
        <v>16</v>
      </c>
      <c r="F570" t="s">
        <v>17</v>
      </c>
      <c r="G570" t="s">
        <v>86</v>
      </c>
      <c r="H570" t="s">
        <v>87</v>
      </c>
      <c r="I570" t="s">
        <v>82</v>
      </c>
      <c r="J570" t="s">
        <v>1699</v>
      </c>
      <c r="K570" t="s">
        <v>31</v>
      </c>
      <c r="L570" s="1">
        <v>46162</v>
      </c>
      <c r="M570" t="s">
        <v>1479</v>
      </c>
      <c r="N570">
        <f t="shared" si="16"/>
        <v>2026</v>
      </c>
      <c r="O570" t="str">
        <f t="shared" si="17"/>
        <v>Wednesday</v>
      </c>
    </row>
    <row r="571" spans="1:15" x14ac:dyDescent="0.3">
      <c r="A571" t="s">
        <v>1700</v>
      </c>
      <c r="B571" t="s">
        <v>473</v>
      </c>
      <c r="C571" s="1">
        <v>46162.708333333343</v>
      </c>
      <c r="D571" t="s">
        <v>15</v>
      </c>
      <c r="E571" t="s">
        <v>34</v>
      </c>
      <c r="F571" t="s">
        <v>17</v>
      </c>
      <c r="G571" t="s">
        <v>191</v>
      </c>
      <c r="H571" t="s">
        <v>192</v>
      </c>
      <c r="I571" t="s">
        <v>45</v>
      </c>
      <c r="J571" t="s">
        <v>1701</v>
      </c>
      <c r="K571" t="s">
        <v>74</v>
      </c>
      <c r="L571" s="1">
        <v>46162</v>
      </c>
      <c r="M571" t="s">
        <v>1479</v>
      </c>
      <c r="N571">
        <f t="shared" si="16"/>
        <v>2026</v>
      </c>
      <c r="O571" t="str">
        <f t="shared" si="17"/>
        <v>Wednesday</v>
      </c>
    </row>
    <row r="572" spans="1:15" x14ac:dyDescent="0.3">
      <c r="A572" t="s">
        <v>1702</v>
      </c>
      <c r="B572" t="s">
        <v>1703</v>
      </c>
      <c r="C572" s="1">
        <v>46163.375</v>
      </c>
      <c r="D572" t="s">
        <v>15</v>
      </c>
      <c r="E572" t="s">
        <v>16</v>
      </c>
      <c r="F572" t="s">
        <v>50</v>
      </c>
      <c r="G572" t="s">
        <v>86</v>
      </c>
      <c r="H572" t="s">
        <v>87</v>
      </c>
      <c r="I572" t="s">
        <v>82</v>
      </c>
      <c r="J572" t="s">
        <v>1704</v>
      </c>
      <c r="K572" t="s">
        <v>22</v>
      </c>
      <c r="L572" s="1">
        <v>46163</v>
      </c>
      <c r="M572" t="s">
        <v>1479</v>
      </c>
      <c r="N572">
        <f t="shared" si="16"/>
        <v>2026</v>
      </c>
      <c r="O572" t="str">
        <f t="shared" si="17"/>
        <v>Thursday</v>
      </c>
    </row>
    <row r="573" spans="1:15" x14ac:dyDescent="0.3">
      <c r="A573" t="s">
        <v>1705</v>
      </c>
      <c r="B573" t="s">
        <v>1706</v>
      </c>
      <c r="C573" s="1">
        <v>46163.458333333343</v>
      </c>
      <c r="D573" t="s">
        <v>15</v>
      </c>
      <c r="E573" t="s">
        <v>63</v>
      </c>
      <c r="F573" t="s">
        <v>17</v>
      </c>
      <c r="G573" t="s">
        <v>91</v>
      </c>
      <c r="H573" t="s">
        <v>92</v>
      </c>
      <c r="I573" t="s">
        <v>37</v>
      </c>
      <c r="J573" t="s">
        <v>1707</v>
      </c>
      <c r="K573" t="s">
        <v>31</v>
      </c>
      <c r="L573" s="1">
        <v>46163</v>
      </c>
      <c r="M573" t="s">
        <v>1479</v>
      </c>
      <c r="N573">
        <f t="shared" si="16"/>
        <v>2026</v>
      </c>
      <c r="O573" t="str">
        <f t="shared" si="17"/>
        <v>Thursday</v>
      </c>
    </row>
    <row r="574" spans="1:15" x14ac:dyDescent="0.3">
      <c r="A574" t="s">
        <v>1708</v>
      </c>
      <c r="B574" t="s">
        <v>1709</v>
      </c>
      <c r="C574" s="1">
        <v>46163.708333333343</v>
      </c>
      <c r="D574" t="s">
        <v>15</v>
      </c>
      <c r="E574" t="s">
        <v>63</v>
      </c>
      <c r="F574" t="s">
        <v>17</v>
      </c>
      <c r="G574" t="s">
        <v>126</v>
      </c>
      <c r="H574" t="s">
        <v>127</v>
      </c>
      <c r="I574" t="s">
        <v>45</v>
      </c>
      <c r="J574" t="s">
        <v>1710</v>
      </c>
      <c r="K574" t="s">
        <v>22</v>
      </c>
      <c r="L574" s="1">
        <v>46163</v>
      </c>
      <c r="M574" t="s">
        <v>1479</v>
      </c>
      <c r="N574">
        <f t="shared" si="16"/>
        <v>2026</v>
      </c>
      <c r="O574" t="str">
        <f t="shared" si="17"/>
        <v>Thursday</v>
      </c>
    </row>
    <row r="575" spans="1:15" x14ac:dyDescent="0.3">
      <c r="A575" t="s">
        <v>1711</v>
      </c>
      <c r="B575" t="s">
        <v>1712</v>
      </c>
      <c r="C575" s="1">
        <v>46164.625</v>
      </c>
      <c r="D575" t="s">
        <v>15</v>
      </c>
      <c r="E575" t="s">
        <v>41</v>
      </c>
      <c r="F575" t="s">
        <v>17</v>
      </c>
      <c r="G575" t="s">
        <v>191</v>
      </c>
      <c r="H575" t="s">
        <v>192</v>
      </c>
      <c r="I575" t="s">
        <v>45</v>
      </c>
      <c r="J575" t="s">
        <v>1713</v>
      </c>
      <c r="K575" t="s">
        <v>22</v>
      </c>
      <c r="L575" s="1">
        <v>46164</v>
      </c>
      <c r="M575" t="s">
        <v>1479</v>
      </c>
      <c r="N575">
        <f t="shared" si="16"/>
        <v>2026</v>
      </c>
      <c r="O575" t="str">
        <f t="shared" si="17"/>
        <v>Friday</v>
      </c>
    </row>
    <row r="576" spans="1:15" x14ac:dyDescent="0.3">
      <c r="A576" t="s">
        <v>1714</v>
      </c>
      <c r="B576" t="s">
        <v>1715</v>
      </c>
      <c r="C576" s="1">
        <v>46164.666666666657</v>
      </c>
      <c r="D576" t="s">
        <v>15</v>
      </c>
      <c r="E576" t="s">
        <v>26</v>
      </c>
      <c r="F576" t="s">
        <v>50</v>
      </c>
      <c r="G576" t="s">
        <v>80</v>
      </c>
      <c r="H576" t="s">
        <v>81</v>
      </c>
      <c r="I576" t="s">
        <v>82</v>
      </c>
      <c r="J576" t="s">
        <v>1716</v>
      </c>
      <c r="K576" t="s">
        <v>47</v>
      </c>
      <c r="L576" s="1">
        <v>46164</v>
      </c>
      <c r="M576" t="s">
        <v>1479</v>
      </c>
      <c r="N576">
        <f t="shared" si="16"/>
        <v>2026</v>
      </c>
      <c r="O576" t="str">
        <f t="shared" si="17"/>
        <v>Friday</v>
      </c>
    </row>
    <row r="577" spans="1:15" x14ac:dyDescent="0.3">
      <c r="A577" t="s">
        <v>1717</v>
      </c>
      <c r="B577" t="s">
        <v>1718</v>
      </c>
      <c r="C577" s="1">
        <v>46164.75</v>
      </c>
      <c r="D577" t="s">
        <v>15</v>
      </c>
      <c r="E577" t="s">
        <v>34</v>
      </c>
      <c r="F577" t="s">
        <v>17</v>
      </c>
      <c r="G577" t="s">
        <v>355</v>
      </c>
      <c r="H577" t="s">
        <v>356</v>
      </c>
      <c r="I577" t="s">
        <v>82</v>
      </c>
      <c r="J577" t="s">
        <v>1719</v>
      </c>
      <c r="K577" t="s">
        <v>60</v>
      </c>
      <c r="L577" s="1">
        <v>46164</v>
      </c>
      <c r="M577" t="s">
        <v>1479</v>
      </c>
      <c r="N577">
        <f t="shared" si="16"/>
        <v>2026</v>
      </c>
      <c r="O577" t="str">
        <f t="shared" si="17"/>
        <v>Friday</v>
      </c>
    </row>
    <row r="578" spans="1:15" x14ac:dyDescent="0.3">
      <c r="A578" t="s">
        <v>1720</v>
      </c>
      <c r="B578" t="s">
        <v>1721</v>
      </c>
      <c r="C578" s="1">
        <v>46164.75</v>
      </c>
      <c r="D578" t="s">
        <v>15</v>
      </c>
      <c r="E578" t="s">
        <v>26</v>
      </c>
      <c r="F578" t="s">
        <v>50</v>
      </c>
      <c r="G578" t="s">
        <v>35</v>
      </c>
      <c r="H578" t="s">
        <v>36</v>
      </c>
      <c r="I578" t="s">
        <v>37</v>
      </c>
      <c r="J578" t="s">
        <v>1722</v>
      </c>
      <c r="K578" t="s">
        <v>31</v>
      </c>
      <c r="L578" s="1">
        <v>46164</v>
      </c>
      <c r="M578" t="s">
        <v>1479</v>
      </c>
      <c r="N578">
        <f t="shared" si="16"/>
        <v>2026</v>
      </c>
      <c r="O578" t="str">
        <f t="shared" si="17"/>
        <v>Friday</v>
      </c>
    </row>
    <row r="579" spans="1:15" x14ac:dyDescent="0.3">
      <c r="A579" t="s">
        <v>1723</v>
      </c>
      <c r="B579" t="s">
        <v>1028</v>
      </c>
      <c r="C579" s="1">
        <v>46164.791666666657</v>
      </c>
      <c r="D579" t="s">
        <v>15</v>
      </c>
      <c r="E579" t="s">
        <v>16</v>
      </c>
      <c r="F579" t="s">
        <v>17</v>
      </c>
      <c r="G579" t="s">
        <v>91</v>
      </c>
      <c r="H579" t="s">
        <v>92</v>
      </c>
      <c r="I579" t="s">
        <v>37</v>
      </c>
      <c r="J579" t="s">
        <v>1724</v>
      </c>
      <c r="K579" t="s">
        <v>31</v>
      </c>
      <c r="L579" s="1">
        <v>46164</v>
      </c>
      <c r="M579" t="s">
        <v>1479</v>
      </c>
      <c r="N579">
        <f t="shared" ref="N579:N642" si="18">YEAR(C579)</f>
        <v>2026</v>
      </c>
      <c r="O579" t="str">
        <f t="shared" ref="O579:O642" si="19">TEXT(C579,"dddd")</f>
        <v>Friday</v>
      </c>
    </row>
    <row r="580" spans="1:15" x14ac:dyDescent="0.3">
      <c r="A580" t="s">
        <v>1725</v>
      </c>
      <c r="B580" t="s">
        <v>666</v>
      </c>
      <c r="C580" s="1">
        <v>46165.333333333343</v>
      </c>
      <c r="D580" t="s">
        <v>15</v>
      </c>
      <c r="E580" t="s">
        <v>63</v>
      </c>
      <c r="F580" t="s">
        <v>17</v>
      </c>
      <c r="G580" t="s">
        <v>160</v>
      </c>
      <c r="H580" t="s">
        <v>161</v>
      </c>
      <c r="I580" t="s">
        <v>82</v>
      </c>
      <c r="J580" t="s">
        <v>1726</v>
      </c>
      <c r="K580" t="s">
        <v>60</v>
      </c>
      <c r="L580" s="1">
        <v>46165</v>
      </c>
      <c r="M580" t="s">
        <v>1479</v>
      </c>
      <c r="N580">
        <f t="shared" si="18"/>
        <v>2026</v>
      </c>
      <c r="O580" t="str">
        <f t="shared" si="19"/>
        <v>Saturday</v>
      </c>
    </row>
    <row r="581" spans="1:15" x14ac:dyDescent="0.3">
      <c r="A581" t="s">
        <v>1727</v>
      </c>
      <c r="B581" t="s">
        <v>1728</v>
      </c>
      <c r="C581" s="1">
        <v>46165.708333333343</v>
      </c>
      <c r="D581" t="s">
        <v>15</v>
      </c>
      <c r="E581" t="s">
        <v>26</v>
      </c>
      <c r="F581" t="s">
        <v>17</v>
      </c>
      <c r="G581" t="s">
        <v>165</v>
      </c>
      <c r="H581" t="s">
        <v>166</v>
      </c>
      <c r="I581" t="s">
        <v>29</v>
      </c>
      <c r="J581" t="s">
        <v>1729</v>
      </c>
      <c r="K581" t="s">
        <v>47</v>
      </c>
      <c r="L581" s="1">
        <v>46165</v>
      </c>
      <c r="M581" t="s">
        <v>1479</v>
      </c>
      <c r="N581">
        <f t="shared" si="18"/>
        <v>2026</v>
      </c>
      <c r="O581" t="str">
        <f t="shared" si="19"/>
        <v>Saturday</v>
      </c>
    </row>
    <row r="582" spans="1:15" x14ac:dyDescent="0.3">
      <c r="A582" t="s">
        <v>1730</v>
      </c>
      <c r="B582" t="s">
        <v>1731</v>
      </c>
      <c r="C582" s="1">
        <v>46166.583333333343</v>
      </c>
      <c r="D582" t="s">
        <v>15</v>
      </c>
      <c r="E582" t="s">
        <v>16</v>
      </c>
      <c r="F582" t="s">
        <v>17</v>
      </c>
      <c r="G582" t="s">
        <v>35</v>
      </c>
      <c r="H582" t="s">
        <v>36</v>
      </c>
      <c r="I582" t="s">
        <v>37</v>
      </c>
      <c r="J582" t="s">
        <v>1732</v>
      </c>
      <c r="K582" t="s">
        <v>74</v>
      </c>
      <c r="L582" s="1">
        <v>46166</v>
      </c>
      <c r="M582" t="s">
        <v>1479</v>
      </c>
      <c r="N582">
        <f t="shared" si="18"/>
        <v>2026</v>
      </c>
      <c r="O582" t="str">
        <f t="shared" si="19"/>
        <v>Sunday</v>
      </c>
    </row>
    <row r="583" spans="1:15" x14ac:dyDescent="0.3">
      <c r="A583" t="s">
        <v>1733</v>
      </c>
      <c r="B583" t="s">
        <v>1734</v>
      </c>
      <c r="C583" s="1">
        <v>46166.75</v>
      </c>
      <c r="D583" t="s">
        <v>15</v>
      </c>
      <c r="E583" t="s">
        <v>34</v>
      </c>
      <c r="F583" t="s">
        <v>50</v>
      </c>
      <c r="G583" t="s">
        <v>27</v>
      </c>
      <c r="H583" t="s">
        <v>28</v>
      </c>
      <c r="I583" t="s">
        <v>29</v>
      </c>
      <c r="J583" t="s">
        <v>1735</v>
      </c>
      <c r="K583" t="s">
        <v>31</v>
      </c>
      <c r="L583" s="1">
        <v>46166</v>
      </c>
      <c r="M583" t="s">
        <v>1479</v>
      </c>
      <c r="N583">
        <f t="shared" si="18"/>
        <v>2026</v>
      </c>
      <c r="O583" t="str">
        <f t="shared" si="19"/>
        <v>Sunday</v>
      </c>
    </row>
    <row r="584" spans="1:15" x14ac:dyDescent="0.3">
      <c r="A584" t="s">
        <v>1736</v>
      </c>
      <c r="B584" t="s">
        <v>1737</v>
      </c>
      <c r="C584" s="1">
        <v>46166.75</v>
      </c>
      <c r="D584" t="s">
        <v>15</v>
      </c>
      <c r="E584" t="s">
        <v>26</v>
      </c>
      <c r="F584" t="s">
        <v>17</v>
      </c>
      <c r="G584" t="s">
        <v>160</v>
      </c>
      <c r="H584" t="s">
        <v>161</v>
      </c>
      <c r="I584" t="s">
        <v>82</v>
      </c>
      <c r="J584" t="s">
        <v>1738</v>
      </c>
      <c r="K584" t="s">
        <v>47</v>
      </c>
      <c r="L584" s="1">
        <v>46166</v>
      </c>
      <c r="M584" t="s">
        <v>1479</v>
      </c>
      <c r="N584">
        <f t="shared" si="18"/>
        <v>2026</v>
      </c>
      <c r="O584" t="str">
        <f t="shared" si="19"/>
        <v>Sunday</v>
      </c>
    </row>
    <row r="585" spans="1:15" x14ac:dyDescent="0.3">
      <c r="A585" t="s">
        <v>1739</v>
      </c>
      <c r="B585" t="s">
        <v>479</v>
      </c>
      <c r="C585" s="1">
        <v>46166.791666666657</v>
      </c>
      <c r="D585" t="s">
        <v>15</v>
      </c>
      <c r="E585" t="s">
        <v>16</v>
      </c>
      <c r="F585" t="s">
        <v>50</v>
      </c>
      <c r="G585" t="s">
        <v>165</v>
      </c>
      <c r="H585" t="s">
        <v>166</v>
      </c>
      <c r="I585" t="s">
        <v>29</v>
      </c>
      <c r="J585" t="s">
        <v>1740</v>
      </c>
      <c r="K585" t="s">
        <v>47</v>
      </c>
      <c r="L585" s="1">
        <v>46166</v>
      </c>
      <c r="M585" t="s">
        <v>1479</v>
      </c>
      <c r="N585">
        <f t="shared" si="18"/>
        <v>2026</v>
      </c>
      <c r="O585" t="str">
        <f t="shared" si="19"/>
        <v>Sunday</v>
      </c>
    </row>
    <row r="586" spans="1:15" x14ac:dyDescent="0.3">
      <c r="A586" t="s">
        <v>1741</v>
      </c>
      <c r="B586" t="s">
        <v>164</v>
      </c>
      <c r="C586" s="1">
        <v>46167.5</v>
      </c>
      <c r="D586" t="s">
        <v>15</v>
      </c>
      <c r="E586" t="s">
        <v>34</v>
      </c>
      <c r="F586" t="s">
        <v>50</v>
      </c>
      <c r="G586" t="s">
        <v>165</v>
      </c>
      <c r="H586" t="s">
        <v>166</v>
      </c>
      <c r="I586" t="s">
        <v>29</v>
      </c>
      <c r="J586" t="s">
        <v>1742</v>
      </c>
      <c r="K586" t="s">
        <v>74</v>
      </c>
      <c r="L586" s="1">
        <v>46167</v>
      </c>
      <c r="M586" t="s">
        <v>1479</v>
      </c>
      <c r="N586">
        <f t="shared" si="18"/>
        <v>2026</v>
      </c>
      <c r="O586" t="str">
        <f t="shared" si="19"/>
        <v>Monday</v>
      </c>
    </row>
    <row r="587" spans="1:15" x14ac:dyDescent="0.3">
      <c r="A587" t="s">
        <v>1743</v>
      </c>
      <c r="B587" t="s">
        <v>929</v>
      </c>
      <c r="C587" s="1">
        <v>46167.541666666657</v>
      </c>
      <c r="D587" t="s">
        <v>15</v>
      </c>
      <c r="E587" t="s">
        <v>16</v>
      </c>
      <c r="F587" t="s">
        <v>17</v>
      </c>
      <c r="G587" t="s">
        <v>27</v>
      </c>
      <c r="H587" t="s">
        <v>28</v>
      </c>
      <c r="I587" t="s">
        <v>29</v>
      </c>
      <c r="J587" t="s">
        <v>1744</v>
      </c>
      <c r="K587" t="s">
        <v>47</v>
      </c>
      <c r="L587" s="1">
        <v>46167</v>
      </c>
      <c r="M587" t="s">
        <v>1479</v>
      </c>
      <c r="N587">
        <f t="shared" si="18"/>
        <v>2026</v>
      </c>
      <c r="O587" t="str">
        <f t="shared" si="19"/>
        <v>Monday</v>
      </c>
    </row>
    <row r="588" spans="1:15" x14ac:dyDescent="0.3">
      <c r="A588" t="s">
        <v>1745</v>
      </c>
      <c r="B588" t="s">
        <v>1746</v>
      </c>
      <c r="C588" s="1">
        <v>46167.583333333343</v>
      </c>
      <c r="D588" t="s">
        <v>15</v>
      </c>
      <c r="E588" t="s">
        <v>16</v>
      </c>
      <c r="F588" t="s">
        <v>17</v>
      </c>
      <c r="G588" t="s">
        <v>160</v>
      </c>
      <c r="H588" t="s">
        <v>161</v>
      </c>
      <c r="I588" t="s">
        <v>82</v>
      </c>
      <c r="J588" t="s">
        <v>1747</v>
      </c>
      <c r="K588" t="s">
        <v>74</v>
      </c>
      <c r="L588" s="1">
        <v>46167</v>
      </c>
      <c r="M588" t="s">
        <v>1479</v>
      </c>
      <c r="N588">
        <f t="shared" si="18"/>
        <v>2026</v>
      </c>
      <c r="O588" t="str">
        <f t="shared" si="19"/>
        <v>Monday</v>
      </c>
    </row>
    <row r="589" spans="1:15" x14ac:dyDescent="0.3">
      <c r="A589" t="s">
        <v>1748</v>
      </c>
      <c r="B589" t="s">
        <v>1749</v>
      </c>
      <c r="C589" s="1">
        <v>46168.333333333343</v>
      </c>
      <c r="D589" t="s">
        <v>15</v>
      </c>
      <c r="E589" t="s">
        <v>34</v>
      </c>
      <c r="F589" t="s">
        <v>17</v>
      </c>
      <c r="G589" t="s">
        <v>43</v>
      </c>
      <c r="H589" t="s">
        <v>44</v>
      </c>
      <c r="I589" t="s">
        <v>45</v>
      </c>
      <c r="J589" t="s">
        <v>1750</v>
      </c>
      <c r="K589" t="s">
        <v>60</v>
      </c>
      <c r="L589" s="1">
        <v>46168</v>
      </c>
      <c r="M589" t="s">
        <v>1479</v>
      </c>
      <c r="N589">
        <f t="shared" si="18"/>
        <v>2026</v>
      </c>
      <c r="O589" t="str">
        <f t="shared" si="19"/>
        <v>Tuesday</v>
      </c>
    </row>
    <row r="590" spans="1:15" x14ac:dyDescent="0.3">
      <c r="A590" t="s">
        <v>1751</v>
      </c>
      <c r="B590" t="s">
        <v>1752</v>
      </c>
      <c r="C590" s="1">
        <v>46168.541666666657</v>
      </c>
      <c r="D590" t="s">
        <v>15</v>
      </c>
      <c r="E590" t="s">
        <v>16</v>
      </c>
      <c r="F590" t="s">
        <v>42</v>
      </c>
      <c r="G590" t="s">
        <v>149</v>
      </c>
      <c r="H590" t="s">
        <v>150</v>
      </c>
      <c r="I590" t="s">
        <v>37</v>
      </c>
      <c r="J590" t="s">
        <v>1753</v>
      </c>
      <c r="K590" t="s">
        <v>47</v>
      </c>
      <c r="L590" s="1">
        <v>46168</v>
      </c>
      <c r="M590" t="s">
        <v>1479</v>
      </c>
      <c r="N590">
        <f t="shared" si="18"/>
        <v>2026</v>
      </c>
      <c r="O590" t="str">
        <f t="shared" si="19"/>
        <v>Tuesday</v>
      </c>
    </row>
    <row r="591" spans="1:15" x14ac:dyDescent="0.3">
      <c r="A591" t="s">
        <v>1754</v>
      </c>
      <c r="B591" t="s">
        <v>995</v>
      </c>
      <c r="C591" s="1">
        <v>46168.625</v>
      </c>
      <c r="D591" t="s">
        <v>15</v>
      </c>
      <c r="E591" t="s">
        <v>16</v>
      </c>
      <c r="F591" t="s">
        <v>42</v>
      </c>
      <c r="G591" t="s">
        <v>160</v>
      </c>
      <c r="H591" t="s">
        <v>161</v>
      </c>
      <c r="I591" t="s">
        <v>82</v>
      </c>
      <c r="J591" t="s">
        <v>1755</v>
      </c>
      <c r="K591" t="s">
        <v>60</v>
      </c>
      <c r="L591" s="1">
        <v>46168</v>
      </c>
      <c r="M591" t="s">
        <v>1479</v>
      </c>
      <c r="N591">
        <f t="shared" si="18"/>
        <v>2026</v>
      </c>
      <c r="O591" t="str">
        <f t="shared" si="19"/>
        <v>Tuesday</v>
      </c>
    </row>
    <row r="592" spans="1:15" x14ac:dyDescent="0.3">
      <c r="A592" t="s">
        <v>1756</v>
      </c>
      <c r="B592" t="s">
        <v>1230</v>
      </c>
      <c r="C592" s="1">
        <v>46168.75</v>
      </c>
      <c r="D592" t="s">
        <v>15</v>
      </c>
      <c r="E592" t="s">
        <v>16</v>
      </c>
      <c r="F592" t="s">
        <v>17</v>
      </c>
      <c r="G592" t="s">
        <v>80</v>
      </c>
      <c r="H592" t="s">
        <v>81</v>
      </c>
      <c r="I592" t="s">
        <v>82</v>
      </c>
      <c r="J592" t="s">
        <v>1757</v>
      </c>
      <c r="K592" t="s">
        <v>47</v>
      </c>
      <c r="L592" s="1">
        <v>46168</v>
      </c>
      <c r="M592" t="s">
        <v>1479</v>
      </c>
      <c r="N592">
        <f t="shared" si="18"/>
        <v>2026</v>
      </c>
      <c r="O592" t="str">
        <f t="shared" si="19"/>
        <v>Tuesday</v>
      </c>
    </row>
    <row r="593" spans="1:15" x14ac:dyDescent="0.3">
      <c r="A593" t="s">
        <v>1758</v>
      </c>
      <c r="B593" t="s">
        <v>1759</v>
      </c>
      <c r="C593" s="1">
        <v>46169.625</v>
      </c>
      <c r="D593" t="s">
        <v>15</v>
      </c>
      <c r="E593" t="s">
        <v>34</v>
      </c>
      <c r="F593" t="s">
        <v>17</v>
      </c>
      <c r="G593" t="s">
        <v>86</v>
      </c>
      <c r="H593" t="s">
        <v>87</v>
      </c>
      <c r="I593" t="s">
        <v>82</v>
      </c>
      <c r="J593" t="s">
        <v>1760</v>
      </c>
      <c r="K593" t="s">
        <v>31</v>
      </c>
      <c r="L593" s="1">
        <v>46169</v>
      </c>
      <c r="M593" t="s">
        <v>1479</v>
      </c>
      <c r="N593">
        <f t="shared" si="18"/>
        <v>2026</v>
      </c>
      <c r="O593" t="str">
        <f t="shared" si="19"/>
        <v>Wednesday</v>
      </c>
    </row>
    <row r="594" spans="1:15" x14ac:dyDescent="0.3">
      <c r="A594" t="s">
        <v>1761</v>
      </c>
      <c r="B594" t="s">
        <v>1573</v>
      </c>
      <c r="C594" s="1">
        <v>46169.666666666657</v>
      </c>
      <c r="D594" t="s">
        <v>15</v>
      </c>
      <c r="E594" t="s">
        <v>63</v>
      </c>
      <c r="F594" t="s">
        <v>17</v>
      </c>
      <c r="G594" t="s">
        <v>35</v>
      </c>
      <c r="H594" t="s">
        <v>36</v>
      </c>
      <c r="I594" t="s">
        <v>37</v>
      </c>
      <c r="J594" t="s">
        <v>1762</v>
      </c>
      <c r="K594" t="s">
        <v>47</v>
      </c>
      <c r="L594" s="1">
        <v>46169</v>
      </c>
      <c r="M594" t="s">
        <v>1479</v>
      </c>
      <c r="N594">
        <f t="shared" si="18"/>
        <v>2026</v>
      </c>
      <c r="O594" t="str">
        <f t="shared" si="19"/>
        <v>Wednesday</v>
      </c>
    </row>
    <row r="595" spans="1:15" x14ac:dyDescent="0.3">
      <c r="A595" t="s">
        <v>1763</v>
      </c>
      <c r="B595" t="s">
        <v>1764</v>
      </c>
      <c r="C595" s="1">
        <v>46169.708333333343</v>
      </c>
      <c r="D595" t="s">
        <v>15</v>
      </c>
      <c r="E595" t="s">
        <v>63</v>
      </c>
      <c r="F595" t="s">
        <v>17</v>
      </c>
      <c r="G595" t="s">
        <v>160</v>
      </c>
      <c r="H595" t="s">
        <v>161</v>
      </c>
      <c r="I595" t="s">
        <v>82</v>
      </c>
      <c r="J595" t="s">
        <v>1765</v>
      </c>
      <c r="K595" t="s">
        <v>22</v>
      </c>
      <c r="L595" s="1">
        <v>46169</v>
      </c>
      <c r="M595" t="s">
        <v>1479</v>
      </c>
      <c r="N595">
        <f t="shared" si="18"/>
        <v>2026</v>
      </c>
      <c r="O595" t="str">
        <f t="shared" si="19"/>
        <v>Wednesday</v>
      </c>
    </row>
    <row r="596" spans="1:15" x14ac:dyDescent="0.3">
      <c r="A596" t="s">
        <v>1766</v>
      </c>
      <c r="B596" t="s">
        <v>1767</v>
      </c>
      <c r="C596" s="1">
        <v>46169.791666666657</v>
      </c>
      <c r="D596" t="s">
        <v>15</v>
      </c>
      <c r="E596" t="s">
        <v>63</v>
      </c>
      <c r="F596" t="s">
        <v>17</v>
      </c>
      <c r="G596" t="s">
        <v>160</v>
      </c>
      <c r="H596" t="s">
        <v>161</v>
      </c>
      <c r="I596" t="s">
        <v>82</v>
      </c>
      <c r="J596" t="s">
        <v>1768</v>
      </c>
      <c r="K596" t="s">
        <v>31</v>
      </c>
      <c r="L596" s="1">
        <v>46169</v>
      </c>
      <c r="M596" t="s">
        <v>1479</v>
      </c>
      <c r="N596">
        <f t="shared" si="18"/>
        <v>2026</v>
      </c>
      <c r="O596" t="str">
        <f t="shared" si="19"/>
        <v>Wednesday</v>
      </c>
    </row>
    <row r="597" spans="1:15" x14ac:dyDescent="0.3">
      <c r="A597" t="s">
        <v>1769</v>
      </c>
      <c r="B597" t="s">
        <v>281</v>
      </c>
      <c r="C597" s="1">
        <v>46169.875</v>
      </c>
      <c r="D597" t="s">
        <v>15</v>
      </c>
      <c r="E597" t="s">
        <v>26</v>
      </c>
      <c r="F597" t="s">
        <v>17</v>
      </c>
      <c r="G597" t="s">
        <v>51</v>
      </c>
      <c r="H597" t="s">
        <v>52</v>
      </c>
      <c r="I597" t="s">
        <v>20</v>
      </c>
      <c r="J597" t="s">
        <v>1770</v>
      </c>
      <c r="K597" t="s">
        <v>60</v>
      </c>
      <c r="L597" s="1">
        <v>46169</v>
      </c>
      <c r="M597" t="s">
        <v>1479</v>
      </c>
      <c r="N597">
        <f t="shared" si="18"/>
        <v>2026</v>
      </c>
      <c r="O597" t="str">
        <f t="shared" si="19"/>
        <v>Wednesday</v>
      </c>
    </row>
    <row r="598" spans="1:15" x14ac:dyDescent="0.3">
      <c r="A598" t="s">
        <v>1771</v>
      </c>
      <c r="B598" t="s">
        <v>1772</v>
      </c>
      <c r="C598" s="1">
        <v>46170.333333333343</v>
      </c>
      <c r="D598" t="s">
        <v>15</v>
      </c>
      <c r="E598" t="s">
        <v>26</v>
      </c>
      <c r="F598" t="s">
        <v>17</v>
      </c>
      <c r="G598" t="s">
        <v>112</v>
      </c>
      <c r="H598" t="s">
        <v>113</v>
      </c>
      <c r="I598" t="s">
        <v>37</v>
      </c>
      <c r="J598" t="s">
        <v>1773</v>
      </c>
      <c r="K598" t="s">
        <v>74</v>
      </c>
      <c r="L598" s="1">
        <v>46170</v>
      </c>
      <c r="M598" t="s">
        <v>1479</v>
      </c>
      <c r="N598">
        <f t="shared" si="18"/>
        <v>2026</v>
      </c>
      <c r="O598" t="str">
        <f t="shared" si="19"/>
        <v>Thursday</v>
      </c>
    </row>
    <row r="599" spans="1:15" x14ac:dyDescent="0.3">
      <c r="A599" t="s">
        <v>1774</v>
      </c>
      <c r="B599" t="s">
        <v>1775</v>
      </c>
      <c r="C599" s="1">
        <v>46170.375</v>
      </c>
      <c r="D599" t="s">
        <v>15</v>
      </c>
      <c r="E599" t="s">
        <v>26</v>
      </c>
      <c r="F599" t="s">
        <v>50</v>
      </c>
      <c r="G599" t="s">
        <v>43</v>
      </c>
      <c r="H599" t="s">
        <v>44</v>
      </c>
      <c r="I599" t="s">
        <v>45</v>
      </c>
      <c r="J599" t="s">
        <v>1776</v>
      </c>
      <c r="K599" t="s">
        <v>31</v>
      </c>
      <c r="L599" s="1">
        <v>46170</v>
      </c>
      <c r="M599" t="s">
        <v>1479</v>
      </c>
      <c r="N599">
        <f t="shared" si="18"/>
        <v>2026</v>
      </c>
      <c r="O599" t="str">
        <f t="shared" si="19"/>
        <v>Thursday</v>
      </c>
    </row>
    <row r="600" spans="1:15" x14ac:dyDescent="0.3">
      <c r="A600" t="s">
        <v>1777</v>
      </c>
      <c r="B600" t="s">
        <v>1778</v>
      </c>
      <c r="C600" s="1">
        <v>46170.458333333343</v>
      </c>
      <c r="D600" t="s">
        <v>15</v>
      </c>
      <c r="E600" t="s">
        <v>63</v>
      </c>
      <c r="F600" t="s">
        <v>50</v>
      </c>
      <c r="G600" t="s">
        <v>91</v>
      </c>
      <c r="H600" t="s">
        <v>92</v>
      </c>
      <c r="I600" t="s">
        <v>37</v>
      </c>
      <c r="J600" t="s">
        <v>1779</v>
      </c>
      <c r="K600" t="s">
        <v>31</v>
      </c>
      <c r="L600" s="1">
        <v>46170</v>
      </c>
      <c r="M600" t="s">
        <v>1479</v>
      </c>
      <c r="N600">
        <f t="shared" si="18"/>
        <v>2026</v>
      </c>
      <c r="O600" t="str">
        <f t="shared" si="19"/>
        <v>Thursday</v>
      </c>
    </row>
    <row r="601" spans="1:15" x14ac:dyDescent="0.3">
      <c r="A601" t="s">
        <v>1780</v>
      </c>
      <c r="B601" t="s">
        <v>1781</v>
      </c>
      <c r="C601" s="1">
        <v>46170.791666666657</v>
      </c>
      <c r="D601" t="s">
        <v>15</v>
      </c>
      <c r="E601" t="s">
        <v>16</v>
      </c>
      <c r="F601" t="s">
        <v>17</v>
      </c>
      <c r="G601" t="s">
        <v>160</v>
      </c>
      <c r="H601" t="s">
        <v>161</v>
      </c>
      <c r="I601" t="s">
        <v>82</v>
      </c>
      <c r="J601" t="s">
        <v>1782</v>
      </c>
      <c r="K601" t="s">
        <v>31</v>
      </c>
      <c r="L601" s="1">
        <v>46170</v>
      </c>
      <c r="M601" t="s">
        <v>1479</v>
      </c>
      <c r="N601">
        <f t="shared" si="18"/>
        <v>2026</v>
      </c>
      <c r="O601" t="str">
        <f t="shared" si="19"/>
        <v>Thursday</v>
      </c>
    </row>
    <row r="602" spans="1:15" x14ac:dyDescent="0.3">
      <c r="A602" t="s">
        <v>1783</v>
      </c>
      <c r="B602" t="s">
        <v>219</v>
      </c>
      <c r="C602" s="1">
        <v>46170.833333333343</v>
      </c>
      <c r="D602" t="s">
        <v>15</v>
      </c>
      <c r="E602" t="s">
        <v>41</v>
      </c>
      <c r="F602" t="s">
        <v>50</v>
      </c>
      <c r="G602" t="s">
        <v>27</v>
      </c>
      <c r="H602" t="s">
        <v>28</v>
      </c>
      <c r="I602" t="s">
        <v>29</v>
      </c>
      <c r="J602" t="s">
        <v>1784</v>
      </c>
      <c r="K602" t="s">
        <v>60</v>
      </c>
      <c r="L602" s="1">
        <v>46170</v>
      </c>
      <c r="M602" t="s">
        <v>1479</v>
      </c>
      <c r="N602">
        <f t="shared" si="18"/>
        <v>2026</v>
      </c>
      <c r="O602" t="str">
        <f t="shared" si="19"/>
        <v>Thursday</v>
      </c>
    </row>
    <row r="603" spans="1:15" x14ac:dyDescent="0.3">
      <c r="A603" t="s">
        <v>1785</v>
      </c>
      <c r="B603" t="s">
        <v>1595</v>
      </c>
      <c r="C603" s="1">
        <v>46171.875</v>
      </c>
      <c r="D603" t="s">
        <v>15</v>
      </c>
      <c r="E603" t="s">
        <v>34</v>
      </c>
      <c r="F603" t="s">
        <v>17</v>
      </c>
      <c r="G603" t="s">
        <v>126</v>
      </c>
      <c r="H603" t="s">
        <v>127</v>
      </c>
      <c r="I603" t="s">
        <v>45</v>
      </c>
      <c r="J603" t="s">
        <v>1786</v>
      </c>
      <c r="K603" t="s">
        <v>22</v>
      </c>
      <c r="L603" s="1">
        <v>46171</v>
      </c>
      <c r="M603" t="s">
        <v>1479</v>
      </c>
      <c r="N603">
        <f t="shared" si="18"/>
        <v>2026</v>
      </c>
      <c r="O603" t="str">
        <f t="shared" si="19"/>
        <v>Friday</v>
      </c>
    </row>
    <row r="604" spans="1:15" x14ac:dyDescent="0.3">
      <c r="A604" t="s">
        <v>1787</v>
      </c>
      <c r="B604" t="s">
        <v>1788</v>
      </c>
      <c r="C604" s="1">
        <v>46172.583333333343</v>
      </c>
      <c r="D604" t="s">
        <v>15</v>
      </c>
      <c r="E604" t="s">
        <v>16</v>
      </c>
      <c r="F604" t="s">
        <v>17</v>
      </c>
      <c r="G604" t="s">
        <v>80</v>
      </c>
      <c r="H604" t="s">
        <v>81</v>
      </c>
      <c r="I604" t="s">
        <v>82</v>
      </c>
      <c r="J604" t="s">
        <v>1789</v>
      </c>
      <c r="K604" t="s">
        <v>74</v>
      </c>
      <c r="L604" s="1">
        <v>46172</v>
      </c>
      <c r="M604" t="s">
        <v>1479</v>
      </c>
      <c r="N604">
        <f t="shared" si="18"/>
        <v>2026</v>
      </c>
      <c r="O604" t="str">
        <f t="shared" si="19"/>
        <v>Saturday</v>
      </c>
    </row>
    <row r="605" spans="1:15" x14ac:dyDescent="0.3">
      <c r="A605" t="s">
        <v>1790</v>
      </c>
      <c r="B605" t="s">
        <v>1791</v>
      </c>
      <c r="C605" s="1">
        <v>46172.625</v>
      </c>
      <c r="D605" t="s">
        <v>15</v>
      </c>
      <c r="E605" t="s">
        <v>26</v>
      </c>
      <c r="F605" t="s">
        <v>50</v>
      </c>
      <c r="G605" t="s">
        <v>35</v>
      </c>
      <c r="H605" t="s">
        <v>36</v>
      </c>
      <c r="I605" t="s">
        <v>37</v>
      </c>
      <c r="J605" t="s">
        <v>1792</v>
      </c>
      <c r="K605" t="s">
        <v>31</v>
      </c>
      <c r="L605" s="1">
        <v>46172</v>
      </c>
      <c r="M605" t="s">
        <v>1479</v>
      </c>
      <c r="N605">
        <f t="shared" si="18"/>
        <v>2026</v>
      </c>
      <c r="O605" t="str">
        <f t="shared" si="19"/>
        <v>Saturday</v>
      </c>
    </row>
    <row r="606" spans="1:15" x14ac:dyDescent="0.3">
      <c r="A606" t="s">
        <v>1793</v>
      </c>
      <c r="B606" t="s">
        <v>1794</v>
      </c>
      <c r="C606" s="1">
        <v>46172.625</v>
      </c>
      <c r="D606" t="s">
        <v>15</v>
      </c>
      <c r="E606" t="s">
        <v>16</v>
      </c>
      <c r="F606" t="s">
        <v>50</v>
      </c>
      <c r="G606" t="s">
        <v>126</v>
      </c>
      <c r="H606" t="s">
        <v>127</v>
      </c>
      <c r="I606" t="s">
        <v>45</v>
      </c>
      <c r="J606" t="s">
        <v>1795</v>
      </c>
      <c r="K606" t="s">
        <v>22</v>
      </c>
      <c r="L606" s="1">
        <v>46172</v>
      </c>
      <c r="M606" t="s">
        <v>1479</v>
      </c>
      <c r="N606">
        <f t="shared" si="18"/>
        <v>2026</v>
      </c>
      <c r="O606" t="str">
        <f t="shared" si="19"/>
        <v>Saturday</v>
      </c>
    </row>
    <row r="607" spans="1:15" x14ac:dyDescent="0.3">
      <c r="A607" t="s">
        <v>1796</v>
      </c>
      <c r="B607" t="s">
        <v>1797</v>
      </c>
      <c r="C607" s="1">
        <v>46173.333333333343</v>
      </c>
      <c r="D607" t="s">
        <v>15</v>
      </c>
      <c r="E607" t="s">
        <v>26</v>
      </c>
      <c r="F607" t="s">
        <v>50</v>
      </c>
      <c r="G607" t="s">
        <v>27</v>
      </c>
      <c r="H607" t="s">
        <v>28</v>
      </c>
      <c r="I607" t="s">
        <v>29</v>
      </c>
      <c r="J607" t="s">
        <v>1798</v>
      </c>
      <c r="K607" t="s">
        <v>74</v>
      </c>
      <c r="L607" s="1">
        <v>46173</v>
      </c>
      <c r="M607" t="s">
        <v>1479</v>
      </c>
      <c r="N607">
        <f t="shared" si="18"/>
        <v>2026</v>
      </c>
      <c r="O607" t="str">
        <f t="shared" si="19"/>
        <v>Sunday</v>
      </c>
    </row>
    <row r="608" spans="1:15" x14ac:dyDescent="0.3">
      <c r="A608" t="s">
        <v>1799</v>
      </c>
      <c r="B608" t="s">
        <v>130</v>
      </c>
      <c r="C608" s="1">
        <v>46173.5</v>
      </c>
      <c r="D608" t="s">
        <v>15</v>
      </c>
      <c r="E608" t="s">
        <v>16</v>
      </c>
      <c r="F608" t="s">
        <v>42</v>
      </c>
      <c r="G608" t="s">
        <v>35</v>
      </c>
      <c r="H608" t="s">
        <v>36</v>
      </c>
      <c r="I608" t="s">
        <v>37</v>
      </c>
      <c r="J608" t="s">
        <v>1800</v>
      </c>
      <c r="K608" t="s">
        <v>31</v>
      </c>
      <c r="L608" s="1">
        <v>46173</v>
      </c>
      <c r="M608" t="s">
        <v>1479</v>
      </c>
      <c r="N608">
        <f t="shared" si="18"/>
        <v>2026</v>
      </c>
      <c r="O608" t="str">
        <f t="shared" si="19"/>
        <v>Sunday</v>
      </c>
    </row>
    <row r="609" spans="1:15" x14ac:dyDescent="0.3">
      <c r="A609" t="s">
        <v>1801</v>
      </c>
      <c r="B609" t="s">
        <v>1802</v>
      </c>
      <c r="C609" s="1">
        <v>46173.583333333343</v>
      </c>
      <c r="D609" t="s">
        <v>15</v>
      </c>
      <c r="E609" t="s">
        <v>26</v>
      </c>
      <c r="F609" t="s">
        <v>17</v>
      </c>
      <c r="G609" t="s">
        <v>355</v>
      </c>
      <c r="H609" t="s">
        <v>356</v>
      </c>
      <c r="I609" t="s">
        <v>82</v>
      </c>
      <c r="J609" t="s">
        <v>1803</v>
      </c>
      <c r="K609" t="s">
        <v>60</v>
      </c>
      <c r="L609" s="1">
        <v>46173</v>
      </c>
      <c r="M609" t="s">
        <v>1479</v>
      </c>
      <c r="N609">
        <f t="shared" si="18"/>
        <v>2026</v>
      </c>
      <c r="O609" t="str">
        <f t="shared" si="19"/>
        <v>Sunday</v>
      </c>
    </row>
    <row r="610" spans="1:15" x14ac:dyDescent="0.3">
      <c r="A610" t="s">
        <v>1804</v>
      </c>
      <c r="B610" t="s">
        <v>1805</v>
      </c>
      <c r="C610" s="1">
        <v>46173.666666666657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 t="s">
        <v>20</v>
      </c>
      <c r="J610" t="s">
        <v>1806</v>
      </c>
      <c r="K610" t="s">
        <v>22</v>
      </c>
      <c r="L610" s="1">
        <v>46173</v>
      </c>
      <c r="M610" t="s">
        <v>1479</v>
      </c>
      <c r="N610">
        <f t="shared" si="18"/>
        <v>2026</v>
      </c>
      <c r="O610" t="str">
        <f t="shared" si="19"/>
        <v>Sunday</v>
      </c>
    </row>
    <row r="611" spans="1:15" x14ac:dyDescent="0.3">
      <c r="A611" t="s">
        <v>1807</v>
      </c>
      <c r="B611" t="s">
        <v>1200</v>
      </c>
      <c r="C611" s="1">
        <v>46174.416666666657</v>
      </c>
      <c r="D611" t="s">
        <v>15</v>
      </c>
      <c r="E611" t="s">
        <v>41</v>
      </c>
      <c r="F611" t="s">
        <v>17</v>
      </c>
      <c r="G611" t="s">
        <v>91</v>
      </c>
      <c r="H611" t="s">
        <v>92</v>
      </c>
      <c r="I611" t="s">
        <v>37</v>
      </c>
      <c r="J611" t="s">
        <v>1808</v>
      </c>
      <c r="K611" t="s">
        <v>60</v>
      </c>
      <c r="L611" s="1">
        <v>46174</v>
      </c>
      <c r="M611" t="s">
        <v>1809</v>
      </c>
      <c r="N611">
        <f t="shared" si="18"/>
        <v>2026</v>
      </c>
      <c r="O611" t="str">
        <f t="shared" si="19"/>
        <v>Monday</v>
      </c>
    </row>
    <row r="612" spans="1:15" x14ac:dyDescent="0.3">
      <c r="A612" t="s">
        <v>1810</v>
      </c>
      <c r="B612" t="s">
        <v>1811</v>
      </c>
      <c r="C612" s="1">
        <v>46174.541666666657</v>
      </c>
      <c r="D612" t="s">
        <v>15</v>
      </c>
      <c r="E612" t="s">
        <v>16</v>
      </c>
      <c r="F612" t="s">
        <v>50</v>
      </c>
      <c r="G612" t="s">
        <v>112</v>
      </c>
      <c r="H612" t="s">
        <v>113</v>
      </c>
      <c r="I612" t="s">
        <v>37</v>
      </c>
      <c r="J612" t="s">
        <v>1812</v>
      </c>
      <c r="K612" t="s">
        <v>22</v>
      </c>
      <c r="L612" s="1">
        <v>46174</v>
      </c>
      <c r="M612" t="s">
        <v>1809</v>
      </c>
      <c r="N612">
        <f t="shared" si="18"/>
        <v>2026</v>
      </c>
      <c r="O612" t="str">
        <f t="shared" si="19"/>
        <v>Monday</v>
      </c>
    </row>
    <row r="613" spans="1:15" x14ac:dyDescent="0.3">
      <c r="A613" t="s">
        <v>1813</v>
      </c>
      <c r="B613" t="s">
        <v>1183</v>
      </c>
      <c r="C613" s="1">
        <v>46174.583333333343</v>
      </c>
      <c r="D613" t="s">
        <v>15</v>
      </c>
      <c r="E613" t="s">
        <v>63</v>
      </c>
      <c r="F613" t="s">
        <v>17</v>
      </c>
      <c r="G613" t="s">
        <v>56</v>
      </c>
      <c r="H613" t="s">
        <v>57</v>
      </c>
      <c r="I613" t="s">
        <v>58</v>
      </c>
      <c r="J613" t="s">
        <v>1814</v>
      </c>
      <c r="K613" t="s">
        <v>22</v>
      </c>
      <c r="L613" s="1">
        <v>46174</v>
      </c>
      <c r="M613" t="s">
        <v>1809</v>
      </c>
      <c r="N613">
        <f t="shared" si="18"/>
        <v>2026</v>
      </c>
      <c r="O613" t="str">
        <f t="shared" si="19"/>
        <v>Monday</v>
      </c>
    </row>
    <row r="614" spans="1:15" x14ac:dyDescent="0.3">
      <c r="A614" t="s">
        <v>1815</v>
      </c>
      <c r="B614" t="s">
        <v>1816</v>
      </c>
      <c r="C614" s="1">
        <v>46174.625</v>
      </c>
      <c r="D614" t="s">
        <v>15</v>
      </c>
      <c r="E614" t="s">
        <v>26</v>
      </c>
      <c r="F614" t="s">
        <v>50</v>
      </c>
      <c r="G614" t="s">
        <v>106</v>
      </c>
      <c r="H614" t="s">
        <v>107</v>
      </c>
      <c r="I614" t="s">
        <v>108</v>
      </c>
      <c r="J614" t="s">
        <v>1817</v>
      </c>
      <c r="K614" t="s">
        <v>74</v>
      </c>
      <c r="L614" s="1">
        <v>46174</v>
      </c>
      <c r="M614" t="s">
        <v>1809</v>
      </c>
      <c r="N614">
        <f t="shared" si="18"/>
        <v>2026</v>
      </c>
      <c r="O614" t="str">
        <f t="shared" si="19"/>
        <v>Monday</v>
      </c>
    </row>
    <row r="615" spans="1:15" x14ac:dyDescent="0.3">
      <c r="A615" t="s">
        <v>1818</v>
      </c>
      <c r="B615" t="s">
        <v>1819</v>
      </c>
      <c r="C615" s="1">
        <v>46174.708333333343</v>
      </c>
      <c r="D615" t="s">
        <v>15</v>
      </c>
      <c r="E615" t="s">
        <v>63</v>
      </c>
      <c r="F615" t="s">
        <v>17</v>
      </c>
      <c r="G615" t="s">
        <v>56</v>
      </c>
      <c r="H615" t="s">
        <v>57</v>
      </c>
      <c r="I615" t="s">
        <v>58</v>
      </c>
      <c r="J615" t="s">
        <v>1820</v>
      </c>
      <c r="K615" t="s">
        <v>60</v>
      </c>
      <c r="L615" s="1">
        <v>46174</v>
      </c>
      <c r="M615" t="s">
        <v>1809</v>
      </c>
      <c r="N615">
        <f t="shared" si="18"/>
        <v>2026</v>
      </c>
      <c r="O615" t="str">
        <f t="shared" si="19"/>
        <v>Monday</v>
      </c>
    </row>
    <row r="616" spans="1:15" x14ac:dyDescent="0.3">
      <c r="A616" t="s">
        <v>1821</v>
      </c>
      <c r="B616" t="s">
        <v>1822</v>
      </c>
      <c r="C616" s="1">
        <v>46174.833333333343</v>
      </c>
      <c r="D616" t="s">
        <v>15</v>
      </c>
      <c r="E616" t="s">
        <v>26</v>
      </c>
      <c r="F616" t="s">
        <v>17</v>
      </c>
      <c r="G616" t="s">
        <v>51</v>
      </c>
      <c r="H616" t="s">
        <v>52</v>
      </c>
      <c r="I616" t="s">
        <v>20</v>
      </c>
      <c r="J616" t="s">
        <v>1823</v>
      </c>
      <c r="K616" t="s">
        <v>74</v>
      </c>
      <c r="L616" s="1">
        <v>46174</v>
      </c>
      <c r="M616" t="s">
        <v>1809</v>
      </c>
      <c r="N616">
        <f t="shared" si="18"/>
        <v>2026</v>
      </c>
      <c r="O616" t="str">
        <f t="shared" si="19"/>
        <v>Monday</v>
      </c>
    </row>
    <row r="617" spans="1:15" x14ac:dyDescent="0.3">
      <c r="A617" t="s">
        <v>1824</v>
      </c>
      <c r="B617" t="s">
        <v>1825</v>
      </c>
      <c r="C617" s="1">
        <v>46174.833333333343</v>
      </c>
      <c r="D617" t="s">
        <v>15</v>
      </c>
      <c r="E617" t="s">
        <v>16</v>
      </c>
      <c r="F617" t="s">
        <v>50</v>
      </c>
      <c r="G617" t="s">
        <v>149</v>
      </c>
      <c r="H617" t="s">
        <v>150</v>
      </c>
      <c r="I617" t="s">
        <v>37</v>
      </c>
      <c r="J617" t="s">
        <v>1826</v>
      </c>
      <c r="K617" t="s">
        <v>31</v>
      </c>
      <c r="L617" s="1">
        <v>46174</v>
      </c>
      <c r="M617" t="s">
        <v>1809</v>
      </c>
      <c r="N617">
        <f t="shared" si="18"/>
        <v>2026</v>
      </c>
      <c r="O617" t="str">
        <f t="shared" si="19"/>
        <v>Monday</v>
      </c>
    </row>
    <row r="618" spans="1:15" x14ac:dyDescent="0.3">
      <c r="A618" t="s">
        <v>1827</v>
      </c>
      <c r="B618" t="s">
        <v>1403</v>
      </c>
      <c r="C618" s="1">
        <v>46174.875</v>
      </c>
      <c r="D618" t="s">
        <v>15</v>
      </c>
      <c r="E618" t="s">
        <v>26</v>
      </c>
      <c r="F618" t="s">
        <v>50</v>
      </c>
      <c r="G618" t="s">
        <v>51</v>
      </c>
      <c r="H618" t="s">
        <v>52</v>
      </c>
      <c r="I618" t="s">
        <v>20</v>
      </c>
      <c r="J618" t="s">
        <v>1828</v>
      </c>
      <c r="K618" t="s">
        <v>31</v>
      </c>
      <c r="L618" s="1">
        <v>46174</v>
      </c>
      <c r="M618" t="s">
        <v>1809</v>
      </c>
      <c r="N618">
        <f t="shared" si="18"/>
        <v>2026</v>
      </c>
      <c r="O618" t="str">
        <f t="shared" si="19"/>
        <v>Monday</v>
      </c>
    </row>
    <row r="619" spans="1:15" x14ac:dyDescent="0.3">
      <c r="A619" t="s">
        <v>1829</v>
      </c>
      <c r="B619" t="s">
        <v>1107</v>
      </c>
      <c r="C619" s="1">
        <v>46175.333333333343</v>
      </c>
      <c r="D619" t="s">
        <v>15</v>
      </c>
      <c r="E619" t="s">
        <v>26</v>
      </c>
      <c r="F619" t="s">
        <v>50</v>
      </c>
      <c r="G619" t="s">
        <v>56</v>
      </c>
      <c r="H619" t="s">
        <v>57</v>
      </c>
      <c r="I619" t="s">
        <v>58</v>
      </c>
      <c r="J619" t="s">
        <v>1830</v>
      </c>
      <c r="K619" t="s">
        <v>47</v>
      </c>
      <c r="L619" s="1">
        <v>46175</v>
      </c>
      <c r="M619" t="s">
        <v>1809</v>
      </c>
      <c r="N619">
        <f t="shared" si="18"/>
        <v>2026</v>
      </c>
      <c r="O619" t="str">
        <f t="shared" si="19"/>
        <v>Tuesday</v>
      </c>
    </row>
    <row r="620" spans="1:15" x14ac:dyDescent="0.3">
      <c r="A620" t="s">
        <v>1831</v>
      </c>
      <c r="B620" t="s">
        <v>1832</v>
      </c>
      <c r="C620" s="1">
        <v>46175.5</v>
      </c>
      <c r="D620" t="s">
        <v>15</v>
      </c>
      <c r="E620" t="s">
        <v>63</v>
      </c>
      <c r="F620" t="s">
        <v>17</v>
      </c>
      <c r="G620" t="s">
        <v>91</v>
      </c>
      <c r="H620" t="s">
        <v>92</v>
      </c>
      <c r="I620" t="s">
        <v>37</v>
      </c>
      <c r="J620" t="s">
        <v>1833</v>
      </c>
      <c r="K620" t="s">
        <v>22</v>
      </c>
      <c r="L620" s="1">
        <v>46175</v>
      </c>
      <c r="M620" t="s">
        <v>1809</v>
      </c>
      <c r="N620">
        <f t="shared" si="18"/>
        <v>2026</v>
      </c>
      <c r="O620" t="str">
        <f t="shared" si="19"/>
        <v>Tuesday</v>
      </c>
    </row>
    <row r="621" spans="1:15" x14ac:dyDescent="0.3">
      <c r="A621" t="s">
        <v>1834</v>
      </c>
      <c r="B621" t="s">
        <v>1835</v>
      </c>
      <c r="C621" s="1">
        <v>46175.833333333343</v>
      </c>
      <c r="D621" t="s">
        <v>15</v>
      </c>
      <c r="E621" t="s">
        <v>16</v>
      </c>
      <c r="F621" t="s">
        <v>17</v>
      </c>
      <c r="G621" t="s">
        <v>355</v>
      </c>
      <c r="H621" t="s">
        <v>356</v>
      </c>
      <c r="I621" t="s">
        <v>82</v>
      </c>
      <c r="J621" t="s">
        <v>1836</v>
      </c>
      <c r="K621" t="s">
        <v>47</v>
      </c>
      <c r="L621" s="1">
        <v>46175</v>
      </c>
      <c r="M621" t="s">
        <v>1809</v>
      </c>
      <c r="N621">
        <f t="shared" si="18"/>
        <v>2026</v>
      </c>
      <c r="O621" t="str">
        <f t="shared" si="19"/>
        <v>Tuesday</v>
      </c>
    </row>
    <row r="622" spans="1:15" x14ac:dyDescent="0.3">
      <c r="A622" t="s">
        <v>1837</v>
      </c>
      <c r="B622" t="s">
        <v>1604</v>
      </c>
      <c r="C622" s="1">
        <v>46176.416666666657</v>
      </c>
      <c r="D622" t="s">
        <v>15</v>
      </c>
      <c r="E622" t="s">
        <v>34</v>
      </c>
      <c r="F622" t="s">
        <v>50</v>
      </c>
      <c r="G622" t="s">
        <v>91</v>
      </c>
      <c r="H622" t="s">
        <v>92</v>
      </c>
      <c r="I622" t="s">
        <v>37</v>
      </c>
      <c r="J622" t="s">
        <v>1838</v>
      </c>
      <c r="K622" t="s">
        <v>74</v>
      </c>
      <c r="L622" s="1">
        <v>46176</v>
      </c>
      <c r="M622" t="s">
        <v>1809</v>
      </c>
      <c r="N622">
        <f t="shared" si="18"/>
        <v>2026</v>
      </c>
      <c r="O622" t="str">
        <f t="shared" si="19"/>
        <v>Wednesday</v>
      </c>
    </row>
    <row r="623" spans="1:15" x14ac:dyDescent="0.3">
      <c r="A623" t="s">
        <v>1839</v>
      </c>
      <c r="B623" t="s">
        <v>1840</v>
      </c>
      <c r="C623" s="1">
        <v>46176.541666666657</v>
      </c>
      <c r="D623" t="s">
        <v>15</v>
      </c>
      <c r="E623" t="s">
        <v>34</v>
      </c>
      <c r="F623" t="s">
        <v>50</v>
      </c>
      <c r="G623" t="s">
        <v>112</v>
      </c>
      <c r="H623" t="s">
        <v>113</v>
      </c>
      <c r="I623" t="s">
        <v>37</v>
      </c>
      <c r="J623" t="s">
        <v>1841</v>
      </c>
      <c r="K623" t="s">
        <v>22</v>
      </c>
      <c r="L623" s="1">
        <v>46176</v>
      </c>
      <c r="M623" t="s">
        <v>1809</v>
      </c>
      <c r="N623">
        <f t="shared" si="18"/>
        <v>2026</v>
      </c>
      <c r="O623" t="str">
        <f t="shared" si="19"/>
        <v>Wednesday</v>
      </c>
    </row>
    <row r="624" spans="1:15" x14ac:dyDescent="0.3">
      <c r="A624" t="s">
        <v>1842</v>
      </c>
      <c r="B624" t="s">
        <v>1157</v>
      </c>
      <c r="C624" s="1">
        <v>46176.583333333343</v>
      </c>
      <c r="D624" t="s">
        <v>15</v>
      </c>
      <c r="E624" t="s">
        <v>26</v>
      </c>
      <c r="F624" t="s">
        <v>50</v>
      </c>
      <c r="G624" t="s">
        <v>250</v>
      </c>
      <c r="H624" t="s">
        <v>251</v>
      </c>
      <c r="I624" t="s">
        <v>108</v>
      </c>
      <c r="J624" t="s">
        <v>1843</v>
      </c>
      <c r="K624" t="s">
        <v>22</v>
      </c>
      <c r="L624" s="1">
        <v>46176</v>
      </c>
      <c r="M624" t="s">
        <v>1809</v>
      </c>
      <c r="N624">
        <f t="shared" si="18"/>
        <v>2026</v>
      </c>
      <c r="O624" t="str">
        <f t="shared" si="19"/>
        <v>Wednesday</v>
      </c>
    </row>
    <row r="625" spans="1:15" x14ac:dyDescent="0.3">
      <c r="A625" t="s">
        <v>1844</v>
      </c>
      <c r="B625" t="s">
        <v>1496</v>
      </c>
      <c r="C625" s="1">
        <v>46176.708333333343</v>
      </c>
      <c r="D625" t="s">
        <v>15</v>
      </c>
      <c r="E625" t="s">
        <v>16</v>
      </c>
      <c r="F625" t="s">
        <v>17</v>
      </c>
      <c r="G625" t="s">
        <v>112</v>
      </c>
      <c r="H625" t="s">
        <v>113</v>
      </c>
      <c r="I625" t="s">
        <v>37</v>
      </c>
      <c r="J625" t="s">
        <v>1845</v>
      </c>
      <c r="K625" t="s">
        <v>74</v>
      </c>
      <c r="L625" s="1">
        <v>46176</v>
      </c>
      <c r="M625" t="s">
        <v>1809</v>
      </c>
      <c r="N625">
        <f t="shared" si="18"/>
        <v>2026</v>
      </c>
      <c r="O625" t="str">
        <f t="shared" si="19"/>
        <v>Wednesday</v>
      </c>
    </row>
    <row r="626" spans="1:15" x14ac:dyDescent="0.3">
      <c r="A626" t="s">
        <v>1846</v>
      </c>
      <c r="B626" t="s">
        <v>1847</v>
      </c>
      <c r="C626" s="1">
        <v>46176.708333333343</v>
      </c>
      <c r="D626" t="s">
        <v>15</v>
      </c>
      <c r="E626" t="s">
        <v>16</v>
      </c>
      <c r="F626" t="s">
        <v>50</v>
      </c>
      <c r="G626" t="s">
        <v>43</v>
      </c>
      <c r="H626" t="s">
        <v>44</v>
      </c>
      <c r="I626" t="s">
        <v>45</v>
      </c>
      <c r="J626" t="s">
        <v>1848</v>
      </c>
      <c r="K626" t="s">
        <v>31</v>
      </c>
      <c r="L626" s="1">
        <v>46176</v>
      </c>
      <c r="M626" t="s">
        <v>1809</v>
      </c>
      <c r="N626">
        <f t="shared" si="18"/>
        <v>2026</v>
      </c>
      <c r="O626" t="str">
        <f t="shared" si="19"/>
        <v>Wednesday</v>
      </c>
    </row>
    <row r="627" spans="1:15" x14ac:dyDescent="0.3">
      <c r="A627" t="s">
        <v>1849</v>
      </c>
      <c r="B627" t="s">
        <v>1850</v>
      </c>
      <c r="C627" s="1">
        <v>46177.333333333343</v>
      </c>
      <c r="D627" t="s">
        <v>15</v>
      </c>
      <c r="E627" t="s">
        <v>41</v>
      </c>
      <c r="F627" t="s">
        <v>17</v>
      </c>
      <c r="G627" t="s">
        <v>51</v>
      </c>
      <c r="H627" t="s">
        <v>52</v>
      </c>
      <c r="I627" t="s">
        <v>20</v>
      </c>
      <c r="J627" t="s">
        <v>1851</v>
      </c>
      <c r="K627" t="s">
        <v>31</v>
      </c>
      <c r="L627" s="1">
        <v>46177</v>
      </c>
      <c r="M627" t="s">
        <v>1809</v>
      </c>
      <c r="N627">
        <f t="shared" si="18"/>
        <v>2026</v>
      </c>
      <c r="O627" t="str">
        <f t="shared" si="19"/>
        <v>Thursday</v>
      </c>
    </row>
    <row r="628" spans="1:15" x14ac:dyDescent="0.3">
      <c r="A628" t="s">
        <v>1852</v>
      </c>
      <c r="B628" t="s">
        <v>1853</v>
      </c>
      <c r="C628" s="1">
        <v>46177.666666666657</v>
      </c>
      <c r="D628" t="s">
        <v>15</v>
      </c>
      <c r="E628" t="s">
        <v>34</v>
      </c>
      <c r="F628" t="s">
        <v>17</v>
      </c>
      <c r="G628" t="s">
        <v>80</v>
      </c>
      <c r="H628" t="s">
        <v>81</v>
      </c>
      <c r="I628" t="s">
        <v>82</v>
      </c>
      <c r="J628" t="s">
        <v>1854</v>
      </c>
      <c r="K628" t="s">
        <v>22</v>
      </c>
      <c r="L628" s="1">
        <v>46177</v>
      </c>
      <c r="M628" t="s">
        <v>1809</v>
      </c>
      <c r="N628">
        <f t="shared" si="18"/>
        <v>2026</v>
      </c>
      <c r="O628" t="str">
        <f t="shared" si="19"/>
        <v>Thursday</v>
      </c>
    </row>
    <row r="629" spans="1:15" x14ac:dyDescent="0.3">
      <c r="A629" t="s">
        <v>1855</v>
      </c>
      <c r="B629" t="s">
        <v>1856</v>
      </c>
      <c r="C629" s="1">
        <v>46177.708333333343</v>
      </c>
      <c r="D629" t="s">
        <v>15</v>
      </c>
      <c r="E629" t="s">
        <v>63</v>
      </c>
      <c r="F629" t="s">
        <v>50</v>
      </c>
      <c r="G629" t="s">
        <v>191</v>
      </c>
      <c r="H629" t="s">
        <v>192</v>
      </c>
      <c r="I629" t="s">
        <v>45</v>
      </c>
      <c r="J629" t="s">
        <v>1857</v>
      </c>
      <c r="K629" t="s">
        <v>60</v>
      </c>
      <c r="L629" s="1">
        <v>46177</v>
      </c>
      <c r="M629" t="s">
        <v>1809</v>
      </c>
      <c r="N629">
        <f t="shared" si="18"/>
        <v>2026</v>
      </c>
      <c r="O629" t="str">
        <f t="shared" si="19"/>
        <v>Thursday</v>
      </c>
    </row>
    <row r="630" spans="1:15" x14ac:dyDescent="0.3">
      <c r="A630" t="s">
        <v>1858</v>
      </c>
      <c r="B630" t="s">
        <v>1859</v>
      </c>
      <c r="C630" s="1">
        <v>46177.791666666657</v>
      </c>
      <c r="D630" t="s">
        <v>15</v>
      </c>
      <c r="E630" t="s">
        <v>41</v>
      </c>
      <c r="F630" t="s">
        <v>17</v>
      </c>
      <c r="G630" t="s">
        <v>18</v>
      </c>
      <c r="H630" t="s">
        <v>19</v>
      </c>
      <c r="I630" t="s">
        <v>20</v>
      </c>
      <c r="J630" t="s">
        <v>1860</v>
      </c>
      <c r="K630" t="s">
        <v>60</v>
      </c>
      <c r="L630" s="1">
        <v>46177</v>
      </c>
      <c r="M630" t="s">
        <v>1809</v>
      </c>
      <c r="N630">
        <f t="shared" si="18"/>
        <v>2026</v>
      </c>
      <c r="O630" t="str">
        <f t="shared" si="19"/>
        <v>Thursday</v>
      </c>
    </row>
    <row r="631" spans="1:15" x14ac:dyDescent="0.3">
      <c r="A631" t="s">
        <v>1861</v>
      </c>
      <c r="B631" t="s">
        <v>1862</v>
      </c>
      <c r="C631" s="1">
        <v>46177.833333333343</v>
      </c>
      <c r="D631" t="s">
        <v>15</v>
      </c>
      <c r="E631" t="s">
        <v>16</v>
      </c>
      <c r="F631" t="s">
        <v>50</v>
      </c>
      <c r="G631" t="s">
        <v>126</v>
      </c>
      <c r="H631" t="s">
        <v>127</v>
      </c>
      <c r="I631" t="s">
        <v>45</v>
      </c>
      <c r="J631" t="s">
        <v>1863</v>
      </c>
      <c r="K631" t="s">
        <v>47</v>
      </c>
      <c r="L631" s="1">
        <v>46177</v>
      </c>
      <c r="M631" t="s">
        <v>1809</v>
      </c>
      <c r="N631">
        <f t="shared" si="18"/>
        <v>2026</v>
      </c>
      <c r="O631" t="str">
        <f t="shared" si="19"/>
        <v>Thursday</v>
      </c>
    </row>
    <row r="632" spans="1:15" x14ac:dyDescent="0.3">
      <c r="A632" t="s">
        <v>1864</v>
      </c>
      <c r="B632" t="s">
        <v>1865</v>
      </c>
      <c r="C632" s="1">
        <v>46178.333333333343</v>
      </c>
      <c r="D632" t="s">
        <v>15</v>
      </c>
      <c r="E632" t="s">
        <v>26</v>
      </c>
      <c r="F632" t="s">
        <v>42</v>
      </c>
      <c r="G632" t="s">
        <v>165</v>
      </c>
      <c r="H632" t="s">
        <v>166</v>
      </c>
      <c r="I632" t="s">
        <v>29</v>
      </c>
      <c r="J632" t="s">
        <v>1866</v>
      </c>
      <c r="K632" t="s">
        <v>74</v>
      </c>
      <c r="L632" s="1">
        <v>46178</v>
      </c>
      <c r="M632" t="s">
        <v>1809</v>
      </c>
      <c r="N632">
        <f t="shared" si="18"/>
        <v>2026</v>
      </c>
      <c r="O632" t="str">
        <f t="shared" si="19"/>
        <v>Friday</v>
      </c>
    </row>
    <row r="633" spans="1:15" x14ac:dyDescent="0.3">
      <c r="A633" t="s">
        <v>1867</v>
      </c>
      <c r="B633" t="s">
        <v>1868</v>
      </c>
      <c r="C633" s="1">
        <v>46178.416666666657</v>
      </c>
      <c r="D633" t="s">
        <v>15</v>
      </c>
      <c r="E633" t="s">
        <v>41</v>
      </c>
      <c r="F633" t="s">
        <v>50</v>
      </c>
      <c r="G633" t="s">
        <v>165</v>
      </c>
      <c r="H633" t="s">
        <v>166</v>
      </c>
      <c r="I633" t="s">
        <v>29</v>
      </c>
      <c r="J633" t="s">
        <v>1869</v>
      </c>
      <c r="K633" t="s">
        <v>47</v>
      </c>
      <c r="L633" s="1">
        <v>46178</v>
      </c>
      <c r="M633" t="s">
        <v>1809</v>
      </c>
      <c r="N633">
        <f t="shared" si="18"/>
        <v>2026</v>
      </c>
      <c r="O633" t="str">
        <f t="shared" si="19"/>
        <v>Friday</v>
      </c>
    </row>
    <row r="634" spans="1:15" x14ac:dyDescent="0.3">
      <c r="A634" t="s">
        <v>1870</v>
      </c>
      <c r="B634" t="s">
        <v>442</v>
      </c>
      <c r="C634" s="1">
        <v>46178.416666666657</v>
      </c>
      <c r="D634" t="s">
        <v>15</v>
      </c>
      <c r="E634" t="s">
        <v>16</v>
      </c>
      <c r="F634" t="s">
        <v>17</v>
      </c>
      <c r="G634" t="s">
        <v>126</v>
      </c>
      <c r="H634" t="s">
        <v>127</v>
      </c>
      <c r="I634" t="s">
        <v>45</v>
      </c>
      <c r="J634" t="s">
        <v>1871</v>
      </c>
      <c r="K634" t="s">
        <v>31</v>
      </c>
      <c r="L634" s="1">
        <v>46178</v>
      </c>
      <c r="M634" t="s">
        <v>1809</v>
      </c>
      <c r="N634">
        <f t="shared" si="18"/>
        <v>2026</v>
      </c>
      <c r="O634" t="str">
        <f t="shared" si="19"/>
        <v>Friday</v>
      </c>
    </row>
    <row r="635" spans="1:15" x14ac:dyDescent="0.3">
      <c r="A635" t="s">
        <v>1872</v>
      </c>
      <c r="B635" t="s">
        <v>1873</v>
      </c>
      <c r="C635" s="1">
        <v>46178.458333333343</v>
      </c>
      <c r="D635" t="s">
        <v>15</v>
      </c>
      <c r="E635" t="s">
        <v>41</v>
      </c>
      <c r="F635" t="s">
        <v>17</v>
      </c>
      <c r="G635" t="s">
        <v>43</v>
      </c>
      <c r="H635" t="s">
        <v>44</v>
      </c>
      <c r="I635" t="s">
        <v>45</v>
      </c>
      <c r="J635" t="s">
        <v>1874</v>
      </c>
      <c r="K635" t="s">
        <v>47</v>
      </c>
      <c r="L635" s="1">
        <v>46178</v>
      </c>
      <c r="M635" t="s">
        <v>1809</v>
      </c>
      <c r="N635">
        <f t="shared" si="18"/>
        <v>2026</v>
      </c>
      <c r="O635" t="str">
        <f t="shared" si="19"/>
        <v>Friday</v>
      </c>
    </row>
    <row r="636" spans="1:15" x14ac:dyDescent="0.3">
      <c r="A636" t="s">
        <v>1875</v>
      </c>
      <c r="B636" t="s">
        <v>1175</v>
      </c>
      <c r="C636" s="1">
        <v>46178.833333333343</v>
      </c>
      <c r="D636" t="s">
        <v>15</v>
      </c>
      <c r="E636" t="s">
        <v>26</v>
      </c>
      <c r="F636" t="s">
        <v>17</v>
      </c>
      <c r="G636" t="s">
        <v>80</v>
      </c>
      <c r="H636" t="s">
        <v>81</v>
      </c>
      <c r="I636" t="s">
        <v>82</v>
      </c>
      <c r="J636" t="s">
        <v>1876</v>
      </c>
      <c r="K636" t="s">
        <v>22</v>
      </c>
      <c r="L636" s="1">
        <v>46178</v>
      </c>
      <c r="M636" t="s">
        <v>1809</v>
      </c>
      <c r="N636">
        <f t="shared" si="18"/>
        <v>2026</v>
      </c>
      <c r="O636" t="str">
        <f t="shared" si="19"/>
        <v>Friday</v>
      </c>
    </row>
    <row r="637" spans="1:15" x14ac:dyDescent="0.3">
      <c r="A637" t="s">
        <v>1877</v>
      </c>
      <c r="B637" t="s">
        <v>1878</v>
      </c>
      <c r="C637" s="1">
        <v>46178.833333333343</v>
      </c>
      <c r="D637" t="s">
        <v>15</v>
      </c>
      <c r="E637" t="s">
        <v>34</v>
      </c>
      <c r="F637" t="s">
        <v>17</v>
      </c>
      <c r="G637" t="s">
        <v>43</v>
      </c>
      <c r="H637" t="s">
        <v>44</v>
      </c>
      <c r="I637" t="s">
        <v>45</v>
      </c>
      <c r="J637" t="s">
        <v>1879</v>
      </c>
      <c r="K637" t="s">
        <v>31</v>
      </c>
      <c r="L637" s="1">
        <v>46178</v>
      </c>
      <c r="M637" t="s">
        <v>1809</v>
      </c>
      <c r="N637">
        <f t="shared" si="18"/>
        <v>2026</v>
      </c>
      <c r="O637" t="str">
        <f t="shared" si="19"/>
        <v>Friday</v>
      </c>
    </row>
    <row r="638" spans="1:15" x14ac:dyDescent="0.3">
      <c r="A638" t="s">
        <v>1880</v>
      </c>
      <c r="B638" t="s">
        <v>1881</v>
      </c>
      <c r="C638" s="1">
        <v>46180.583333333343</v>
      </c>
      <c r="D638" t="s">
        <v>15</v>
      </c>
      <c r="E638" t="s">
        <v>16</v>
      </c>
      <c r="F638" t="s">
        <v>17</v>
      </c>
      <c r="G638" t="s">
        <v>355</v>
      </c>
      <c r="H638" t="s">
        <v>356</v>
      </c>
      <c r="I638" t="s">
        <v>82</v>
      </c>
      <c r="J638" t="s">
        <v>1882</v>
      </c>
      <c r="K638" t="s">
        <v>22</v>
      </c>
      <c r="L638" s="1">
        <v>46180</v>
      </c>
      <c r="M638" t="s">
        <v>1809</v>
      </c>
      <c r="N638">
        <f t="shared" si="18"/>
        <v>2026</v>
      </c>
      <c r="O638" t="str">
        <f t="shared" si="19"/>
        <v>Sunday</v>
      </c>
    </row>
    <row r="639" spans="1:15" x14ac:dyDescent="0.3">
      <c r="A639" t="s">
        <v>1883</v>
      </c>
      <c r="B639" t="s">
        <v>1884</v>
      </c>
      <c r="C639" s="1">
        <v>46180.583333333343</v>
      </c>
      <c r="D639" t="s">
        <v>15</v>
      </c>
      <c r="E639" t="s">
        <v>34</v>
      </c>
      <c r="F639" t="s">
        <v>17</v>
      </c>
      <c r="G639" t="s">
        <v>191</v>
      </c>
      <c r="H639" t="s">
        <v>192</v>
      </c>
      <c r="I639" t="s">
        <v>45</v>
      </c>
      <c r="J639" t="s">
        <v>1885</v>
      </c>
      <c r="K639" t="s">
        <v>31</v>
      </c>
      <c r="L639" s="1">
        <v>46180</v>
      </c>
      <c r="M639" t="s">
        <v>1809</v>
      </c>
      <c r="N639">
        <f t="shared" si="18"/>
        <v>2026</v>
      </c>
      <c r="O639" t="str">
        <f t="shared" si="19"/>
        <v>Sunday</v>
      </c>
    </row>
    <row r="640" spans="1:15" x14ac:dyDescent="0.3">
      <c r="A640" t="s">
        <v>1886</v>
      </c>
      <c r="B640" t="s">
        <v>116</v>
      </c>
      <c r="C640" s="1">
        <v>46180.708333333343</v>
      </c>
      <c r="D640" t="s">
        <v>15</v>
      </c>
      <c r="E640" t="s">
        <v>34</v>
      </c>
      <c r="F640" t="s">
        <v>17</v>
      </c>
      <c r="G640" t="s">
        <v>56</v>
      </c>
      <c r="H640" t="s">
        <v>57</v>
      </c>
      <c r="I640" t="s">
        <v>58</v>
      </c>
      <c r="J640" t="s">
        <v>1887</v>
      </c>
      <c r="K640" t="s">
        <v>22</v>
      </c>
      <c r="L640" s="1">
        <v>46180</v>
      </c>
      <c r="M640" t="s">
        <v>1809</v>
      </c>
      <c r="N640">
        <f t="shared" si="18"/>
        <v>2026</v>
      </c>
      <c r="O640" t="str">
        <f t="shared" si="19"/>
        <v>Sunday</v>
      </c>
    </row>
    <row r="641" spans="1:15" x14ac:dyDescent="0.3">
      <c r="A641" t="s">
        <v>1888</v>
      </c>
      <c r="B641" t="s">
        <v>932</v>
      </c>
      <c r="C641" s="1">
        <v>46180.75</v>
      </c>
      <c r="D641" t="s">
        <v>15</v>
      </c>
      <c r="E641" t="s">
        <v>16</v>
      </c>
      <c r="F641" t="s">
        <v>50</v>
      </c>
      <c r="G641" t="s">
        <v>126</v>
      </c>
      <c r="H641" t="s">
        <v>127</v>
      </c>
      <c r="I641" t="s">
        <v>45</v>
      </c>
      <c r="J641" t="s">
        <v>1889</v>
      </c>
      <c r="K641" t="s">
        <v>22</v>
      </c>
      <c r="L641" s="1">
        <v>46180</v>
      </c>
      <c r="M641" t="s">
        <v>1809</v>
      </c>
      <c r="N641">
        <f t="shared" si="18"/>
        <v>2026</v>
      </c>
      <c r="O641" t="str">
        <f t="shared" si="19"/>
        <v>Sunday</v>
      </c>
    </row>
    <row r="642" spans="1:15" x14ac:dyDescent="0.3">
      <c r="A642" t="s">
        <v>1890</v>
      </c>
      <c r="B642" t="s">
        <v>1891</v>
      </c>
      <c r="C642" s="1">
        <v>46181.416666666657</v>
      </c>
      <c r="D642" t="s">
        <v>15</v>
      </c>
      <c r="E642" t="s">
        <v>16</v>
      </c>
      <c r="F642" t="s">
        <v>17</v>
      </c>
      <c r="G642" t="s">
        <v>160</v>
      </c>
      <c r="H642" t="s">
        <v>161</v>
      </c>
      <c r="I642" t="s">
        <v>82</v>
      </c>
      <c r="J642" t="s">
        <v>1892</v>
      </c>
      <c r="K642" t="s">
        <v>74</v>
      </c>
      <c r="L642" s="1">
        <v>46181</v>
      </c>
      <c r="M642" t="s">
        <v>1809</v>
      </c>
      <c r="N642">
        <f t="shared" si="18"/>
        <v>2026</v>
      </c>
      <c r="O642" t="str">
        <f t="shared" si="19"/>
        <v>Monday</v>
      </c>
    </row>
    <row r="643" spans="1:15" x14ac:dyDescent="0.3">
      <c r="A643" t="s">
        <v>1893</v>
      </c>
      <c r="B643" t="s">
        <v>595</v>
      </c>
      <c r="C643" s="1">
        <v>46181.458333333343</v>
      </c>
      <c r="D643" t="s">
        <v>15</v>
      </c>
      <c r="E643" t="s">
        <v>41</v>
      </c>
      <c r="F643" t="s">
        <v>50</v>
      </c>
      <c r="G643" t="s">
        <v>35</v>
      </c>
      <c r="H643" t="s">
        <v>36</v>
      </c>
      <c r="I643" t="s">
        <v>37</v>
      </c>
      <c r="J643" t="s">
        <v>1894</v>
      </c>
      <c r="K643" t="s">
        <v>74</v>
      </c>
      <c r="L643" s="1">
        <v>46181</v>
      </c>
      <c r="M643" t="s">
        <v>1809</v>
      </c>
      <c r="N643">
        <f t="shared" ref="N643:N706" si="20">YEAR(C643)</f>
        <v>2026</v>
      </c>
      <c r="O643" t="str">
        <f t="shared" ref="O643:O706" si="21">TEXT(C643,"dddd")</f>
        <v>Monday</v>
      </c>
    </row>
    <row r="644" spans="1:15" x14ac:dyDescent="0.3">
      <c r="A644" t="s">
        <v>1895</v>
      </c>
      <c r="B644" t="s">
        <v>1896</v>
      </c>
      <c r="C644" s="1">
        <v>46181.5</v>
      </c>
      <c r="D644" t="s">
        <v>15</v>
      </c>
      <c r="E644" t="s">
        <v>34</v>
      </c>
      <c r="F644" t="s">
        <v>17</v>
      </c>
      <c r="G644" t="s">
        <v>112</v>
      </c>
      <c r="H644" t="s">
        <v>113</v>
      </c>
      <c r="I644" t="s">
        <v>37</v>
      </c>
      <c r="J644" t="s">
        <v>1897</v>
      </c>
      <c r="K644" t="s">
        <v>74</v>
      </c>
      <c r="L644" s="1">
        <v>46181</v>
      </c>
      <c r="M644" t="s">
        <v>1809</v>
      </c>
      <c r="N644">
        <f t="shared" si="20"/>
        <v>2026</v>
      </c>
      <c r="O644" t="str">
        <f t="shared" si="21"/>
        <v>Monday</v>
      </c>
    </row>
    <row r="645" spans="1:15" x14ac:dyDescent="0.3">
      <c r="A645" t="s">
        <v>1898</v>
      </c>
      <c r="B645" t="s">
        <v>785</v>
      </c>
      <c r="C645" s="1">
        <v>46181.583333333343</v>
      </c>
      <c r="D645" t="s">
        <v>15</v>
      </c>
      <c r="E645" t="s">
        <v>16</v>
      </c>
      <c r="F645" t="s">
        <v>17</v>
      </c>
      <c r="G645" t="s">
        <v>27</v>
      </c>
      <c r="H645" t="s">
        <v>28</v>
      </c>
      <c r="I645" t="s">
        <v>29</v>
      </c>
      <c r="J645" t="s">
        <v>1899</v>
      </c>
      <c r="K645" t="s">
        <v>31</v>
      </c>
      <c r="L645" s="1">
        <v>46181</v>
      </c>
      <c r="M645" t="s">
        <v>1809</v>
      </c>
      <c r="N645">
        <f t="shared" si="20"/>
        <v>2026</v>
      </c>
      <c r="O645" t="str">
        <f t="shared" si="21"/>
        <v>Monday</v>
      </c>
    </row>
    <row r="646" spans="1:15" x14ac:dyDescent="0.3">
      <c r="A646" t="s">
        <v>1900</v>
      </c>
      <c r="B646" t="s">
        <v>938</v>
      </c>
      <c r="C646" s="1">
        <v>46182.625</v>
      </c>
      <c r="D646" t="s">
        <v>15</v>
      </c>
      <c r="E646" t="s">
        <v>16</v>
      </c>
      <c r="F646" t="s">
        <v>42</v>
      </c>
      <c r="G646" t="s">
        <v>27</v>
      </c>
      <c r="H646" t="s">
        <v>28</v>
      </c>
      <c r="I646" t="s">
        <v>29</v>
      </c>
      <c r="J646" t="s">
        <v>1901</v>
      </c>
      <c r="K646" t="s">
        <v>60</v>
      </c>
      <c r="L646" s="1">
        <v>46182</v>
      </c>
      <c r="M646" t="s">
        <v>1809</v>
      </c>
      <c r="N646">
        <f t="shared" si="20"/>
        <v>2026</v>
      </c>
      <c r="O646" t="str">
        <f t="shared" si="21"/>
        <v>Tuesday</v>
      </c>
    </row>
    <row r="647" spans="1:15" x14ac:dyDescent="0.3">
      <c r="A647" t="s">
        <v>1902</v>
      </c>
      <c r="B647" t="s">
        <v>1903</v>
      </c>
      <c r="C647" s="1">
        <v>46182.75</v>
      </c>
      <c r="D647" t="s">
        <v>15</v>
      </c>
      <c r="E647" t="s">
        <v>34</v>
      </c>
      <c r="F647" t="s">
        <v>17</v>
      </c>
      <c r="G647" t="s">
        <v>106</v>
      </c>
      <c r="H647" t="s">
        <v>107</v>
      </c>
      <c r="I647" t="s">
        <v>108</v>
      </c>
      <c r="J647" t="s">
        <v>1904</v>
      </c>
      <c r="K647" t="s">
        <v>31</v>
      </c>
      <c r="L647" s="1">
        <v>46182</v>
      </c>
      <c r="M647" t="s">
        <v>1809</v>
      </c>
      <c r="N647">
        <f t="shared" si="20"/>
        <v>2026</v>
      </c>
      <c r="O647" t="str">
        <f t="shared" si="21"/>
        <v>Tuesday</v>
      </c>
    </row>
    <row r="648" spans="1:15" x14ac:dyDescent="0.3">
      <c r="A648" t="s">
        <v>1905</v>
      </c>
      <c r="B648" t="s">
        <v>1906</v>
      </c>
      <c r="C648" s="1">
        <v>46182.833333333343</v>
      </c>
      <c r="D648" t="s">
        <v>15</v>
      </c>
      <c r="E648" t="s">
        <v>41</v>
      </c>
      <c r="F648" t="s">
        <v>17</v>
      </c>
      <c r="G648" t="s">
        <v>165</v>
      </c>
      <c r="H648" t="s">
        <v>166</v>
      </c>
      <c r="I648" t="s">
        <v>29</v>
      </c>
      <c r="J648" t="s">
        <v>1907</v>
      </c>
      <c r="K648" t="s">
        <v>22</v>
      </c>
      <c r="L648" s="1">
        <v>46182</v>
      </c>
      <c r="M648" t="s">
        <v>1809</v>
      </c>
      <c r="N648">
        <f t="shared" si="20"/>
        <v>2026</v>
      </c>
      <c r="O648" t="str">
        <f t="shared" si="21"/>
        <v>Tuesday</v>
      </c>
    </row>
    <row r="649" spans="1:15" x14ac:dyDescent="0.3">
      <c r="A649" t="s">
        <v>1908</v>
      </c>
      <c r="B649" t="s">
        <v>1909</v>
      </c>
      <c r="C649" s="1">
        <v>46183.375</v>
      </c>
      <c r="D649" t="s">
        <v>15</v>
      </c>
      <c r="E649" t="s">
        <v>16</v>
      </c>
      <c r="F649" t="s">
        <v>17</v>
      </c>
      <c r="G649" t="s">
        <v>106</v>
      </c>
      <c r="H649" t="s">
        <v>107</v>
      </c>
      <c r="I649" t="s">
        <v>108</v>
      </c>
      <c r="J649" t="s">
        <v>1910</v>
      </c>
      <c r="K649" t="s">
        <v>22</v>
      </c>
      <c r="L649" s="1">
        <v>46183</v>
      </c>
      <c r="M649" t="s">
        <v>1809</v>
      </c>
      <c r="N649">
        <f t="shared" si="20"/>
        <v>2026</v>
      </c>
      <c r="O649" t="str">
        <f t="shared" si="21"/>
        <v>Wednesday</v>
      </c>
    </row>
    <row r="650" spans="1:15" x14ac:dyDescent="0.3">
      <c r="A650" t="s">
        <v>1911</v>
      </c>
      <c r="B650" t="s">
        <v>1912</v>
      </c>
      <c r="C650" s="1">
        <v>46183.458333333343</v>
      </c>
      <c r="D650" t="s">
        <v>15</v>
      </c>
      <c r="E650" t="s">
        <v>16</v>
      </c>
      <c r="F650" t="s">
        <v>17</v>
      </c>
      <c r="G650" t="s">
        <v>43</v>
      </c>
      <c r="H650" t="s">
        <v>44</v>
      </c>
      <c r="I650" t="s">
        <v>45</v>
      </c>
      <c r="J650" t="s">
        <v>1913</v>
      </c>
      <c r="K650" t="s">
        <v>47</v>
      </c>
      <c r="L650" s="1">
        <v>46183</v>
      </c>
      <c r="M650" t="s">
        <v>1809</v>
      </c>
      <c r="N650">
        <f t="shared" si="20"/>
        <v>2026</v>
      </c>
      <c r="O650" t="str">
        <f t="shared" si="21"/>
        <v>Wednesday</v>
      </c>
    </row>
    <row r="651" spans="1:15" x14ac:dyDescent="0.3">
      <c r="A651" t="s">
        <v>1914</v>
      </c>
      <c r="B651" t="s">
        <v>1915</v>
      </c>
      <c r="C651" s="1">
        <v>46184.375</v>
      </c>
      <c r="D651" t="s">
        <v>15</v>
      </c>
      <c r="E651" t="s">
        <v>16</v>
      </c>
      <c r="F651" t="s">
        <v>50</v>
      </c>
      <c r="G651" t="s">
        <v>91</v>
      </c>
      <c r="H651" t="s">
        <v>92</v>
      </c>
      <c r="I651" t="s">
        <v>37</v>
      </c>
      <c r="J651" t="s">
        <v>1916</v>
      </c>
      <c r="K651" t="s">
        <v>74</v>
      </c>
      <c r="L651" s="1">
        <v>46184</v>
      </c>
      <c r="M651" t="s">
        <v>1809</v>
      </c>
      <c r="N651">
        <f t="shared" si="20"/>
        <v>2026</v>
      </c>
      <c r="O651" t="str">
        <f t="shared" si="21"/>
        <v>Thursday</v>
      </c>
    </row>
    <row r="652" spans="1:15" x14ac:dyDescent="0.3">
      <c r="A652" t="s">
        <v>1917</v>
      </c>
      <c r="B652" t="s">
        <v>1233</v>
      </c>
      <c r="C652" s="1">
        <v>46184.625</v>
      </c>
      <c r="D652" t="s">
        <v>15</v>
      </c>
      <c r="E652" t="s">
        <v>16</v>
      </c>
      <c r="F652" t="s">
        <v>17</v>
      </c>
      <c r="G652" t="s">
        <v>96</v>
      </c>
      <c r="H652" t="s">
        <v>97</v>
      </c>
      <c r="I652" t="s">
        <v>58</v>
      </c>
      <c r="J652" t="s">
        <v>1918</v>
      </c>
      <c r="K652" t="s">
        <v>31</v>
      </c>
      <c r="L652" s="1">
        <v>46184</v>
      </c>
      <c r="M652" t="s">
        <v>1809</v>
      </c>
      <c r="N652">
        <f t="shared" si="20"/>
        <v>2026</v>
      </c>
      <c r="O652" t="str">
        <f t="shared" si="21"/>
        <v>Thursday</v>
      </c>
    </row>
    <row r="653" spans="1:15" x14ac:dyDescent="0.3">
      <c r="A653" t="s">
        <v>1919</v>
      </c>
      <c r="B653" t="s">
        <v>1920</v>
      </c>
      <c r="C653" s="1">
        <v>46184.791666666657</v>
      </c>
      <c r="D653" t="s">
        <v>15</v>
      </c>
      <c r="E653" t="s">
        <v>63</v>
      </c>
      <c r="F653" t="s">
        <v>17</v>
      </c>
      <c r="G653" t="s">
        <v>355</v>
      </c>
      <c r="H653" t="s">
        <v>356</v>
      </c>
      <c r="I653" t="s">
        <v>82</v>
      </c>
      <c r="J653" t="s">
        <v>1921</v>
      </c>
      <c r="K653" t="s">
        <v>74</v>
      </c>
      <c r="L653" s="1">
        <v>46184</v>
      </c>
      <c r="M653" t="s">
        <v>1809</v>
      </c>
      <c r="N653">
        <f t="shared" si="20"/>
        <v>2026</v>
      </c>
      <c r="O653" t="str">
        <f t="shared" si="21"/>
        <v>Thursday</v>
      </c>
    </row>
    <row r="654" spans="1:15" x14ac:dyDescent="0.3">
      <c r="A654" t="s">
        <v>1922</v>
      </c>
      <c r="B654" t="s">
        <v>1923</v>
      </c>
      <c r="C654" s="1">
        <v>46185.583333333343</v>
      </c>
      <c r="D654" t="s">
        <v>15</v>
      </c>
      <c r="E654" t="s">
        <v>34</v>
      </c>
      <c r="F654" t="s">
        <v>17</v>
      </c>
      <c r="G654" t="s">
        <v>250</v>
      </c>
      <c r="H654" t="s">
        <v>251</v>
      </c>
      <c r="I654" t="s">
        <v>108</v>
      </c>
      <c r="J654" t="s">
        <v>1924</v>
      </c>
      <c r="K654" t="s">
        <v>22</v>
      </c>
      <c r="L654" s="1">
        <v>46185</v>
      </c>
      <c r="M654" t="s">
        <v>1809</v>
      </c>
      <c r="N654">
        <f t="shared" si="20"/>
        <v>2026</v>
      </c>
      <c r="O654" t="str">
        <f t="shared" si="21"/>
        <v>Friday</v>
      </c>
    </row>
    <row r="655" spans="1:15" x14ac:dyDescent="0.3">
      <c r="A655" t="s">
        <v>1925</v>
      </c>
      <c r="B655" t="s">
        <v>1926</v>
      </c>
      <c r="C655" s="1">
        <v>46185.583333333343</v>
      </c>
      <c r="D655" t="s">
        <v>15</v>
      </c>
      <c r="E655" t="s">
        <v>16</v>
      </c>
      <c r="F655" t="s">
        <v>50</v>
      </c>
      <c r="G655" t="s">
        <v>96</v>
      </c>
      <c r="H655" t="s">
        <v>97</v>
      </c>
      <c r="I655" t="s">
        <v>58</v>
      </c>
      <c r="J655" t="s">
        <v>1927</v>
      </c>
      <c r="K655" t="s">
        <v>74</v>
      </c>
      <c r="L655" s="1">
        <v>46185</v>
      </c>
      <c r="M655" t="s">
        <v>1809</v>
      </c>
      <c r="N655">
        <f t="shared" si="20"/>
        <v>2026</v>
      </c>
      <c r="O655" t="str">
        <f t="shared" si="21"/>
        <v>Friday</v>
      </c>
    </row>
    <row r="656" spans="1:15" x14ac:dyDescent="0.3">
      <c r="A656" t="s">
        <v>1928</v>
      </c>
      <c r="B656" t="s">
        <v>1929</v>
      </c>
      <c r="C656" s="1">
        <v>46185.666666666657</v>
      </c>
      <c r="D656" t="s">
        <v>15</v>
      </c>
      <c r="E656" t="s">
        <v>26</v>
      </c>
      <c r="F656" t="s">
        <v>17</v>
      </c>
      <c r="G656" t="s">
        <v>355</v>
      </c>
      <c r="H656" t="s">
        <v>356</v>
      </c>
      <c r="I656" t="s">
        <v>82</v>
      </c>
      <c r="J656" t="s">
        <v>1930</v>
      </c>
      <c r="K656" t="s">
        <v>22</v>
      </c>
      <c r="L656" s="1">
        <v>46185</v>
      </c>
      <c r="M656" t="s">
        <v>1809</v>
      </c>
      <c r="N656">
        <f t="shared" si="20"/>
        <v>2026</v>
      </c>
      <c r="O656" t="str">
        <f t="shared" si="21"/>
        <v>Friday</v>
      </c>
    </row>
    <row r="657" spans="1:15" x14ac:dyDescent="0.3">
      <c r="A657" t="s">
        <v>1931</v>
      </c>
      <c r="B657" t="s">
        <v>1932</v>
      </c>
      <c r="C657" s="1">
        <v>46185.833333333343</v>
      </c>
      <c r="D657" t="s">
        <v>15</v>
      </c>
      <c r="E657" t="s">
        <v>16</v>
      </c>
      <c r="F657" t="s">
        <v>50</v>
      </c>
      <c r="G657" t="s">
        <v>43</v>
      </c>
      <c r="H657" t="s">
        <v>44</v>
      </c>
      <c r="I657" t="s">
        <v>45</v>
      </c>
      <c r="J657" t="s">
        <v>1933</v>
      </c>
      <c r="K657" t="s">
        <v>47</v>
      </c>
      <c r="L657" s="1">
        <v>46185</v>
      </c>
      <c r="M657" t="s">
        <v>1809</v>
      </c>
      <c r="N657">
        <f t="shared" si="20"/>
        <v>2026</v>
      </c>
      <c r="O657" t="str">
        <f t="shared" si="21"/>
        <v>Friday</v>
      </c>
    </row>
    <row r="658" spans="1:15" x14ac:dyDescent="0.3">
      <c r="A658" t="s">
        <v>1934</v>
      </c>
      <c r="B658" t="s">
        <v>1258</v>
      </c>
      <c r="C658" s="1">
        <v>46185.833333333343</v>
      </c>
      <c r="D658" t="s">
        <v>15</v>
      </c>
      <c r="E658" t="s">
        <v>26</v>
      </c>
      <c r="F658" t="s">
        <v>17</v>
      </c>
      <c r="G658" t="s">
        <v>101</v>
      </c>
      <c r="H658" t="s">
        <v>102</v>
      </c>
      <c r="I658" t="s">
        <v>45</v>
      </c>
      <c r="J658" t="s">
        <v>1935</v>
      </c>
      <c r="K658" t="s">
        <v>47</v>
      </c>
      <c r="L658" s="1">
        <v>46185</v>
      </c>
      <c r="M658" t="s">
        <v>1809</v>
      </c>
      <c r="N658">
        <f t="shared" si="20"/>
        <v>2026</v>
      </c>
      <c r="O658" t="str">
        <f t="shared" si="21"/>
        <v>Friday</v>
      </c>
    </row>
    <row r="659" spans="1:15" x14ac:dyDescent="0.3">
      <c r="A659" t="s">
        <v>1936</v>
      </c>
      <c r="B659" t="s">
        <v>1937</v>
      </c>
      <c r="C659" s="1">
        <v>46186.416666666657</v>
      </c>
      <c r="D659" t="s">
        <v>15</v>
      </c>
      <c r="E659" t="s">
        <v>34</v>
      </c>
      <c r="F659" t="s">
        <v>50</v>
      </c>
      <c r="G659" t="s">
        <v>106</v>
      </c>
      <c r="H659" t="s">
        <v>107</v>
      </c>
      <c r="I659" t="s">
        <v>108</v>
      </c>
      <c r="J659" t="s">
        <v>1938</v>
      </c>
      <c r="K659" t="s">
        <v>74</v>
      </c>
      <c r="L659" s="1">
        <v>46186</v>
      </c>
      <c r="M659" t="s">
        <v>1809</v>
      </c>
      <c r="N659">
        <f t="shared" si="20"/>
        <v>2026</v>
      </c>
      <c r="O659" t="str">
        <f t="shared" si="21"/>
        <v>Saturday</v>
      </c>
    </row>
    <row r="660" spans="1:15" x14ac:dyDescent="0.3">
      <c r="A660" t="s">
        <v>1939</v>
      </c>
      <c r="B660" t="s">
        <v>672</v>
      </c>
      <c r="C660" s="1">
        <v>46186.541666666657</v>
      </c>
      <c r="D660" t="s">
        <v>15</v>
      </c>
      <c r="E660" t="s">
        <v>16</v>
      </c>
      <c r="F660" t="s">
        <v>50</v>
      </c>
      <c r="G660" t="s">
        <v>27</v>
      </c>
      <c r="H660" t="s">
        <v>28</v>
      </c>
      <c r="I660" t="s">
        <v>29</v>
      </c>
      <c r="J660" t="s">
        <v>1940</v>
      </c>
      <c r="K660" t="s">
        <v>31</v>
      </c>
      <c r="L660" s="1">
        <v>46186</v>
      </c>
      <c r="M660" t="s">
        <v>1809</v>
      </c>
      <c r="N660">
        <f t="shared" si="20"/>
        <v>2026</v>
      </c>
      <c r="O660" t="str">
        <f t="shared" si="21"/>
        <v>Saturday</v>
      </c>
    </row>
    <row r="661" spans="1:15" x14ac:dyDescent="0.3">
      <c r="A661" t="s">
        <v>1941</v>
      </c>
      <c r="B661" t="s">
        <v>1340</v>
      </c>
      <c r="C661" s="1">
        <v>46186.666666666657</v>
      </c>
      <c r="D661" t="s">
        <v>15</v>
      </c>
      <c r="E661" t="s">
        <v>41</v>
      </c>
      <c r="F661" t="s">
        <v>17</v>
      </c>
      <c r="G661" t="s">
        <v>355</v>
      </c>
      <c r="H661" t="s">
        <v>356</v>
      </c>
      <c r="I661" t="s">
        <v>82</v>
      </c>
      <c r="J661" t="s">
        <v>1942</v>
      </c>
      <c r="K661" t="s">
        <v>22</v>
      </c>
      <c r="L661" s="1">
        <v>46186</v>
      </c>
      <c r="M661" t="s">
        <v>1809</v>
      </c>
      <c r="N661">
        <f t="shared" si="20"/>
        <v>2026</v>
      </c>
      <c r="O661" t="str">
        <f t="shared" si="21"/>
        <v>Saturday</v>
      </c>
    </row>
    <row r="662" spans="1:15" x14ac:dyDescent="0.3">
      <c r="A662" t="s">
        <v>1943</v>
      </c>
      <c r="B662" t="s">
        <v>1598</v>
      </c>
      <c r="C662" s="1">
        <v>46187.791666666657</v>
      </c>
      <c r="D662" t="s">
        <v>15</v>
      </c>
      <c r="E662" t="s">
        <v>16</v>
      </c>
      <c r="F662" t="s">
        <v>17</v>
      </c>
      <c r="G662" t="s">
        <v>51</v>
      </c>
      <c r="H662" t="s">
        <v>52</v>
      </c>
      <c r="I662" t="s">
        <v>20</v>
      </c>
      <c r="J662" t="s">
        <v>1944</v>
      </c>
      <c r="K662" t="s">
        <v>47</v>
      </c>
      <c r="L662" s="1">
        <v>46187</v>
      </c>
      <c r="M662" t="s">
        <v>1809</v>
      </c>
      <c r="N662">
        <f t="shared" si="20"/>
        <v>2026</v>
      </c>
      <c r="O662" t="str">
        <f t="shared" si="21"/>
        <v>Sunday</v>
      </c>
    </row>
    <row r="663" spans="1:15" x14ac:dyDescent="0.3">
      <c r="A663" t="s">
        <v>1945</v>
      </c>
      <c r="B663" t="s">
        <v>222</v>
      </c>
      <c r="C663" s="1">
        <v>46187.875</v>
      </c>
      <c r="D663" t="s">
        <v>15</v>
      </c>
      <c r="E663" t="s">
        <v>26</v>
      </c>
      <c r="F663" t="s">
        <v>50</v>
      </c>
      <c r="G663" t="s">
        <v>86</v>
      </c>
      <c r="H663" t="s">
        <v>87</v>
      </c>
      <c r="I663" t="s">
        <v>82</v>
      </c>
      <c r="J663" t="s">
        <v>1946</v>
      </c>
      <c r="K663" t="s">
        <v>22</v>
      </c>
      <c r="L663" s="1">
        <v>46187</v>
      </c>
      <c r="M663" t="s">
        <v>1809</v>
      </c>
      <c r="N663">
        <f t="shared" si="20"/>
        <v>2026</v>
      </c>
      <c r="O663" t="str">
        <f t="shared" si="21"/>
        <v>Sunday</v>
      </c>
    </row>
    <row r="664" spans="1:15" x14ac:dyDescent="0.3">
      <c r="A664" t="s">
        <v>1947</v>
      </c>
      <c r="B664" t="s">
        <v>871</v>
      </c>
      <c r="C664" s="1">
        <v>46188.375</v>
      </c>
      <c r="D664" t="s">
        <v>15</v>
      </c>
      <c r="E664" t="s">
        <v>63</v>
      </c>
      <c r="F664" t="s">
        <v>17</v>
      </c>
      <c r="G664" t="s">
        <v>165</v>
      </c>
      <c r="H664" t="s">
        <v>166</v>
      </c>
      <c r="I664" t="s">
        <v>29</v>
      </c>
      <c r="J664" t="s">
        <v>1948</v>
      </c>
      <c r="K664" t="s">
        <v>31</v>
      </c>
      <c r="L664" s="1">
        <v>46188</v>
      </c>
      <c r="M664" t="s">
        <v>1809</v>
      </c>
      <c r="N664">
        <f t="shared" si="20"/>
        <v>2026</v>
      </c>
      <c r="O664" t="str">
        <f t="shared" si="21"/>
        <v>Monday</v>
      </c>
    </row>
    <row r="665" spans="1:15" x14ac:dyDescent="0.3">
      <c r="A665" t="s">
        <v>1949</v>
      </c>
      <c r="B665" t="s">
        <v>1950</v>
      </c>
      <c r="C665" s="1">
        <v>46188.5</v>
      </c>
      <c r="D665" t="s">
        <v>15</v>
      </c>
      <c r="E665" t="s">
        <v>34</v>
      </c>
      <c r="F665" t="s">
        <v>17</v>
      </c>
      <c r="G665" t="s">
        <v>355</v>
      </c>
      <c r="H665" t="s">
        <v>356</v>
      </c>
      <c r="I665" t="s">
        <v>82</v>
      </c>
      <c r="J665" t="s">
        <v>1951</v>
      </c>
      <c r="K665" t="s">
        <v>47</v>
      </c>
      <c r="L665" s="1">
        <v>46188</v>
      </c>
      <c r="M665" t="s">
        <v>1809</v>
      </c>
      <c r="N665">
        <f t="shared" si="20"/>
        <v>2026</v>
      </c>
      <c r="O665" t="str">
        <f t="shared" si="21"/>
        <v>Monday</v>
      </c>
    </row>
    <row r="666" spans="1:15" x14ac:dyDescent="0.3">
      <c r="A666" t="s">
        <v>1952</v>
      </c>
      <c r="B666" t="s">
        <v>1953</v>
      </c>
      <c r="C666" s="1">
        <v>46188.666666666657</v>
      </c>
      <c r="D666" t="s">
        <v>15</v>
      </c>
      <c r="E666" t="s">
        <v>16</v>
      </c>
      <c r="F666" t="s">
        <v>50</v>
      </c>
      <c r="G666" t="s">
        <v>91</v>
      </c>
      <c r="H666" t="s">
        <v>92</v>
      </c>
      <c r="I666" t="s">
        <v>37</v>
      </c>
      <c r="J666" t="s">
        <v>1954</v>
      </c>
      <c r="K666" t="s">
        <v>22</v>
      </c>
      <c r="L666" s="1">
        <v>46188</v>
      </c>
      <c r="M666" t="s">
        <v>1809</v>
      </c>
      <c r="N666">
        <f t="shared" si="20"/>
        <v>2026</v>
      </c>
      <c r="O666" t="str">
        <f t="shared" si="21"/>
        <v>Monday</v>
      </c>
    </row>
    <row r="667" spans="1:15" x14ac:dyDescent="0.3">
      <c r="A667" t="s">
        <v>1955</v>
      </c>
      <c r="B667" t="s">
        <v>1956</v>
      </c>
      <c r="C667" s="1">
        <v>46189.541666666657</v>
      </c>
      <c r="D667" t="s">
        <v>15</v>
      </c>
      <c r="E667" t="s">
        <v>26</v>
      </c>
      <c r="F667" t="s">
        <v>50</v>
      </c>
      <c r="G667" t="s">
        <v>126</v>
      </c>
      <c r="H667" t="s">
        <v>127</v>
      </c>
      <c r="I667" t="s">
        <v>45</v>
      </c>
      <c r="J667" t="s">
        <v>1957</v>
      </c>
      <c r="K667" t="s">
        <v>31</v>
      </c>
      <c r="L667" s="1">
        <v>46189</v>
      </c>
      <c r="M667" t="s">
        <v>1809</v>
      </c>
      <c r="N667">
        <f t="shared" si="20"/>
        <v>2026</v>
      </c>
      <c r="O667" t="str">
        <f t="shared" si="21"/>
        <v>Tuesday</v>
      </c>
    </row>
    <row r="668" spans="1:15" x14ac:dyDescent="0.3">
      <c r="A668" t="s">
        <v>1958</v>
      </c>
      <c r="B668" t="s">
        <v>1959</v>
      </c>
      <c r="C668" s="1">
        <v>46189.791666666657</v>
      </c>
      <c r="D668" t="s">
        <v>15</v>
      </c>
      <c r="E668" t="s">
        <v>34</v>
      </c>
      <c r="F668" t="s">
        <v>50</v>
      </c>
      <c r="G668" t="s">
        <v>101</v>
      </c>
      <c r="H668" t="s">
        <v>102</v>
      </c>
      <c r="I668" t="s">
        <v>45</v>
      </c>
      <c r="J668" t="s">
        <v>1960</v>
      </c>
      <c r="K668" t="s">
        <v>47</v>
      </c>
      <c r="L668" s="1">
        <v>46189</v>
      </c>
      <c r="M668" t="s">
        <v>1809</v>
      </c>
      <c r="N668">
        <f t="shared" si="20"/>
        <v>2026</v>
      </c>
      <c r="O668" t="str">
        <f t="shared" si="21"/>
        <v>Tuesday</v>
      </c>
    </row>
    <row r="669" spans="1:15" x14ac:dyDescent="0.3">
      <c r="A669" t="s">
        <v>1961</v>
      </c>
      <c r="B669" t="s">
        <v>557</v>
      </c>
      <c r="C669" s="1">
        <v>46190.541666666657</v>
      </c>
      <c r="D669" t="s">
        <v>15</v>
      </c>
      <c r="E669" t="s">
        <v>41</v>
      </c>
      <c r="F669" t="s">
        <v>17</v>
      </c>
      <c r="G669" t="s">
        <v>106</v>
      </c>
      <c r="H669" t="s">
        <v>107</v>
      </c>
      <c r="I669" t="s">
        <v>108</v>
      </c>
      <c r="J669" t="s">
        <v>1962</v>
      </c>
      <c r="K669" t="s">
        <v>74</v>
      </c>
      <c r="L669" s="1">
        <v>46190</v>
      </c>
      <c r="M669" t="s">
        <v>1809</v>
      </c>
      <c r="N669">
        <f t="shared" si="20"/>
        <v>2026</v>
      </c>
      <c r="O669" t="str">
        <f t="shared" si="21"/>
        <v>Wednesday</v>
      </c>
    </row>
    <row r="670" spans="1:15" x14ac:dyDescent="0.3">
      <c r="A670" t="s">
        <v>1963</v>
      </c>
      <c r="B670" t="s">
        <v>496</v>
      </c>
      <c r="C670" s="1">
        <v>46190.583333333343</v>
      </c>
      <c r="D670" t="s">
        <v>15</v>
      </c>
      <c r="E670" t="s">
        <v>16</v>
      </c>
      <c r="F670" t="s">
        <v>17</v>
      </c>
      <c r="G670" t="s">
        <v>80</v>
      </c>
      <c r="H670" t="s">
        <v>81</v>
      </c>
      <c r="I670" t="s">
        <v>82</v>
      </c>
      <c r="J670" t="s">
        <v>1964</v>
      </c>
      <c r="K670" t="s">
        <v>74</v>
      </c>
      <c r="L670" s="1">
        <v>46190</v>
      </c>
      <c r="M670" t="s">
        <v>1809</v>
      </c>
      <c r="N670">
        <f t="shared" si="20"/>
        <v>2026</v>
      </c>
      <c r="O670" t="str">
        <f t="shared" si="21"/>
        <v>Wednesday</v>
      </c>
    </row>
    <row r="671" spans="1:15" x14ac:dyDescent="0.3">
      <c r="A671" t="s">
        <v>1965</v>
      </c>
      <c r="B671" t="s">
        <v>1966</v>
      </c>
      <c r="C671" s="1">
        <v>46190.833333333343</v>
      </c>
      <c r="D671" t="s">
        <v>15</v>
      </c>
      <c r="E671" t="s">
        <v>34</v>
      </c>
      <c r="F671" t="s">
        <v>17</v>
      </c>
      <c r="G671" t="s">
        <v>96</v>
      </c>
      <c r="H671" t="s">
        <v>97</v>
      </c>
      <c r="I671" t="s">
        <v>58</v>
      </c>
      <c r="J671" t="s">
        <v>1967</v>
      </c>
      <c r="K671" t="s">
        <v>60</v>
      </c>
      <c r="L671" s="1">
        <v>46190</v>
      </c>
      <c r="M671" t="s">
        <v>1809</v>
      </c>
      <c r="N671">
        <f t="shared" si="20"/>
        <v>2026</v>
      </c>
      <c r="O671" t="str">
        <f t="shared" si="21"/>
        <v>Wednesday</v>
      </c>
    </row>
    <row r="672" spans="1:15" x14ac:dyDescent="0.3">
      <c r="A672" t="s">
        <v>1968</v>
      </c>
      <c r="B672" t="s">
        <v>1969</v>
      </c>
      <c r="C672" s="1">
        <v>46191.583333333343</v>
      </c>
      <c r="D672" t="s">
        <v>15</v>
      </c>
      <c r="E672" t="s">
        <v>63</v>
      </c>
      <c r="F672" t="s">
        <v>17</v>
      </c>
      <c r="G672" t="s">
        <v>18</v>
      </c>
      <c r="H672" t="s">
        <v>19</v>
      </c>
      <c r="I672" t="s">
        <v>20</v>
      </c>
      <c r="J672" t="s">
        <v>1970</v>
      </c>
      <c r="K672" t="s">
        <v>47</v>
      </c>
      <c r="L672" s="1">
        <v>46191</v>
      </c>
      <c r="M672" t="s">
        <v>1809</v>
      </c>
      <c r="N672">
        <f t="shared" si="20"/>
        <v>2026</v>
      </c>
      <c r="O672" t="str">
        <f t="shared" si="21"/>
        <v>Thursday</v>
      </c>
    </row>
    <row r="673" spans="1:15" x14ac:dyDescent="0.3">
      <c r="A673" t="s">
        <v>1971</v>
      </c>
      <c r="B673" t="s">
        <v>1972</v>
      </c>
      <c r="C673" s="1">
        <v>46192.333333333343</v>
      </c>
      <c r="D673" t="s">
        <v>15</v>
      </c>
      <c r="E673" t="s">
        <v>34</v>
      </c>
      <c r="F673" t="s">
        <v>50</v>
      </c>
      <c r="G673" t="s">
        <v>101</v>
      </c>
      <c r="H673" t="s">
        <v>102</v>
      </c>
      <c r="I673" t="s">
        <v>45</v>
      </c>
      <c r="J673" t="s">
        <v>1973</v>
      </c>
      <c r="K673" t="s">
        <v>22</v>
      </c>
      <c r="L673" s="1">
        <v>46192</v>
      </c>
      <c r="M673" t="s">
        <v>1809</v>
      </c>
      <c r="N673">
        <f t="shared" si="20"/>
        <v>2026</v>
      </c>
      <c r="O673" t="str">
        <f t="shared" si="21"/>
        <v>Friday</v>
      </c>
    </row>
    <row r="674" spans="1:15" x14ac:dyDescent="0.3">
      <c r="A674" t="s">
        <v>1974</v>
      </c>
      <c r="B674" t="s">
        <v>1975</v>
      </c>
      <c r="C674" s="1">
        <v>46192.625</v>
      </c>
      <c r="D674" t="s">
        <v>15</v>
      </c>
      <c r="E674" t="s">
        <v>16</v>
      </c>
      <c r="F674" t="s">
        <v>17</v>
      </c>
      <c r="G674" t="s">
        <v>149</v>
      </c>
      <c r="H674" t="s">
        <v>150</v>
      </c>
      <c r="I674" t="s">
        <v>37</v>
      </c>
      <c r="J674" t="s">
        <v>1976</v>
      </c>
      <c r="K674" t="s">
        <v>74</v>
      </c>
      <c r="L674" s="1">
        <v>46192</v>
      </c>
      <c r="M674" t="s">
        <v>1809</v>
      </c>
      <c r="N674">
        <f t="shared" si="20"/>
        <v>2026</v>
      </c>
      <c r="O674" t="str">
        <f t="shared" si="21"/>
        <v>Friday</v>
      </c>
    </row>
    <row r="675" spans="1:15" x14ac:dyDescent="0.3">
      <c r="A675" t="s">
        <v>1977</v>
      </c>
      <c r="B675" t="s">
        <v>1978</v>
      </c>
      <c r="C675" s="1">
        <v>46192.625</v>
      </c>
      <c r="D675" t="s">
        <v>15</v>
      </c>
      <c r="E675" t="s">
        <v>41</v>
      </c>
      <c r="F675" t="s">
        <v>17</v>
      </c>
      <c r="G675" t="s">
        <v>112</v>
      </c>
      <c r="H675" t="s">
        <v>113</v>
      </c>
      <c r="I675" t="s">
        <v>37</v>
      </c>
      <c r="J675" t="s">
        <v>1979</v>
      </c>
      <c r="K675" t="s">
        <v>47</v>
      </c>
      <c r="L675" s="1">
        <v>46192</v>
      </c>
      <c r="M675" t="s">
        <v>1809</v>
      </c>
      <c r="N675">
        <f t="shared" si="20"/>
        <v>2026</v>
      </c>
      <c r="O675" t="str">
        <f t="shared" si="21"/>
        <v>Friday</v>
      </c>
    </row>
    <row r="676" spans="1:15" x14ac:dyDescent="0.3">
      <c r="A676" t="s">
        <v>1980</v>
      </c>
      <c r="B676" t="s">
        <v>1562</v>
      </c>
      <c r="C676" s="1">
        <v>46192.625</v>
      </c>
      <c r="D676" t="s">
        <v>15</v>
      </c>
      <c r="E676" t="s">
        <v>41</v>
      </c>
      <c r="F676" t="s">
        <v>42</v>
      </c>
      <c r="G676" t="s">
        <v>56</v>
      </c>
      <c r="H676" t="s">
        <v>57</v>
      </c>
      <c r="I676" t="s">
        <v>58</v>
      </c>
      <c r="J676" t="s">
        <v>1981</v>
      </c>
      <c r="K676" t="s">
        <v>60</v>
      </c>
      <c r="L676" s="1">
        <v>46192</v>
      </c>
      <c r="M676" t="s">
        <v>1809</v>
      </c>
      <c r="N676">
        <f t="shared" si="20"/>
        <v>2026</v>
      </c>
      <c r="O676" t="str">
        <f t="shared" si="21"/>
        <v>Friday</v>
      </c>
    </row>
    <row r="677" spans="1:15" x14ac:dyDescent="0.3">
      <c r="A677" t="s">
        <v>1982</v>
      </c>
      <c r="B677" t="s">
        <v>1983</v>
      </c>
      <c r="C677" s="1">
        <v>46193.375</v>
      </c>
      <c r="D677" t="s">
        <v>15</v>
      </c>
      <c r="E677" t="s">
        <v>41</v>
      </c>
      <c r="F677" t="s">
        <v>17</v>
      </c>
      <c r="G677" t="s">
        <v>149</v>
      </c>
      <c r="H677" t="s">
        <v>150</v>
      </c>
      <c r="I677" t="s">
        <v>37</v>
      </c>
      <c r="J677" t="s">
        <v>1984</v>
      </c>
      <c r="K677" t="s">
        <v>74</v>
      </c>
      <c r="L677" s="1">
        <v>46193</v>
      </c>
      <c r="M677" t="s">
        <v>1809</v>
      </c>
      <c r="N677">
        <f t="shared" si="20"/>
        <v>2026</v>
      </c>
      <c r="O677" t="str">
        <f t="shared" si="21"/>
        <v>Saturday</v>
      </c>
    </row>
    <row r="678" spans="1:15" x14ac:dyDescent="0.3">
      <c r="A678" t="s">
        <v>1985</v>
      </c>
      <c r="B678" t="s">
        <v>1986</v>
      </c>
      <c r="C678" s="1">
        <v>46193.375</v>
      </c>
      <c r="D678" t="s">
        <v>15</v>
      </c>
      <c r="E678" t="s">
        <v>16</v>
      </c>
      <c r="F678" t="s">
        <v>17</v>
      </c>
      <c r="G678" t="s">
        <v>56</v>
      </c>
      <c r="H678" t="s">
        <v>57</v>
      </c>
      <c r="I678" t="s">
        <v>58</v>
      </c>
      <c r="J678" t="s">
        <v>1987</v>
      </c>
      <c r="K678" t="s">
        <v>31</v>
      </c>
      <c r="L678" s="1">
        <v>46193</v>
      </c>
      <c r="M678" t="s">
        <v>1809</v>
      </c>
      <c r="N678">
        <f t="shared" si="20"/>
        <v>2026</v>
      </c>
      <c r="O678" t="str">
        <f t="shared" si="21"/>
        <v>Saturday</v>
      </c>
    </row>
    <row r="679" spans="1:15" x14ac:dyDescent="0.3">
      <c r="A679" t="s">
        <v>1988</v>
      </c>
      <c r="B679" t="s">
        <v>1989</v>
      </c>
      <c r="C679" s="1">
        <v>46193.666666666657</v>
      </c>
      <c r="D679" t="s">
        <v>15</v>
      </c>
      <c r="E679" t="s">
        <v>26</v>
      </c>
      <c r="F679" t="s">
        <v>42</v>
      </c>
      <c r="G679" t="s">
        <v>106</v>
      </c>
      <c r="H679" t="s">
        <v>107</v>
      </c>
      <c r="I679" t="s">
        <v>108</v>
      </c>
      <c r="J679" t="s">
        <v>1990</v>
      </c>
      <c r="K679" t="s">
        <v>60</v>
      </c>
      <c r="L679" s="1">
        <v>46193</v>
      </c>
      <c r="M679" t="s">
        <v>1809</v>
      </c>
      <c r="N679">
        <f t="shared" si="20"/>
        <v>2026</v>
      </c>
      <c r="O679" t="str">
        <f t="shared" si="21"/>
        <v>Saturday</v>
      </c>
    </row>
    <row r="680" spans="1:15" x14ac:dyDescent="0.3">
      <c r="A680" t="s">
        <v>1991</v>
      </c>
      <c r="B680" t="s">
        <v>1992</v>
      </c>
      <c r="C680" s="1">
        <v>46193.833333333343</v>
      </c>
      <c r="D680" t="s">
        <v>15</v>
      </c>
      <c r="E680" t="s">
        <v>34</v>
      </c>
      <c r="F680" t="s">
        <v>42</v>
      </c>
      <c r="G680" t="s">
        <v>91</v>
      </c>
      <c r="H680" t="s">
        <v>92</v>
      </c>
      <c r="I680" t="s">
        <v>37</v>
      </c>
      <c r="J680" t="s">
        <v>1993</v>
      </c>
      <c r="K680" t="s">
        <v>60</v>
      </c>
      <c r="L680" s="1">
        <v>46193</v>
      </c>
      <c r="M680" t="s">
        <v>1809</v>
      </c>
      <c r="N680">
        <f t="shared" si="20"/>
        <v>2026</v>
      </c>
      <c r="O680" t="str">
        <f t="shared" si="21"/>
        <v>Saturday</v>
      </c>
    </row>
    <row r="681" spans="1:15" x14ac:dyDescent="0.3">
      <c r="A681" t="s">
        <v>1994</v>
      </c>
      <c r="B681" t="s">
        <v>1236</v>
      </c>
      <c r="C681" s="1">
        <v>46193.833333333343</v>
      </c>
      <c r="D681" t="s">
        <v>15</v>
      </c>
      <c r="E681" t="s">
        <v>41</v>
      </c>
      <c r="F681" t="s">
        <v>17</v>
      </c>
      <c r="G681" t="s">
        <v>165</v>
      </c>
      <c r="H681" t="s">
        <v>166</v>
      </c>
      <c r="I681" t="s">
        <v>29</v>
      </c>
      <c r="J681" t="s">
        <v>1995</v>
      </c>
      <c r="K681" t="s">
        <v>60</v>
      </c>
      <c r="L681" s="1">
        <v>46193</v>
      </c>
      <c r="M681" t="s">
        <v>1809</v>
      </c>
      <c r="N681">
        <f t="shared" si="20"/>
        <v>2026</v>
      </c>
      <c r="O681" t="str">
        <f t="shared" si="21"/>
        <v>Saturday</v>
      </c>
    </row>
    <row r="682" spans="1:15" x14ac:dyDescent="0.3">
      <c r="A682" t="s">
        <v>1996</v>
      </c>
      <c r="B682" t="s">
        <v>1680</v>
      </c>
      <c r="C682" s="1">
        <v>46194.708333333343</v>
      </c>
      <c r="D682" t="s">
        <v>15</v>
      </c>
      <c r="E682" t="s">
        <v>41</v>
      </c>
      <c r="F682" t="s">
        <v>17</v>
      </c>
      <c r="G682" t="s">
        <v>191</v>
      </c>
      <c r="H682" t="s">
        <v>192</v>
      </c>
      <c r="I682" t="s">
        <v>45</v>
      </c>
      <c r="J682" t="s">
        <v>1997</v>
      </c>
      <c r="K682" t="s">
        <v>74</v>
      </c>
      <c r="L682" s="1">
        <v>46194</v>
      </c>
      <c r="M682" t="s">
        <v>1809</v>
      </c>
      <c r="N682">
        <f t="shared" si="20"/>
        <v>2026</v>
      </c>
      <c r="O682" t="str">
        <f t="shared" si="21"/>
        <v>Sunday</v>
      </c>
    </row>
    <row r="683" spans="1:15" x14ac:dyDescent="0.3">
      <c r="A683" t="s">
        <v>1998</v>
      </c>
      <c r="B683" t="s">
        <v>1999</v>
      </c>
      <c r="C683" s="1">
        <v>46194.708333333343</v>
      </c>
      <c r="D683" t="s">
        <v>15</v>
      </c>
      <c r="E683" t="s">
        <v>34</v>
      </c>
      <c r="F683" t="s">
        <v>17</v>
      </c>
      <c r="G683" t="s">
        <v>35</v>
      </c>
      <c r="H683" t="s">
        <v>36</v>
      </c>
      <c r="I683" t="s">
        <v>37</v>
      </c>
      <c r="J683" t="s">
        <v>2000</v>
      </c>
      <c r="K683" t="s">
        <v>74</v>
      </c>
      <c r="L683" s="1">
        <v>46194</v>
      </c>
      <c r="M683" t="s">
        <v>1809</v>
      </c>
      <c r="N683">
        <f t="shared" si="20"/>
        <v>2026</v>
      </c>
      <c r="O683" t="str">
        <f t="shared" si="21"/>
        <v>Sunday</v>
      </c>
    </row>
    <row r="684" spans="1:15" x14ac:dyDescent="0.3">
      <c r="A684" t="s">
        <v>2001</v>
      </c>
      <c r="B684" t="s">
        <v>2002</v>
      </c>
      <c r="C684" s="1">
        <v>46195.375</v>
      </c>
      <c r="D684" t="s">
        <v>15</v>
      </c>
      <c r="E684" t="s">
        <v>16</v>
      </c>
      <c r="F684" t="s">
        <v>17</v>
      </c>
      <c r="G684" t="s">
        <v>355</v>
      </c>
      <c r="H684" t="s">
        <v>356</v>
      </c>
      <c r="I684" t="s">
        <v>82</v>
      </c>
      <c r="J684" t="s">
        <v>2003</v>
      </c>
      <c r="K684" t="s">
        <v>74</v>
      </c>
      <c r="L684" s="1">
        <v>46195</v>
      </c>
      <c r="M684" t="s">
        <v>1809</v>
      </c>
      <c r="N684">
        <f t="shared" si="20"/>
        <v>2026</v>
      </c>
      <c r="O684" t="str">
        <f t="shared" si="21"/>
        <v>Monday</v>
      </c>
    </row>
    <row r="685" spans="1:15" x14ac:dyDescent="0.3">
      <c r="A685" t="s">
        <v>2004</v>
      </c>
      <c r="B685" t="s">
        <v>2005</v>
      </c>
      <c r="C685" s="1">
        <v>46195.375</v>
      </c>
      <c r="D685" t="s">
        <v>15</v>
      </c>
      <c r="E685" t="s">
        <v>16</v>
      </c>
      <c r="F685" t="s">
        <v>50</v>
      </c>
      <c r="G685" t="s">
        <v>18</v>
      </c>
      <c r="H685" t="s">
        <v>19</v>
      </c>
      <c r="I685" t="s">
        <v>20</v>
      </c>
      <c r="J685" t="s">
        <v>2006</v>
      </c>
      <c r="K685" t="s">
        <v>31</v>
      </c>
      <c r="L685" s="1">
        <v>46195</v>
      </c>
      <c r="M685" t="s">
        <v>1809</v>
      </c>
      <c r="N685">
        <f t="shared" si="20"/>
        <v>2026</v>
      </c>
      <c r="O685" t="str">
        <f t="shared" si="21"/>
        <v>Monday</v>
      </c>
    </row>
    <row r="686" spans="1:15" x14ac:dyDescent="0.3">
      <c r="A686" t="s">
        <v>2007</v>
      </c>
      <c r="B686" t="s">
        <v>352</v>
      </c>
      <c r="C686" s="1">
        <v>46195.416666666657</v>
      </c>
      <c r="D686" t="s">
        <v>15</v>
      </c>
      <c r="E686" t="s">
        <v>63</v>
      </c>
      <c r="F686" t="s">
        <v>42</v>
      </c>
      <c r="G686" t="s">
        <v>27</v>
      </c>
      <c r="H686" t="s">
        <v>28</v>
      </c>
      <c r="I686" t="s">
        <v>29</v>
      </c>
      <c r="J686" t="s">
        <v>2008</v>
      </c>
      <c r="K686" t="s">
        <v>22</v>
      </c>
      <c r="L686" s="1">
        <v>46195</v>
      </c>
      <c r="M686" t="s">
        <v>1809</v>
      </c>
      <c r="N686">
        <f t="shared" si="20"/>
        <v>2026</v>
      </c>
      <c r="O686" t="str">
        <f t="shared" si="21"/>
        <v>Monday</v>
      </c>
    </row>
    <row r="687" spans="1:15" x14ac:dyDescent="0.3">
      <c r="A687" t="s">
        <v>2009</v>
      </c>
      <c r="B687" t="s">
        <v>2010</v>
      </c>
      <c r="C687" s="1">
        <v>46195.583333333343</v>
      </c>
      <c r="D687" t="s">
        <v>15</v>
      </c>
      <c r="E687" t="s">
        <v>26</v>
      </c>
      <c r="F687" t="s">
        <v>50</v>
      </c>
      <c r="G687" t="s">
        <v>191</v>
      </c>
      <c r="H687" t="s">
        <v>192</v>
      </c>
      <c r="I687" t="s">
        <v>45</v>
      </c>
      <c r="J687" t="s">
        <v>2011</v>
      </c>
      <c r="K687" t="s">
        <v>31</v>
      </c>
      <c r="L687" s="1">
        <v>46195</v>
      </c>
      <c r="M687" t="s">
        <v>1809</v>
      </c>
      <c r="N687">
        <f t="shared" si="20"/>
        <v>2026</v>
      </c>
      <c r="O687" t="str">
        <f t="shared" si="21"/>
        <v>Monday</v>
      </c>
    </row>
    <row r="688" spans="1:15" x14ac:dyDescent="0.3">
      <c r="A688" t="s">
        <v>2012</v>
      </c>
      <c r="B688" t="s">
        <v>773</v>
      </c>
      <c r="C688" s="1">
        <v>46195.625</v>
      </c>
      <c r="D688" t="s">
        <v>15</v>
      </c>
      <c r="E688" t="s">
        <v>16</v>
      </c>
      <c r="F688" t="s">
        <v>17</v>
      </c>
      <c r="G688" t="s">
        <v>149</v>
      </c>
      <c r="H688" t="s">
        <v>150</v>
      </c>
      <c r="I688" t="s">
        <v>37</v>
      </c>
      <c r="J688" t="s">
        <v>2013</v>
      </c>
      <c r="K688" t="s">
        <v>31</v>
      </c>
      <c r="L688" s="1">
        <v>46195</v>
      </c>
      <c r="M688" t="s">
        <v>1809</v>
      </c>
      <c r="N688">
        <f t="shared" si="20"/>
        <v>2026</v>
      </c>
      <c r="O688" t="str">
        <f t="shared" si="21"/>
        <v>Monday</v>
      </c>
    </row>
    <row r="689" spans="1:15" x14ac:dyDescent="0.3">
      <c r="A689" t="s">
        <v>2014</v>
      </c>
      <c r="B689" t="s">
        <v>2015</v>
      </c>
      <c r="C689" s="1">
        <v>46195.833333333343</v>
      </c>
      <c r="D689" t="s">
        <v>15</v>
      </c>
      <c r="E689" t="s">
        <v>16</v>
      </c>
      <c r="F689" t="s">
        <v>17</v>
      </c>
      <c r="G689" t="s">
        <v>112</v>
      </c>
      <c r="H689" t="s">
        <v>113</v>
      </c>
      <c r="I689" t="s">
        <v>37</v>
      </c>
      <c r="J689" t="s">
        <v>2016</v>
      </c>
      <c r="K689" t="s">
        <v>31</v>
      </c>
      <c r="L689" s="1">
        <v>46195</v>
      </c>
      <c r="M689" t="s">
        <v>1809</v>
      </c>
      <c r="N689">
        <f t="shared" si="20"/>
        <v>2026</v>
      </c>
      <c r="O689" t="str">
        <f t="shared" si="21"/>
        <v>Monday</v>
      </c>
    </row>
    <row r="690" spans="1:15" x14ac:dyDescent="0.3">
      <c r="A690" t="s">
        <v>2017</v>
      </c>
      <c r="B690" t="s">
        <v>2018</v>
      </c>
      <c r="C690" s="1">
        <v>46196.375</v>
      </c>
      <c r="D690" t="s">
        <v>15</v>
      </c>
      <c r="E690" t="s">
        <v>41</v>
      </c>
      <c r="F690" t="s">
        <v>50</v>
      </c>
      <c r="G690" t="s">
        <v>355</v>
      </c>
      <c r="H690" t="s">
        <v>356</v>
      </c>
      <c r="I690" t="s">
        <v>82</v>
      </c>
      <c r="J690" t="s">
        <v>2019</v>
      </c>
      <c r="K690" t="s">
        <v>60</v>
      </c>
      <c r="L690" s="1">
        <v>46196</v>
      </c>
      <c r="M690" t="s">
        <v>1809</v>
      </c>
      <c r="N690">
        <f t="shared" si="20"/>
        <v>2026</v>
      </c>
      <c r="O690" t="str">
        <f t="shared" si="21"/>
        <v>Tuesday</v>
      </c>
    </row>
    <row r="691" spans="1:15" x14ac:dyDescent="0.3">
      <c r="A691" t="s">
        <v>2020</v>
      </c>
      <c r="B691" t="s">
        <v>346</v>
      </c>
      <c r="C691" s="1">
        <v>46196.458333333343</v>
      </c>
      <c r="D691" t="s">
        <v>15</v>
      </c>
      <c r="E691" t="s">
        <v>16</v>
      </c>
      <c r="F691" t="s">
        <v>17</v>
      </c>
      <c r="G691" t="s">
        <v>80</v>
      </c>
      <c r="H691" t="s">
        <v>81</v>
      </c>
      <c r="I691" t="s">
        <v>82</v>
      </c>
      <c r="J691" t="s">
        <v>2021</v>
      </c>
      <c r="K691" t="s">
        <v>74</v>
      </c>
      <c r="L691" s="1">
        <v>46196</v>
      </c>
      <c r="M691" t="s">
        <v>1809</v>
      </c>
      <c r="N691">
        <f t="shared" si="20"/>
        <v>2026</v>
      </c>
      <c r="O691" t="str">
        <f t="shared" si="21"/>
        <v>Tuesday</v>
      </c>
    </row>
    <row r="692" spans="1:15" x14ac:dyDescent="0.3">
      <c r="A692" t="s">
        <v>2022</v>
      </c>
      <c r="B692" t="s">
        <v>55</v>
      </c>
      <c r="C692" s="1">
        <v>46196.458333333343</v>
      </c>
      <c r="D692" t="s">
        <v>15</v>
      </c>
      <c r="E692" t="s">
        <v>34</v>
      </c>
      <c r="F692" t="s">
        <v>42</v>
      </c>
      <c r="G692" t="s">
        <v>35</v>
      </c>
      <c r="H692" t="s">
        <v>36</v>
      </c>
      <c r="I692" t="s">
        <v>37</v>
      </c>
      <c r="J692" t="s">
        <v>2023</v>
      </c>
      <c r="K692" t="s">
        <v>74</v>
      </c>
      <c r="L692" s="1">
        <v>46196</v>
      </c>
      <c r="M692" t="s">
        <v>1809</v>
      </c>
      <c r="N692">
        <f t="shared" si="20"/>
        <v>2026</v>
      </c>
      <c r="O692" t="str">
        <f t="shared" si="21"/>
        <v>Tuesday</v>
      </c>
    </row>
    <row r="693" spans="1:15" x14ac:dyDescent="0.3">
      <c r="A693" t="s">
        <v>2024</v>
      </c>
      <c r="B693" t="s">
        <v>2025</v>
      </c>
      <c r="C693" s="1">
        <v>46196.583333333343</v>
      </c>
      <c r="D693" t="s">
        <v>15</v>
      </c>
      <c r="E693" t="s">
        <v>34</v>
      </c>
      <c r="F693" t="s">
        <v>17</v>
      </c>
      <c r="G693" t="s">
        <v>35</v>
      </c>
      <c r="H693" t="s">
        <v>36</v>
      </c>
      <c r="I693" t="s">
        <v>37</v>
      </c>
      <c r="J693" t="s">
        <v>2026</v>
      </c>
      <c r="K693" t="s">
        <v>22</v>
      </c>
      <c r="L693" s="1">
        <v>46196</v>
      </c>
      <c r="M693" t="s">
        <v>1809</v>
      </c>
      <c r="N693">
        <f t="shared" si="20"/>
        <v>2026</v>
      </c>
      <c r="O693" t="str">
        <f t="shared" si="21"/>
        <v>Tuesday</v>
      </c>
    </row>
    <row r="694" spans="1:15" x14ac:dyDescent="0.3">
      <c r="A694" t="s">
        <v>2027</v>
      </c>
      <c r="B694" t="s">
        <v>2028</v>
      </c>
      <c r="C694" s="1">
        <v>46196.833333333343</v>
      </c>
      <c r="D694" t="s">
        <v>15</v>
      </c>
      <c r="E694" t="s">
        <v>41</v>
      </c>
      <c r="F694" t="s">
        <v>50</v>
      </c>
      <c r="G694" t="s">
        <v>355</v>
      </c>
      <c r="H694" t="s">
        <v>356</v>
      </c>
      <c r="I694" t="s">
        <v>82</v>
      </c>
      <c r="J694" t="s">
        <v>2029</v>
      </c>
      <c r="K694" t="s">
        <v>60</v>
      </c>
      <c r="L694" s="1">
        <v>46196</v>
      </c>
      <c r="M694" t="s">
        <v>1809</v>
      </c>
      <c r="N694">
        <f t="shared" si="20"/>
        <v>2026</v>
      </c>
      <c r="O694" t="str">
        <f t="shared" si="21"/>
        <v>Tuesday</v>
      </c>
    </row>
    <row r="695" spans="1:15" x14ac:dyDescent="0.3">
      <c r="A695" t="s">
        <v>2030</v>
      </c>
      <c r="B695" t="s">
        <v>2031</v>
      </c>
      <c r="C695" s="1">
        <v>46197.541666666657</v>
      </c>
      <c r="D695" t="s">
        <v>15</v>
      </c>
      <c r="E695" t="s">
        <v>16</v>
      </c>
      <c r="F695" t="s">
        <v>50</v>
      </c>
      <c r="G695" t="s">
        <v>86</v>
      </c>
      <c r="H695" t="s">
        <v>87</v>
      </c>
      <c r="I695" t="s">
        <v>82</v>
      </c>
      <c r="J695" t="s">
        <v>2032</v>
      </c>
      <c r="K695" t="s">
        <v>22</v>
      </c>
      <c r="L695" s="1">
        <v>46197</v>
      </c>
      <c r="M695" t="s">
        <v>1809</v>
      </c>
      <c r="N695">
        <f t="shared" si="20"/>
        <v>2026</v>
      </c>
      <c r="O695" t="str">
        <f t="shared" si="21"/>
        <v>Wednesday</v>
      </c>
    </row>
    <row r="696" spans="1:15" x14ac:dyDescent="0.3">
      <c r="A696" t="s">
        <v>2033</v>
      </c>
      <c r="B696" t="s">
        <v>2034</v>
      </c>
      <c r="C696" s="1">
        <v>46198.458333333343</v>
      </c>
      <c r="D696" t="s">
        <v>15</v>
      </c>
      <c r="E696" t="s">
        <v>26</v>
      </c>
      <c r="F696" t="s">
        <v>17</v>
      </c>
      <c r="G696" t="s">
        <v>112</v>
      </c>
      <c r="H696" t="s">
        <v>113</v>
      </c>
      <c r="I696" t="s">
        <v>37</v>
      </c>
      <c r="J696" t="s">
        <v>2035</v>
      </c>
      <c r="K696" t="s">
        <v>22</v>
      </c>
      <c r="L696" s="1">
        <v>46198</v>
      </c>
      <c r="M696" t="s">
        <v>1809</v>
      </c>
      <c r="N696">
        <f t="shared" si="20"/>
        <v>2026</v>
      </c>
      <c r="O696" t="str">
        <f t="shared" si="21"/>
        <v>Thursday</v>
      </c>
    </row>
    <row r="697" spans="1:15" x14ac:dyDescent="0.3">
      <c r="A697" t="s">
        <v>2036</v>
      </c>
      <c r="B697" t="s">
        <v>2037</v>
      </c>
      <c r="C697" s="1">
        <v>46198.541666666657</v>
      </c>
      <c r="D697" t="s">
        <v>15</v>
      </c>
      <c r="E697" t="s">
        <v>34</v>
      </c>
      <c r="F697" t="s">
        <v>17</v>
      </c>
      <c r="G697" t="s">
        <v>27</v>
      </c>
      <c r="H697" t="s">
        <v>28</v>
      </c>
      <c r="I697" t="s">
        <v>29</v>
      </c>
      <c r="J697" t="s">
        <v>2038</v>
      </c>
      <c r="K697" t="s">
        <v>74</v>
      </c>
      <c r="L697" s="1">
        <v>46198</v>
      </c>
      <c r="M697" t="s">
        <v>1809</v>
      </c>
      <c r="N697">
        <f t="shared" si="20"/>
        <v>2026</v>
      </c>
      <c r="O697" t="str">
        <f t="shared" si="21"/>
        <v>Thursday</v>
      </c>
    </row>
    <row r="698" spans="1:15" x14ac:dyDescent="0.3">
      <c r="A698" t="s">
        <v>2039</v>
      </c>
      <c r="B698" t="s">
        <v>1096</v>
      </c>
      <c r="C698" s="1">
        <v>46198.791666666657</v>
      </c>
      <c r="D698" t="s">
        <v>15</v>
      </c>
      <c r="E698" t="s">
        <v>16</v>
      </c>
      <c r="F698" t="s">
        <v>17</v>
      </c>
      <c r="G698" t="s">
        <v>160</v>
      </c>
      <c r="H698" t="s">
        <v>161</v>
      </c>
      <c r="I698" t="s">
        <v>82</v>
      </c>
      <c r="J698" t="s">
        <v>2040</v>
      </c>
      <c r="K698" t="s">
        <v>47</v>
      </c>
      <c r="L698" s="1">
        <v>46198</v>
      </c>
      <c r="M698" t="s">
        <v>1809</v>
      </c>
      <c r="N698">
        <f t="shared" si="20"/>
        <v>2026</v>
      </c>
      <c r="O698" t="str">
        <f t="shared" si="21"/>
        <v>Thursday</v>
      </c>
    </row>
    <row r="699" spans="1:15" x14ac:dyDescent="0.3">
      <c r="A699" t="s">
        <v>2041</v>
      </c>
      <c r="B699" t="s">
        <v>122</v>
      </c>
      <c r="C699" s="1">
        <v>46198.833333333343</v>
      </c>
      <c r="D699" t="s">
        <v>15</v>
      </c>
      <c r="E699" t="s">
        <v>41</v>
      </c>
      <c r="F699" t="s">
        <v>50</v>
      </c>
      <c r="G699" t="s">
        <v>112</v>
      </c>
      <c r="H699" t="s">
        <v>113</v>
      </c>
      <c r="I699" t="s">
        <v>37</v>
      </c>
      <c r="J699" t="s">
        <v>2042</v>
      </c>
      <c r="K699" t="s">
        <v>47</v>
      </c>
      <c r="L699" s="1">
        <v>46198</v>
      </c>
      <c r="M699" t="s">
        <v>1809</v>
      </c>
      <c r="N699">
        <f t="shared" si="20"/>
        <v>2026</v>
      </c>
      <c r="O699" t="str">
        <f t="shared" si="21"/>
        <v>Thursday</v>
      </c>
    </row>
    <row r="700" spans="1:15" x14ac:dyDescent="0.3">
      <c r="A700" t="s">
        <v>2043</v>
      </c>
      <c r="B700" t="s">
        <v>849</v>
      </c>
      <c r="C700" s="1">
        <v>46199.333333333343</v>
      </c>
      <c r="D700" t="s">
        <v>15</v>
      </c>
      <c r="E700" t="s">
        <v>41</v>
      </c>
      <c r="F700" t="s">
        <v>17</v>
      </c>
      <c r="G700" t="s">
        <v>86</v>
      </c>
      <c r="H700" t="s">
        <v>87</v>
      </c>
      <c r="I700" t="s">
        <v>82</v>
      </c>
      <c r="J700" t="s">
        <v>2044</v>
      </c>
      <c r="K700" t="s">
        <v>47</v>
      </c>
      <c r="L700" s="1">
        <v>46199</v>
      </c>
      <c r="M700" t="s">
        <v>1809</v>
      </c>
      <c r="N700">
        <f t="shared" si="20"/>
        <v>2026</v>
      </c>
      <c r="O700" t="str">
        <f t="shared" si="21"/>
        <v>Friday</v>
      </c>
    </row>
    <row r="701" spans="1:15" x14ac:dyDescent="0.3">
      <c r="A701" t="s">
        <v>2045</v>
      </c>
      <c r="B701" t="s">
        <v>2046</v>
      </c>
      <c r="C701" s="1">
        <v>46199.5</v>
      </c>
      <c r="D701" t="s">
        <v>15</v>
      </c>
      <c r="E701" t="s">
        <v>63</v>
      </c>
      <c r="F701" t="s">
        <v>50</v>
      </c>
      <c r="G701" t="s">
        <v>126</v>
      </c>
      <c r="H701" t="s">
        <v>127</v>
      </c>
      <c r="I701" t="s">
        <v>45</v>
      </c>
      <c r="J701" t="s">
        <v>2047</v>
      </c>
      <c r="K701" t="s">
        <v>60</v>
      </c>
      <c r="L701" s="1">
        <v>46199</v>
      </c>
      <c r="M701" t="s">
        <v>1809</v>
      </c>
      <c r="N701">
        <f t="shared" si="20"/>
        <v>2026</v>
      </c>
      <c r="O701" t="str">
        <f t="shared" si="21"/>
        <v>Friday</v>
      </c>
    </row>
    <row r="702" spans="1:15" x14ac:dyDescent="0.3">
      <c r="A702" t="s">
        <v>2048</v>
      </c>
      <c r="B702" t="s">
        <v>2049</v>
      </c>
      <c r="C702" s="1">
        <v>46199.625</v>
      </c>
      <c r="D702" t="s">
        <v>15</v>
      </c>
      <c r="E702" t="s">
        <v>41</v>
      </c>
      <c r="F702" t="s">
        <v>50</v>
      </c>
      <c r="G702" t="s">
        <v>43</v>
      </c>
      <c r="H702" t="s">
        <v>44</v>
      </c>
      <c r="I702" t="s">
        <v>45</v>
      </c>
      <c r="J702" t="s">
        <v>2050</v>
      </c>
      <c r="K702" t="s">
        <v>74</v>
      </c>
      <c r="L702" s="1">
        <v>46199</v>
      </c>
      <c r="M702" t="s">
        <v>1809</v>
      </c>
      <c r="N702">
        <f t="shared" si="20"/>
        <v>2026</v>
      </c>
      <c r="O702" t="str">
        <f t="shared" si="21"/>
        <v>Friday</v>
      </c>
    </row>
    <row r="703" spans="1:15" x14ac:dyDescent="0.3">
      <c r="A703" t="s">
        <v>2051</v>
      </c>
      <c r="B703" t="s">
        <v>178</v>
      </c>
      <c r="C703" s="1">
        <v>46199.666666666657</v>
      </c>
      <c r="D703" t="s">
        <v>15</v>
      </c>
      <c r="E703" t="s">
        <v>16</v>
      </c>
      <c r="F703" t="s">
        <v>50</v>
      </c>
      <c r="G703" t="s">
        <v>191</v>
      </c>
      <c r="H703" t="s">
        <v>192</v>
      </c>
      <c r="I703" t="s">
        <v>45</v>
      </c>
      <c r="J703" t="s">
        <v>2052</v>
      </c>
      <c r="K703" t="s">
        <v>74</v>
      </c>
      <c r="L703" s="1">
        <v>46199</v>
      </c>
      <c r="M703" t="s">
        <v>1809</v>
      </c>
      <c r="N703">
        <f t="shared" si="20"/>
        <v>2026</v>
      </c>
      <c r="O703" t="str">
        <f t="shared" si="21"/>
        <v>Friday</v>
      </c>
    </row>
    <row r="704" spans="1:15" x14ac:dyDescent="0.3">
      <c r="A704" t="s">
        <v>2053</v>
      </c>
      <c r="B704" t="s">
        <v>2054</v>
      </c>
      <c r="C704" s="1">
        <v>46199.666666666657</v>
      </c>
      <c r="D704" t="s">
        <v>15</v>
      </c>
      <c r="E704" t="s">
        <v>16</v>
      </c>
      <c r="F704" t="s">
        <v>17</v>
      </c>
      <c r="G704" t="s">
        <v>56</v>
      </c>
      <c r="H704" t="s">
        <v>57</v>
      </c>
      <c r="I704" t="s">
        <v>58</v>
      </c>
      <c r="J704" t="s">
        <v>2055</v>
      </c>
      <c r="K704" t="s">
        <v>31</v>
      </c>
      <c r="L704" s="1">
        <v>46199</v>
      </c>
      <c r="M704" t="s">
        <v>1809</v>
      </c>
      <c r="N704">
        <f t="shared" si="20"/>
        <v>2026</v>
      </c>
      <c r="O704" t="str">
        <f t="shared" si="21"/>
        <v>Friday</v>
      </c>
    </row>
    <row r="705" spans="1:15" x14ac:dyDescent="0.3">
      <c r="A705" t="s">
        <v>2056</v>
      </c>
      <c r="B705" t="s">
        <v>2057</v>
      </c>
      <c r="C705" s="1">
        <v>46199.666666666657</v>
      </c>
      <c r="D705" t="s">
        <v>15</v>
      </c>
      <c r="E705" t="s">
        <v>26</v>
      </c>
      <c r="F705" t="s">
        <v>50</v>
      </c>
      <c r="G705" t="s">
        <v>355</v>
      </c>
      <c r="H705" t="s">
        <v>356</v>
      </c>
      <c r="I705" t="s">
        <v>82</v>
      </c>
      <c r="J705" t="s">
        <v>2058</v>
      </c>
      <c r="K705" t="s">
        <v>22</v>
      </c>
      <c r="L705" s="1">
        <v>46199</v>
      </c>
      <c r="M705" t="s">
        <v>1809</v>
      </c>
      <c r="N705">
        <f t="shared" si="20"/>
        <v>2026</v>
      </c>
      <c r="O705" t="str">
        <f t="shared" si="21"/>
        <v>Friday</v>
      </c>
    </row>
    <row r="706" spans="1:15" x14ac:dyDescent="0.3">
      <c r="A706" t="s">
        <v>2059</v>
      </c>
      <c r="B706" t="s">
        <v>2060</v>
      </c>
      <c r="C706" s="1">
        <v>46199.833333333343</v>
      </c>
      <c r="D706" t="s">
        <v>15</v>
      </c>
      <c r="E706" t="s">
        <v>34</v>
      </c>
      <c r="F706" t="s">
        <v>50</v>
      </c>
      <c r="G706" t="s">
        <v>160</v>
      </c>
      <c r="H706" t="s">
        <v>161</v>
      </c>
      <c r="I706" t="s">
        <v>82</v>
      </c>
      <c r="J706" t="s">
        <v>2061</v>
      </c>
      <c r="K706" t="s">
        <v>22</v>
      </c>
      <c r="L706" s="1">
        <v>46199</v>
      </c>
      <c r="M706" t="s">
        <v>1809</v>
      </c>
      <c r="N706">
        <f t="shared" si="20"/>
        <v>2026</v>
      </c>
      <c r="O706" t="str">
        <f t="shared" si="21"/>
        <v>Friday</v>
      </c>
    </row>
    <row r="707" spans="1:15" x14ac:dyDescent="0.3">
      <c r="A707" t="s">
        <v>2062</v>
      </c>
      <c r="B707" t="s">
        <v>2063</v>
      </c>
      <c r="C707" s="1">
        <v>46200.333333333343</v>
      </c>
      <c r="D707" t="s">
        <v>15</v>
      </c>
      <c r="E707" t="s">
        <v>41</v>
      </c>
      <c r="F707" t="s">
        <v>50</v>
      </c>
      <c r="G707" t="s">
        <v>355</v>
      </c>
      <c r="H707" t="s">
        <v>356</v>
      </c>
      <c r="I707" t="s">
        <v>82</v>
      </c>
      <c r="J707" t="s">
        <v>2064</v>
      </c>
      <c r="K707" t="s">
        <v>60</v>
      </c>
      <c r="L707" s="1">
        <v>46200</v>
      </c>
      <c r="M707" t="s">
        <v>1809</v>
      </c>
      <c r="N707">
        <f t="shared" ref="N707:N721" si="22">YEAR(C707)</f>
        <v>2026</v>
      </c>
      <c r="O707" t="str">
        <f t="shared" ref="O707:O721" si="23">TEXT(C707,"dddd")</f>
        <v>Saturday</v>
      </c>
    </row>
    <row r="708" spans="1:15" x14ac:dyDescent="0.3">
      <c r="A708" t="s">
        <v>2065</v>
      </c>
      <c r="B708" t="s">
        <v>371</v>
      </c>
      <c r="C708" s="1">
        <v>46200.541666666657</v>
      </c>
      <c r="D708" t="s">
        <v>15</v>
      </c>
      <c r="E708" t="s">
        <v>26</v>
      </c>
      <c r="F708" t="s">
        <v>17</v>
      </c>
      <c r="G708" t="s">
        <v>165</v>
      </c>
      <c r="H708" t="s">
        <v>166</v>
      </c>
      <c r="I708" t="s">
        <v>29</v>
      </c>
      <c r="J708" t="s">
        <v>2066</v>
      </c>
      <c r="K708" t="s">
        <v>47</v>
      </c>
      <c r="L708" s="1">
        <v>46200</v>
      </c>
      <c r="M708" t="s">
        <v>1809</v>
      </c>
      <c r="N708">
        <f t="shared" si="22"/>
        <v>2026</v>
      </c>
      <c r="O708" t="str">
        <f t="shared" si="23"/>
        <v>Saturday</v>
      </c>
    </row>
    <row r="709" spans="1:15" x14ac:dyDescent="0.3">
      <c r="A709" t="s">
        <v>2067</v>
      </c>
      <c r="B709" t="s">
        <v>1107</v>
      </c>
      <c r="C709" s="1">
        <v>46200.583333333343</v>
      </c>
      <c r="D709" t="s">
        <v>15</v>
      </c>
      <c r="E709" t="s">
        <v>16</v>
      </c>
      <c r="F709" t="s">
        <v>50</v>
      </c>
      <c r="G709" t="s">
        <v>250</v>
      </c>
      <c r="H709" t="s">
        <v>251</v>
      </c>
      <c r="I709" t="s">
        <v>108</v>
      </c>
      <c r="J709" t="s">
        <v>2068</v>
      </c>
      <c r="K709" t="s">
        <v>74</v>
      </c>
      <c r="L709" s="1">
        <v>46200</v>
      </c>
      <c r="M709" t="s">
        <v>1809</v>
      </c>
      <c r="N709">
        <f t="shared" si="22"/>
        <v>2026</v>
      </c>
      <c r="O709" t="str">
        <f t="shared" si="23"/>
        <v>Saturday</v>
      </c>
    </row>
    <row r="710" spans="1:15" x14ac:dyDescent="0.3">
      <c r="A710" t="s">
        <v>2069</v>
      </c>
      <c r="B710" t="s">
        <v>1595</v>
      </c>
      <c r="C710" s="1">
        <v>46200.625</v>
      </c>
      <c r="D710" t="s">
        <v>15</v>
      </c>
      <c r="E710" t="s">
        <v>16</v>
      </c>
      <c r="F710" t="s">
        <v>17</v>
      </c>
      <c r="G710" t="s">
        <v>191</v>
      </c>
      <c r="H710" t="s">
        <v>192</v>
      </c>
      <c r="I710" t="s">
        <v>45</v>
      </c>
      <c r="J710" t="s">
        <v>2070</v>
      </c>
      <c r="K710" t="s">
        <v>47</v>
      </c>
      <c r="L710" s="1">
        <v>46200</v>
      </c>
      <c r="M710" t="s">
        <v>1809</v>
      </c>
      <c r="N710">
        <f t="shared" si="22"/>
        <v>2026</v>
      </c>
      <c r="O710" t="str">
        <f t="shared" si="23"/>
        <v>Saturday</v>
      </c>
    </row>
    <row r="711" spans="1:15" x14ac:dyDescent="0.3">
      <c r="A711" t="s">
        <v>2071</v>
      </c>
      <c r="B711" t="s">
        <v>2072</v>
      </c>
      <c r="C711" s="1">
        <v>46201.333333333343</v>
      </c>
      <c r="D711" t="s">
        <v>15</v>
      </c>
      <c r="E711" t="s">
        <v>26</v>
      </c>
      <c r="F711" t="s">
        <v>17</v>
      </c>
      <c r="G711" t="s">
        <v>27</v>
      </c>
      <c r="H711" t="s">
        <v>28</v>
      </c>
      <c r="I711" t="s">
        <v>29</v>
      </c>
      <c r="J711" t="s">
        <v>2073</v>
      </c>
      <c r="K711" t="s">
        <v>31</v>
      </c>
      <c r="L711" s="1">
        <v>46201</v>
      </c>
      <c r="M711" t="s">
        <v>1809</v>
      </c>
      <c r="N711">
        <f t="shared" si="22"/>
        <v>2026</v>
      </c>
      <c r="O711" t="str">
        <f t="shared" si="23"/>
        <v>Sunday</v>
      </c>
    </row>
    <row r="712" spans="1:15" x14ac:dyDescent="0.3">
      <c r="A712" t="s">
        <v>2074</v>
      </c>
      <c r="B712" t="s">
        <v>2075</v>
      </c>
      <c r="C712" s="1">
        <v>46201.583333333343</v>
      </c>
      <c r="D712" t="s">
        <v>15</v>
      </c>
      <c r="E712" t="s">
        <v>16</v>
      </c>
      <c r="F712" t="s">
        <v>17</v>
      </c>
      <c r="G712" t="s">
        <v>165</v>
      </c>
      <c r="H712" t="s">
        <v>166</v>
      </c>
      <c r="I712" t="s">
        <v>29</v>
      </c>
      <c r="J712" t="s">
        <v>2076</v>
      </c>
      <c r="K712" t="s">
        <v>74</v>
      </c>
      <c r="L712" s="1">
        <v>46201</v>
      </c>
      <c r="M712" t="s">
        <v>1809</v>
      </c>
      <c r="N712">
        <f t="shared" si="22"/>
        <v>2026</v>
      </c>
      <c r="O712" t="str">
        <f t="shared" si="23"/>
        <v>Sunday</v>
      </c>
    </row>
    <row r="713" spans="1:15" x14ac:dyDescent="0.3">
      <c r="A713" t="s">
        <v>2077</v>
      </c>
      <c r="B713" t="s">
        <v>1674</v>
      </c>
      <c r="C713" s="1">
        <v>46201.708333333343</v>
      </c>
      <c r="D713" t="s">
        <v>15</v>
      </c>
      <c r="E713" t="s">
        <v>34</v>
      </c>
      <c r="F713" t="s">
        <v>17</v>
      </c>
      <c r="G713" t="s">
        <v>96</v>
      </c>
      <c r="H713" t="s">
        <v>97</v>
      </c>
      <c r="I713" t="s">
        <v>58</v>
      </c>
      <c r="J713" t="s">
        <v>2078</v>
      </c>
      <c r="K713" t="s">
        <v>31</v>
      </c>
      <c r="L713" s="1">
        <v>46201</v>
      </c>
      <c r="M713" t="s">
        <v>1809</v>
      </c>
      <c r="N713">
        <f t="shared" si="22"/>
        <v>2026</v>
      </c>
      <c r="O713" t="str">
        <f t="shared" si="23"/>
        <v>Sunday</v>
      </c>
    </row>
    <row r="714" spans="1:15" x14ac:dyDescent="0.3">
      <c r="A714" t="s">
        <v>2079</v>
      </c>
      <c r="B714" t="s">
        <v>2080</v>
      </c>
      <c r="C714" s="1">
        <v>46201.708333333343</v>
      </c>
      <c r="D714" t="s">
        <v>15</v>
      </c>
      <c r="E714" t="s">
        <v>41</v>
      </c>
      <c r="F714" t="s">
        <v>50</v>
      </c>
      <c r="G714" t="s">
        <v>91</v>
      </c>
      <c r="H714" t="s">
        <v>92</v>
      </c>
      <c r="I714" t="s">
        <v>37</v>
      </c>
      <c r="J714" t="s">
        <v>2081</v>
      </c>
      <c r="K714" t="s">
        <v>47</v>
      </c>
      <c r="L714" s="1">
        <v>46201</v>
      </c>
      <c r="M714" t="s">
        <v>1809</v>
      </c>
      <c r="N714">
        <f t="shared" si="22"/>
        <v>2026</v>
      </c>
      <c r="O714" t="str">
        <f t="shared" si="23"/>
        <v>Sunday</v>
      </c>
    </row>
    <row r="715" spans="1:15" x14ac:dyDescent="0.3">
      <c r="A715" t="s">
        <v>2082</v>
      </c>
      <c r="B715" t="s">
        <v>1313</v>
      </c>
      <c r="C715" s="1">
        <v>46201.75</v>
      </c>
      <c r="D715" t="s">
        <v>15</v>
      </c>
      <c r="E715" t="s">
        <v>34</v>
      </c>
      <c r="F715" t="s">
        <v>17</v>
      </c>
      <c r="G715" t="s">
        <v>18</v>
      </c>
      <c r="H715" t="s">
        <v>19</v>
      </c>
      <c r="I715" t="s">
        <v>20</v>
      </c>
      <c r="J715" t="s">
        <v>2083</v>
      </c>
      <c r="K715" t="s">
        <v>74</v>
      </c>
      <c r="L715" s="1">
        <v>46201</v>
      </c>
      <c r="M715" t="s">
        <v>1809</v>
      </c>
      <c r="N715">
        <f t="shared" si="22"/>
        <v>2026</v>
      </c>
      <c r="O715" t="str">
        <f t="shared" si="23"/>
        <v>Sunday</v>
      </c>
    </row>
    <row r="716" spans="1:15" x14ac:dyDescent="0.3">
      <c r="A716" t="s">
        <v>2084</v>
      </c>
      <c r="B716" t="s">
        <v>2085</v>
      </c>
      <c r="C716" s="1">
        <v>46202.666666666657</v>
      </c>
      <c r="D716" t="s">
        <v>15</v>
      </c>
      <c r="E716" t="s">
        <v>41</v>
      </c>
      <c r="F716" t="s">
        <v>50</v>
      </c>
      <c r="G716" t="s">
        <v>250</v>
      </c>
      <c r="H716" t="s">
        <v>251</v>
      </c>
      <c r="I716" t="s">
        <v>108</v>
      </c>
      <c r="J716" t="s">
        <v>2086</v>
      </c>
      <c r="K716" t="s">
        <v>22</v>
      </c>
      <c r="L716" s="1">
        <v>46202</v>
      </c>
      <c r="M716" t="s">
        <v>1809</v>
      </c>
      <c r="N716">
        <f t="shared" si="22"/>
        <v>2026</v>
      </c>
      <c r="O716" t="str">
        <f t="shared" si="23"/>
        <v>Monday</v>
      </c>
    </row>
    <row r="717" spans="1:15" x14ac:dyDescent="0.3">
      <c r="A717" t="s">
        <v>2087</v>
      </c>
      <c r="B717" t="s">
        <v>2088</v>
      </c>
      <c r="C717" s="1">
        <v>46202.708333333343</v>
      </c>
      <c r="D717" t="s">
        <v>15</v>
      </c>
      <c r="E717" t="s">
        <v>16</v>
      </c>
      <c r="F717" t="s">
        <v>17</v>
      </c>
      <c r="G717" t="s">
        <v>43</v>
      </c>
      <c r="H717" t="s">
        <v>44</v>
      </c>
      <c r="I717" t="s">
        <v>45</v>
      </c>
      <c r="J717" t="s">
        <v>2089</v>
      </c>
      <c r="K717" t="s">
        <v>22</v>
      </c>
      <c r="L717" s="1">
        <v>46202</v>
      </c>
      <c r="M717" t="s">
        <v>1809</v>
      </c>
      <c r="N717">
        <f t="shared" si="22"/>
        <v>2026</v>
      </c>
      <c r="O717" t="str">
        <f t="shared" si="23"/>
        <v>Monday</v>
      </c>
    </row>
    <row r="718" spans="1:15" x14ac:dyDescent="0.3">
      <c r="A718" t="s">
        <v>2090</v>
      </c>
      <c r="B718" t="s">
        <v>1570</v>
      </c>
      <c r="C718" s="1">
        <v>46203.416666666657</v>
      </c>
      <c r="D718" t="s">
        <v>15</v>
      </c>
      <c r="E718" t="s">
        <v>16</v>
      </c>
      <c r="F718" t="s">
        <v>50</v>
      </c>
      <c r="G718" t="s">
        <v>191</v>
      </c>
      <c r="H718" t="s">
        <v>192</v>
      </c>
      <c r="I718" t="s">
        <v>45</v>
      </c>
      <c r="J718" t="s">
        <v>2091</v>
      </c>
      <c r="K718" t="s">
        <v>47</v>
      </c>
      <c r="L718" s="1">
        <v>46203</v>
      </c>
      <c r="M718" t="s">
        <v>1809</v>
      </c>
      <c r="N718">
        <f t="shared" si="22"/>
        <v>2026</v>
      </c>
      <c r="O718" t="str">
        <f t="shared" si="23"/>
        <v>Tuesday</v>
      </c>
    </row>
    <row r="719" spans="1:15" x14ac:dyDescent="0.3">
      <c r="A719" t="s">
        <v>2092</v>
      </c>
      <c r="B719" t="s">
        <v>2093</v>
      </c>
      <c r="C719" s="1">
        <v>46203.416666666657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 t="s">
        <v>20</v>
      </c>
      <c r="J719" t="s">
        <v>2094</v>
      </c>
      <c r="K719" t="s">
        <v>47</v>
      </c>
      <c r="L719" s="1">
        <v>46203</v>
      </c>
      <c r="M719" t="s">
        <v>1809</v>
      </c>
      <c r="N719">
        <f t="shared" si="22"/>
        <v>2026</v>
      </c>
      <c r="O719" t="str">
        <f t="shared" si="23"/>
        <v>Tuesday</v>
      </c>
    </row>
    <row r="720" spans="1:15" x14ac:dyDescent="0.3">
      <c r="A720" t="s">
        <v>2095</v>
      </c>
      <c r="B720" t="s">
        <v>2096</v>
      </c>
      <c r="C720" s="1">
        <v>46203.75</v>
      </c>
      <c r="D720" t="s">
        <v>15</v>
      </c>
      <c r="E720" t="s">
        <v>26</v>
      </c>
      <c r="F720" t="s">
        <v>17</v>
      </c>
      <c r="G720" t="s">
        <v>126</v>
      </c>
      <c r="H720" t="s">
        <v>127</v>
      </c>
      <c r="I720" t="s">
        <v>45</v>
      </c>
      <c r="J720" t="s">
        <v>2097</v>
      </c>
      <c r="K720" t="s">
        <v>74</v>
      </c>
      <c r="L720" s="1">
        <v>46203</v>
      </c>
      <c r="M720" t="s">
        <v>1809</v>
      </c>
      <c r="N720">
        <f t="shared" si="22"/>
        <v>2026</v>
      </c>
      <c r="O720" t="str">
        <f t="shared" si="23"/>
        <v>Tuesday</v>
      </c>
    </row>
    <row r="721" spans="1:15" x14ac:dyDescent="0.3">
      <c r="A721" t="s">
        <v>2098</v>
      </c>
      <c r="B721" t="s">
        <v>1096</v>
      </c>
      <c r="C721" s="1">
        <v>46203.791666666657</v>
      </c>
      <c r="D721" t="s">
        <v>15</v>
      </c>
      <c r="E721" t="s">
        <v>26</v>
      </c>
      <c r="F721" t="s">
        <v>17</v>
      </c>
      <c r="G721" t="s">
        <v>165</v>
      </c>
      <c r="H721" t="s">
        <v>166</v>
      </c>
      <c r="I721" t="s">
        <v>29</v>
      </c>
      <c r="J721" t="s">
        <v>2099</v>
      </c>
      <c r="K721" t="s">
        <v>47</v>
      </c>
      <c r="L721" s="1">
        <v>46203</v>
      </c>
      <c r="M721" t="s">
        <v>1809</v>
      </c>
      <c r="N721">
        <f t="shared" si="22"/>
        <v>2026</v>
      </c>
      <c r="O721" t="str">
        <f t="shared" si="23"/>
        <v>Tuesday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01"/>
  <sheetViews>
    <sheetView tabSelected="1" workbookViewId="0">
      <pane ySplit="1" topLeftCell="A2" activePane="bottomLeft" state="frozen"/>
      <selection pane="bottomLeft" sqref="A1:Q2501"/>
    </sheetView>
  </sheetViews>
  <sheetFormatPr defaultRowHeight="14.4" x14ac:dyDescent="0.3"/>
  <cols>
    <col min="1" max="1" width="12" customWidth="1"/>
    <col min="2" max="2" width="20.21875" customWidth="1"/>
    <col min="3" max="3" width="21" style="1" customWidth="1"/>
    <col min="4" max="4" width="16" customWidth="1"/>
    <col min="5" max="5" width="13.109375" customWidth="1"/>
    <col min="6" max="6" width="12" customWidth="1"/>
    <col min="7" max="7" width="12.109375" customWidth="1"/>
    <col min="8" max="8" width="21" customWidth="1"/>
    <col min="9" max="9" width="24" customWidth="1"/>
    <col min="10" max="13" width="12" customWidth="1"/>
    <col min="14" max="14" width="15.109375" customWidth="1"/>
    <col min="15" max="15" width="13.5546875" customWidth="1"/>
    <col min="16" max="16" width="13" customWidth="1"/>
    <col min="17" max="17" width="14.109375" customWidth="1"/>
  </cols>
  <sheetData>
    <row r="1" spans="1:17" x14ac:dyDescent="0.3">
      <c r="A1" s="3" t="s">
        <v>9</v>
      </c>
      <c r="B1" s="3" t="s">
        <v>1</v>
      </c>
      <c r="C1" s="4" t="s">
        <v>2100</v>
      </c>
      <c r="D1" s="3" t="s">
        <v>4</v>
      </c>
      <c r="E1" s="3" t="s">
        <v>5</v>
      </c>
      <c r="F1" s="3" t="s">
        <v>10</v>
      </c>
      <c r="G1" s="3" t="s">
        <v>6</v>
      </c>
      <c r="H1" s="3" t="s">
        <v>7</v>
      </c>
      <c r="I1" s="3" t="s">
        <v>8</v>
      </c>
      <c r="J1" s="3" t="s">
        <v>2101</v>
      </c>
      <c r="K1" s="3" t="s">
        <v>2102</v>
      </c>
      <c r="L1" s="3" t="s">
        <v>2103</v>
      </c>
      <c r="M1" s="3" t="s">
        <v>2104</v>
      </c>
      <c r="N1" s="3" t="s">
        <v>2105</v>
      </c>
      <c r="O1" s="3" t="s">
        <v>2106</v>
      </c>
      <c r="P1" s="3" t="s">
        <v>2107</v>
      </c>
      <c r="Q1" s="3" t="s">
        <v>2108</v>
      </c>
    </row>
    <row r="2" spans="1:17" x14ac:dyDescent="0.3">
      <c r="A2" t="s">
        <v>2109</v>
      </c>
      <c r="B2" t="s">
        <v>2110</v>
      </c>
      <c r="C2" s="1">
        <v>46182</v>
      </c>
      <c r="D2" t="s">
        <v>16</v>
      </c>
      <c r="E2" t="s">
        <v>17</v>
      </c>
      <c r="F2" t="s">
        <v>74</v>
      </c>
      <c r="G2" t="s">
        <v>149</v>
      </c>
      <c r="H2" t="s">
        <v>150</v>
      </c>
      <c r="I2" t="s">
        <v>37</v>
      </c>
      <c r="J2">
        <v>2999</v>
      </c>
      <c r="K2">
        <v>2</v>
      </c>
      <c r="L2">
        <v>2778.4</v>
      </c>
      <c r="M2">
        <v>1111.3599999999999</v>
      </c>
      <c r="N2">
        <v>5556.8</v>
      </c>
      <c r="O2">
        <v>4445.4399999999996</v>
      </c>
      <c r="P2" t="s">
        <v>2111</v>
      </c>
      <c r="Q2" t="s">
        <v>1809</v>
      </c>
    </row>
    <row r="3" spans="1:17" x14ac:dyDescent="0.3">
      <c r="A3" t="s">
        <v>2112</v>
      </c>
      <c r="B3" t="s">
        <v>2113</v>
      </c>
      <c r="C3" s="1">
        <v>46178</v>
      </c>
      <c r="D3" t="s">
        <v>16</v>
      </c>
      <c r="E3" t="s">
        <v>17</v>
      </c>
      <c r="F3" t="s">
        <v>31</v>
      </c>
      <c r="G3" t="s">
        <v>126</v>
      </c>
      <c r="H3" t="s">
        <v>127</v>
      </c>
      <c r="I3" t="s">
        <v>45</v>
      </c>
      <c r="J3">
        <v>2499</v>
      </c>
      <c r="K3">
        <v>1</v>
      </c>
      <c r="L3">
        <v>2605.91</v>
      </c>
      <c r="M3">
        <v>260.58999999999997</v>
      </c>
      <c r="N3">
        <v>2605.91</v>
      </c>
      <c r="O3">
        <v>2345.3200000000002</v>
      </c>
      <c r="P3" t="s">
        <v>2114</v>
      </c>
      <c r="Q3" t="s">
        <v>1809</v>
      </c>
    </row>
    <row r="4" spans="1:17" x14ac:dyDescent="0.3">
      <c r="A4" t="s">
        <v>906</v>
      </c>
      <c r="B4" t="s">
        <v>905</v>
      </c>
      <c r="C4" s="1">
        <v>46090</v>
      </c>
      <c r="D4" t="s">
        <v>26</v>
      </c>
      <c r="E4" t="s">
        <v>17</v>
      </c>
      <c r="F4" t="s">
        <v>31</v>
      </c>
      <c r="G4" t="s">
        <v>191</v>
      </c>
      <c r="H4" t="s">
        <v>192</v>
      </c>
      <c r="I4" t="s">
        <v>45</v>
      </c>
      <c r="J4">
        <v>699</v>
      </c>
      <c r="K4">
        <v>1</v>
      </c>
      <c r="L4">
        <v>689.97</v>
      </c>
      <c r="M4">
        <v>0</v>
      </c>
      <c r="N4">
        <v>689.97</v>
      </c>
      <c r="O4">
        <v>689.97</v>
      </c>
      <c r="P4" t="s">
        <v>2111</v>
      </c>
      <c r="Q4" t="s">
        <v>789</v>
      </c>
    </row>
    <row r="5" spans="1:17" x14ac:dyDescent="0.3">
      <c r="A5" t="s">
        <v>2115</v>
      </c>
      <c r="B5" t="s">
        <v>2116</v>
      </c>
      <c r="C5" s="1">
        <v>46121</v>
      </c>
      <c r="D5" t="s">
        <v>34</v>
      </c>
      <c r="E5" t="s">
        <v>17</v>
      </c>
      <c r="F5" t="s">
        <v>47</v>
      </c>
      <c r="G5" t="s">
        <v>27</v>
      </c>
      <c r="H5" t="s">
        <v>28</v>
      </c>
      <c r="I5" t="s">
        <v>29</v>
      </c>
      <c r="J5">
        <v>1599</v>
      </c>
      <c r="K5">
        <v>1</v>
      </c>
      <c r="L5">
        <v>1533.33</v>
      </c>
      <c r="M5">
        <v>306.67</v>
      </c>
      <c r="N5">
        <v>1533.33</v>
      </c>
      <c r="O5">
        <v>1226.6600000000001</v>
      </c>
      <c r="P5" t="s">
        <v>2111</v>
      </c>
      <c r="Q5" t="s">
        <v>1170</v>
      </c>
    </row>
    <row r="6" spans="1:17" x14ac:dyDescent="0.3">
      <c r="A6" t="s">
        <v>2117</v>
      </c>
      <c r="B6" t="s">
        <v>2118</v>
      </c>
      <c r="C6" s="1">
        <v>46115</v>
      </c>
      <c r="D6" t="s">
        <v>16</v>
      </c>
      <c r="E6" t="s">
        <v>17</v>
      </c>
      <c r="F6" t="s">
        <v>47</v>
      </c>
      <c r="G6" t="s">
        <v>160</v>
      </c>
      <c r="H6" t="s">
        <v>161</v>
      </c>
      <c r="I6" t="s">
        <v>82</v>
      </c>
      <c r="J6">
        <v>799</v>
      </c>
      <c r="K6">
        <v>2</v>
      </c>
      <c r="L6">
        <v>727.09</v>
      </c>
      <c r="M6">
        <v>218.13</v>
      </c>
      <c r="N6">
        <v>1454.18</v>
      </c>
      <c r="O6">
        <v>1236.05</v>
      </c>
      <c r="P6" t="s">
        <v>2111</v>
      </c>
      <c r="Q6" t="s">
        <v>1170</v>
      </c>
    </row>
    <row r="7" spans="1:17" x14ac:dyDescent="0.3">
      <c r="A7" t="s">
        <v>2119</v>
      </c>
      <c r="B7" t="s">
        <v>2120</v>
      </c>
      <c r="C7" s="1">
        <v>46070</v>
      </c>
      <c r="D7" t="s">
        <v>16</v>
      </c>
      <c r="E7" t="s">
        <v>50</v>
      </c>
      <c r="F7" t="s">
        <v>22</v>
      </c>
      <c r="G7" t="s">
        <v>191</v>
      </c>
      <c r="H7" t="s">
        <v>192</v>
      </c>
      <c r="I7" t="s">
        <v>45</v>
      </c>
      <c r="J7">
        <v>699</v>
      </c>
      <c r="K7">
        <v>2</v>
      </c>
      <c r="L7">
        <v>697.22</v>
      </c>
      <c r="M7">
        <v>209.17</v>
      </c>
      <c r="N7">
        <v>1394.44</v>
      </c>
      <c r="O7">
        <v>1185.27</v>
      </c>
      <c r="P7" t="s">
        <v>2111</v>
      </c>
      <c r="Q7" t="s">
        <v>498</v>
      </c>
    </row>
    <row r="8" spans="1:17" x14ac:dyDescent="0.3">
      <c r="A8" t="s">
        <v>2091</v>
      </c>
      <c r="B8" t="s">
        <v>1570</v>
      </c>
      <c r="C8" s="1">
        <v>46203</v>
      </c>
      <c r="D8" t="s">
        <v>34</v>
      </c>
      <c r="E8" t="s">
        <v>50</v>
      </c>
      <c r="F8" t="s">
        <v>74</v>
      </c>
      <c r="G8" t="s">
        <v>43</v>
      </c>
      <c r="H8" t="s">
        <v>44</v>
      </c>
      <c r="I8" t="s">
        <v>45</v>
      </c>
      <c r="J8">
        <v>3299</v>
      </c>
      <c r="K8">
        <v>1</v>
      </c>
      <c r="L8">
        <v>3203.62</v>
      </c>
      <c r="M8">
        <v>480.54</v>
      </c>
      <c r="N8">
        <v>3203.62</v>
      </c>
      <c r="O8">
        <v>2723.08</v>
      </c>
      <c r="P8" t="s">
        <v>2111</v>
      </c>
      <c r="Q8" t="s">
        <v>1809</v>
      </c>
    </row>
    <row r="9" spans="1:17" x14ac:dyDescent="0.3">
      <c r="A9" t="s">
        <v>1242</v>
      </c>
      <c r="B9" t="s">
        <v>213</v>
      </c>
      <c r="C9" s="1">
        <v>46121</v>
      </c>
      <c r="D9" t="s">
        <v>41</v>
      </c>
      <c r="E9" t="s">
        <v>17</v>
      </c>
      <c r="F9" t="s">
        <v>74</v>
      </c>
      <c r="G9" t="s">
        <v>18</v>
      </c>
      <c r="H9" t="s">
        <v>19</v>
      </c>
      <c r="I9" t="s">
        <v>20</v>
      </c>
      <c r="J9">
        <v>2799</v>
      </c>
      <c r="K9">
        <v>2</v>
      </c>
      <c r="L9">
        <v>2659.9</v>
      </c>
      <c r="M9">
        <v>265.99</v>
      </c>
      <c r="N9">
        <v>5319.8</v>
      </c>
      <c r="O9">
        <v>5053.8100000000004</v>
      </c>
      <c r="P9" t="s">
        <v>2111</v>
      </c>
      <c r="Q9" t="s">
        <v>1170</v>
      </c>
    </row>
    <row r="10" spans="1:17" x14ac:dyDescent="0.3">
      <c r="A10" t="s">
        <v>1995</v>
      </c>
      <c r="B10" t="s">
        <v>1236</v>
      </c>
      <c r="C10" s="1">
        <v>46193</v>
      </c>
      <c r="D10" t="s">
        <v>34</v>
      </c>
      <c r="E10" t="s">
        <v>17</v>
      </c>
      <c r="F10" t="s">
        <v>74</v>
      </c>
      <c r="G10" t="s">
        <v>126</v>
      </c>
      <c r="H10" t="s">
        <v>127</v>
      </c>
      <c r="I10" t="s">
        <v>45</v>
      </c>
      <c r="J10">
        <v>2499</v>
      </c>
      <c r="K10">
        <v>1</v>
      </c>
      <c r="L10">
        <v>2596.3000000000002</v>
      </c>
      <c r="M10">
        <v>129.82</v>
      </c>
      <c r="N10">
        <v>2596.3000000000002</v>
      </c>
      <c r="O10">
        <v>2466.48</v>
      </c>
      <c r="P10" t="s">
        <v>2111</v>
      </c>
      <c r="Q10" t="s">
        <v>1809</v>
      </c>
    </row>
    <row r="11" spans="1:17" x14ac:dyDescent="0.3">
      <c r="A11" t="s">
        <v>2121</v>
      </c>
      <c r="B11" t="s">
        <v>2122</v>
      </c>
      <c r="C11" s="1">
        <v>46143</v>
      </c>
      <c r="D11" t="s">
        <v>16</v>
      </c>
      <c r="E11" t="s">
        <v>17</v>
      </c>
      <c r="F11" t="s">
        <v>74</v>
      </c>
      <c r="G11" t="s">
        <v>91</v>
      </c>
      <c r="H11" t="s">
        <v>92</v>
      </c>
      <c r="I11" t="s">
        <v>37</v>
      </c>
      <c r="J11">
        <v>1899</v>
      </c>
      <c r="K11">
        <v>1</v>
      </c>
      <c r="L11">
        <v>2001.35</v>
      </c>
      <c r="M11">
        <v>300.2</v>
      </c>
      <c r="N11">
        <v>2001.35</v>
      </c>
      <c r="O11">
        <v>1701.15</v>
      </c>
      <c r="P11" t="s">
        <v>2111</v>
      </c>
      <c r="Q11" t="s">
        <v>1479</v>
      </c>
    </row>
    <row r="12" spans="1:17" x14ac:dyDescent="0.3">
      <c r="A12" t="s">
        <v>454</v>
      </c>
      <c r="B12" t="s">
        <v>85</v>
      </c>
      <c r="C12" s="1">
        <v>46049</v>
      </c>
      <c r="D12" t="s">
        <v>63</v>
      </c>
      <c r="E12" t="s">
        <v>50</v>
      </c>
      <c r="F12" t="s">
        <v>31</v>
      </c>
      <c r="G12" t="s">
        <v>112</v>
      </c>
      <c r="H12" t="s">
        <v>113</v>
      </c>
      <c r="I12" t="s">
        <v>37</v>
      </c>
      <c r="J12">
        <v>1499</v>
      </c>
      <c r="K12">
        <v>2</v>
      </c>
      <c r="L12">
        <v>1422.49</v>
      </c>
      <c r="M12">
        <v>142.25</v>
      </c>
      <c r="N12">
        <v>2844.98</v>
      </c>
      <c r="O12">
        <v>2702.73</v>
      </c>
      <c r="P12" t="s">
        <v>2114</v>
      </c>
      <c r="Q12" t="s">
        <v>23</v>
      </c>
    </row>
    <row r="13" spans="1:17" x14ac:dyDescent="0.3">
      <c r="A13" t="s">
        <v>2123</v>
      </c>
      <c r="B13" t="s">
        <v>2124</v>
      </c>
      <c r="C13" s="1">
        <v>46114</v>
      </c>
      <c r="D13" t="s">
        <v>41</v>
      </c>
      <c r="E13" t="s">
        <v>17</v>
      </c>
      <c r="F13" t="s">
        <v>74</v>
      </c>
      <c r="G13" t="s">
        <v>96</v>
      </c>
      <c r="H13" t="s">
        <v>97</v>
      </c>
      <c r="I13" t="s">
        <v>58</v>
      </c>
      <c r="J13">
        <v>7499</v>
      </c>
      <c r="K13">
        <v>2</v>
      </c>
      <c r="L13">
        <v>6823.26</v>
      </c>
      <c r="M13">
        <v>1364.65</v>
      </c>
      <c r="N13">
        <v>13646.52</v>
      </c>
      <c r="O13">
        <v>12281.87</v>
      </c>
      <c r="P13" t="s">
        <v>2111</v>
      </c>
      <c r="Q13" t="s">
        <v>1170</v>
      </c>
    </row>
    <row r="14" spans="1:17" x14ac:dyDescent="0.3">
      <c r="A14" t="s">
        <v>1997</v>
      </c>
      <c r="B14" t="s">
        <v>1680</v>
      </c>
      <c r="C14" s="1">
        <v>46194</v>
      </c>
      <c r="D14" t="s">
        <v>26</v>
      </c>
      <c r="E14" t="s">
        <v>42</v>
      </c>
      <c r="F14" t="s">
        <v>74</v>
      </c>
      <c r="G14" t="s">
        <v>101</v>
      </c>
      <c r="H14" t="s">
        <v>102</v>
      </c>
      <c r="I14" t="s">
        <v>45</v>
      </c>
      <c r="J14">
        <v>4999</v>
      </c>
      <c r="K14">
        <v>4</v>
      </c>
      <c r="L14">
        <v>5347.68</v>
      </c>
      <c r="M14">
        <v>3208.61</v>
      </c>
      <c r="N14">
        <v>21390.720000000001</v>
      </c>
      <c r="O14">
        <v>18182.11</v>
      </c>
      <c r="P14" t="s">
        <v>2114</v>
      </c>
      <c r="Q14" t="s">
        <v>1809</v>
      </c>
    </row>
    <row r="15" spans="1:17" x14ac:dyDescent="0.3">
      <c r="A15" t="s">
        <v>895</v>
      </c>
      <c r="B15" t="s">
        <v>894</v>
      </c>
      <c r="C15" s="1">
        <v>46089</v>
      </c>
      <c r="D15" t="s">
        <v>26</v>
      </c>
      <c r="E15" t="s">
        <v>50</v>
      </c>
      <c r="F15" t="s">
        <v>74</v>
      </c>
      <c r="G15" t="s">
        <v>165</v>
      </c>
      <c r="H15" t="s">
        <v>166</v>
      </c>
      <c r="I15" t="s">
        <v>29</v>
      </c>
      <c r="J15">
        <v>449</v>
      </c>
      <c r="K15">
        <v>1</v>
      </c>
      <c r="L15">
        <v>404.99</v>
      </c>
      <c r="M15">
        <v>60.75</v>
      </c>
      <c r="N15">
        <v>404.99</v>
      </c>
      <c r="O15">
        <v>344.24</v>
      </c>
      <c r="P15" t="s">
        <v>2114</v>
      </c>
      <c r="Q15" t="s">
        <v>789</v>
      </c>
    </row>
    <row r="16" spans="1:17" x14ac:dyDescent="0.3">
      <c r="A16" t="s">
        <v>2125</v>
      </c>
      <c r="B16" t="s">
        <v>2126</v>
      </c>
      <c r="C16" s="1">
        <v>46098</v>
      </c>
      <c r="D16" t="s">
        <v>16</v>
      </c>
      <c r="E16" t="s">
        <v>17</v>
      </c>
      <c r="F16" t="s">
        <v>22</v>
      </c>
      <c r="G16" t="s">
        <v>43</v>
      </c>
      <c r="H16" t="s">
        <v>44</v>
      </c>
      <c r="I16" t="s">
        <v>45</v>
      </c>
      <c r="J16">
        <v>3299</v>
      </c>
      <c r="K16">
        <v>2</v>
      </c>
      <c r="L16">
        <v>3587.41</v>
      </c>
      <c r="M16">
        <v>717.48</v>
      </c>
      <c r="N16">
        <v>7174.82</v>
      </c>
      <c r="O16">
        <v>6457.34</v>
      </c>
      <c r="P16" t="s">
        <v>2111</v>
      </c>
      <c r="Q16" t="s">
        <v>789</v>
      </c>
    </row>
    <row r="17" spans="1:17" x14ac:dyDescent="0.3">
      <c r="A17" t="s">
        <v>1523</v>
      </c>
      <c r="B17" t="s">
        <v>1522</v>
      </c>
      <c r="C17" s="1">
        <v>46146</v>
      </c>
      <c r="D17" t="s">
        <v>16</v>
      </c>
      <c r="E17" t="s">
        <v>50</v>
      </c>
      <c r="F17" t="s">
        <v>74</v>
      </c>
      <c r="G17" t="s">
        <v>96</v>
      </c>
      <c r="H17" t="s">
        <v>97</v>
      </c>
      <c r="I17" t="s">
        <v>58</v>
      </c>
      <c r="J17">
        <v>7499</v>
      </c>
      <c r="K17">
        <v>1</v>
      </c>
      <c r="L17">
        <v>7690.4</v>
      </c>
      <c r="M17">
        <v>1153.56</v>
      </c>
      <c r="N17">
        <v>7690.4</v>
      </c>
      <c r="O17">
        <v>6536.84</v>
      </c>
      <c r="P17" t="s">
        <v>2111</v>
      </c>
      <c r="Q17" t="s">
        <v>1479</v>
      </c>
    </row>
    <row r="18" spans="1:17" x14ac:dyDescent="0.3">
      <c r="A18" t="s">
        <v>1283</v>
      </c>
      <c r="B18" t="s">
        <v>1282</v>
      </c>
      <c r="C18" s="1">
        <v>46125</v>
      </c>
      <c r="D18" t="s">
        <v>41</v>
      </c>
      <c r="E18" t="s">
        <v>50</v>
      </c>
      <c r="F18" t="s">
        <v>22</v>
      </c>
      <c r="G18" t="s">
        <v>43</v>
      </c>
      <c r="H18" t="s">
        <v>44</v>
      </c>
      <c r="I18" t="s">
        <v>45</v>
      </c>
      <c r="J18">
        <v>3299</v>
      </c>
      <c r="K18">
        <v>3</v>
      </c>
      <c r="L18">
        <v>3181.45</v>
      </c>
      <c r="M18">
        <v>1908.87</v>
      </c>
      <c r="N18">
        <v>9544.35</v>
      </c>
      <c r="O18">
        <v>7635.48</v>
      </c>
      <c r="P18" t="s">
        <v>2111</v>
      </c>
      <c r="Q18" t="s">
        <v>1170</v>
      </c>
    </row>
    <row r="19" spans="1:17" x14ac:dyDescent="0.3">
      <c r="A19" t="s">
        <v>2127</v>
      </c>
      <c r="B19" t="s">
        <v>2128</v>
      </c>
      <c r="C19" s="1">
        <v>46124</v>
      </c>
      <c r="D19" t="s">
        <v>34</v>
      </c>
      <c r="E19" t="s">
        <v>17</v>
      </c>
      <c r="F19" t="s">
        <v>47</v>
      </c>
      <c r="G19" t="s">
        <v>91</v>
      </c>
      <c r="H19" t="s">
        <v>92</v>
      </c>
      <c r="I19" t="s">
        <v>37</v>
      </c>
      <c r="J19">
        <v>1899</v>
      </c>
      <c r="K19">
        <v>1</v>
      </c>
      <c r="L19">
        <v>1802.71</v>
      </c>
      <c r="M19">
        <v>270.41000000000003</v>
      </c>
      <c r="N19">
        <v>1802.71</v>
      </c>
      <c r="O19">
        <v>1532.3</v>
      </c>
      <c r="P19" t="s">
        <v>2114</v>
      </c>
      <c r="Q19" t="s">
        <v>1170</v>
      </c>
    </row>
    <row r="20" spans="1:17" x14ac:dyDescent="0.3">
      <c r="A20" t="s">
        <v>2129</v>
      </c>
      <c r="B20" t="s">
        <v>2130</v>
      </c>
      <c r="C20" s="1">
        <v>46201</v>
      </c>
      <c r="D20" t="s">
        <v>34</v>
      </c>
      <c r="E20" t="s">
        <v>17</v>
      </c>
      <c r="F20" t="s">
        <v>22</v>
      </c>
      <c r="G20" t="s">
        <v>149</v>
      </c>
      <c r="H20" t="s">
        <v>150</v>
      </c>
      <c r="I20" t="s">
        <v>37</v>
      </c>
      <c r="J20">
        <v>2999</v>
      </c>
      <c r="K20">
        <v>2</v>
      </c>
      <c r="L20">
        <v>2704.5</v>
      </c>
      <c r="M20">
        <v>270.45</v>
      </c>
      <c r="N20">
        <v>5409</v>
      </c>
      <c r="O20">
        <v>5138.55</v>
      </c>
      <c r="P20" t="s">
        <v>2111</v>
      </c>
      <c r="Q20" t="s">
        <v>1809</v>
      </c>
    </row>
    <row r="21" spans="1:17" x14ac:dyDescent="0.3">
      <c r="A21" t="s">
        <v>2131</v>
      </c>
      <c r="B21" t="s">
        <v>90</v>
      </c>
      <c r="C21" s="1">
        <v>46073</v>
      </c>
      <c r="D21" t="s">
        <v>34</v>
      </c>
      <c r="E21" t="s">
        <v>17</v>
      </c>
      <c r="F21" t="s">
        <v>60</v>
      </c>
      <c r="G21" t="s">
        <v>149</v>
      </c>
      <c r="H21" t="s">
        <v>150</v>
      </c>
      <c r="I21" t="s">
        <v>37</v>
      </c>
      <c r="J21">
        <v>2999</v>
      </c>
      <c r="K21">
        <v>1</v>
      </c>
      <c r="L21">
        <v>2840.34</v>
      </c>
      <c r="M21">
        <v>142.02000000000001</v>
      </c>
      <c r="N21">
        <v>2840.34</v>
      </c>
      <c r="O21">
        <v>2698.32</v>
      </c>
      <c r="P21" t="s">
        <v>2111</v>
      </c>
      <c r="Q21" t="s">
        <v>498</v>
      </c>
    </row>
    <row r="22" spans="1:17" x14ac:dyDescent="0.3">
      <c r="A22" t="s">
        <v>2132</v>
      </c>
      <c r="B22" t="s">
        <v>2133</v>
      </c>
      <c r="C22" s="1">
        <v>46052</v>
      </c>
      <c r="D22" t="s">
        <v>26</v>
      </c>
      <c r="E22" t="s">
        <v>42</v>
      </c>
      <c r="F22" t="s">
        <v>60</v>
      </c>
      <c r="G22" t="s">
        <v>27</v>
      </c>
      <c r="H22" t="s">
        <v>28</v>
      </c>
      <c r="I22" t="s">
        <v>29</v>
      </c>
      <c r="J22">
        <v>1599</v>
      </c>
      <c r="K22">
        <v>1</v>
      </c>
      <c r="L22">
        <v>1483.15</v>
      </c>
      <c r="M22">
        <v>74.16</v>
      </c>
      <c r="N22">
        <v>1483.15</v>
      </c>
      <c r="O22">
        <v>1408.99</v>
      </c>
      <c r="P22" t="s">
        <v>2111</v>
      </c>
      <c r="Q22" t="s">
        <v>23</v>
      </c>
    </row>
    <row r="23" spans="1:17" x14ac:dyDescent="0.3">
      <c r="A23" t="s">
        <v>1094</v>
      </c>
      <c r="B23" t="s">
        <v>1093</v>
      </c>
      <c r="C23" s="1">
        <v>46105</v>
      </c>
      <c r="D23" t="s">
        <v>63</v>
      </c>
      <c r="E23" t="s">
        <v>17</v>
      </c>
      <c r="F23" t="s">
        <v>47</v>
      </c>
      <c r="G23" t="s">
        <v>56</v>
      </c>
      <c r="H23" t="s">
        <v>57</v>
      </c>
      <c r="I23" t="s">
        <v>58</v>
      </c>
      <c r="J23">
        <v>8999</v>
      </c>
      <c r="K23">
        <v>1</v>
      </c>
      <c r="L23">
        <v>9200.8799999999992</v>
      </c>
      <c r="M23">
        <v>0</v>
      </c>
      <c r="N23">
        <v>9200.8799999999992</v>
      </c>
      <c r="O23">
        <v>9200.8799999999992</v>
      </c>
      <c r="P23" t="s">
        <v>2111</v>
      </c>
      <c r="Q23" t="s">
        <v>789</v>
      </c>
    </row>
    <row r="24" spans="1:17" x14ac:dyDescent="0.3">
      <c r="A24" t="s">
        <v>771</v>
      </c>
      <c r="B24" t="s">
        <v>770</v>
      </c>
      <c r="C24" s="1">
        <v>46080</v>
      </c>
      <c r="D24" t="s">
        <v>26</v>
      </c>
      <c r="E24" t="s">
        <v>50</v>
      </c>
      <c r="F24" t="s">
        <v>31</v>
      </c>
      <c r="G24" t="s">
        <v>165</v>
      </c>
      <c r="H24" t="s">
        <v>166</v>
      </c>
      <c r="I24" t="s">
        <v>29</v>
      </c>
      <c r="J24">
        <v>449</v>
      </c>
      <c r="K24">
        <v>1</v>
      </c>
      <c r="L24">
        <v>419.06</v>
      </c>
      <c r="M24">
        <v>20.95</v>
      </c>
      <c r="N24">
        <v>419.06</v>
      </c>
      <c r="O24">
        <v>398.11</v>
      </c>
      <c r="P24" t="s">
        <v>2114</v>
      </c>
      <c r="Q24" t="s">
        <v>498</v>
      </c>
    </row>
    <row r="25" spans="1:17" x14ac:dyDescent="0.3">
      <c r="A25" t="s">
        <v>303</v>
      </c>
      <c r="B25" t="s">
        <v>302</v>
      </c>
      <c r="C25" s="1">
        <v>46037</v>
      </c>
      <c r="D25" t="s">
        <v>63</v>
      </c>
      <c r="E25" t="s">
        <v>17</v>
      </c>
      <c r="F25" t="s">
        <v>22</v>
      </c>
      <c r="G25" t="s">
        <v>126</v>
      </c>
      <c r="H25" t="s">
        <v>127</v>
      </c>
      <c r="I25" t="s">
        <v>45</v>
      </c>
      <c r="J25">
        <v>2499</v>
      </c>
      <c r="K25">
        <v>1</v>
      </c>
      <c r="L25">
        <v>2513.31</v>
      </c>
      <c r="M25">
        <v>125.67</v>
      </c>
      <c r="N25">
        <v>2513.31</v>
      </c>
      <c r="O25">
        <v>2387.64</v>
      </c>
      <c r="P25" t="s">
        <v>2111</v>
      </c>
      <c r="Q25" t="s">
        <v>23</v>
      </c>
    </row>
    <row r="26" spans="1:17" x14ac:dyDescent="0.3">
      <c r="A26" t="s">
        <v>2134</v>
      </c>
      <c r="B26" t="s">
        <v>2135</v>
      </c>
      <c r="C26" s="1">
        <v>46170</v>
      </c>
      <c r="D26" t="s">
        <v>16</v>
      </c>
      <c r="E26" t="s">
        <v>17</v>
      </c>
      <c r="F26" t="s">
        <v>22</v>
      </c>
      <c r="G26" t="s">
        <v>250</v>
      </c>
      <c r="H26" t="s">
        <v>251</v>
      </c>
      <c r="I26" t="s">
        <v>108</v>
      </c>
      <c r="J26">
        <v>899</v>
      </c>
      <c r="K26">
        <v>3</v>
      </c>
      <c r="L26">
        <v>915.2</v>
      </c>
      <c r="M26">
        <v>274.56</v>
      </c>
      <c r="N26">
        <v>2745.6</v>
      </c>
      <c r="O26">
        <v>2471.04</v>
      </c>
      <c r="P26" t="s">
        <v>2111</v>
      </c>
      <c r="Q26" t="s">
        <v>1479</v>
      </c>
    </row>
    <row r="27" spans="1:17" x14ac:dyDescent="0.3">
      <c r="A27" t="s">
        <v>366</v>
      </c>
      <c r="B27" t="s">
        <v>365</v>
      </c>
      <c r="C27" s="1">
        <v>46042</v>
      </c>
      <c r="D27" t="s">
        <v>26</v>
      </c>
      <c r="E27" t="s">
        <v>17</v>
      </c>
      <c r="F27" t="s">
        <v>31</v>
      </c>
      <c r="G27" t="s">
        <v>27</v>
      </c>
      <c r="H27" t="s">
        <v>28</v>
      </c>
      <c r="I27" t="s">
        <v>29</v>
      </c>
      <c r="J27">
        <v>1599</v>
      </c>
      <c r="K27">
        <v>1</v>
      </c>
      <c r="L27">
        <v>1534.41</v>
      </c>
      <c r="M27">
        <v>306.88</v>
      </c>
      <c r="N27">
        <v>1534.41</v>
      </c>
      <c r="O27">
        <v>1227.53</v>
      </c>
      <c r="P27" t="s">
        <v>2111</v>
      </c>
      <c r="Q27" t="s">
        <v>23</v>
      </c>
    </row>
    <row r="28" spans="1:17" x14ac:dyDescent="0.3">
      <c r="A28" t="s">
        <v>375</v>
      </c>
      <c r="B28" t="s">
        <v>374</v>
      </c>
      <c r="C28" s="1">
        <v>46043</v>
      </c>
      <c r="D28" t="s">
        <v>16</v>
      </c>
      <c r="E28" t="s">
        <v>17</v>
      </c>
      <c r="F28" t="s">
        <v>60</v>
      </c>
      <c r="G28" t="s">
        <v>106</v>
      </c>
      <c r="H28" t="s">
        <v>107</v>
      </c>
      <c r="I28" t="s">
        <v>108</v>
      </c>
      <c r="J28">
        <v>599</v>
      </c>
      <c r="K28">
        <v>2</v>
      </c>
      <c r="L28">
        <v>543.29999999999995</v>
      </c>
      <c r="M28">
        <v>0</v>
      </c>
      <c r="N28">
        <v>1086.5999999999999</v>
      </c>
      <c r="O28">
        <v>1086.5999999999999</v>
      </c>
      <c r="P28" t="s">
        <v>2111</v>
      </c>
      <c r="Q28" t="s">
        <v>23</v>
      </c>
    </row>
    <row r="29" spans="1:17" x14ac:dyDescent="0.3">
      <c r="A29" t="s">
        <v>2136</v>
      </c>
      <c r="B29" t="s">
        <v>2137</v>
      </c>
      <c r="C29" s="1">
        <v>46106</v>
      </c>
      <c r="D29" t="s">
        <v>26</v>
      </c>
      <c r="E29" t="s">
        <v>17</v>
      </c>
      <c r="F29" t="s">
        <v>47</v>
      </c>
      <c r="G29" t="s">
        <v>43</v>
      </c>
      <c r="H29" t="s">
        <v>44</v>
      </c>
      <c r="I29" t="s">
        <v>45</v>
      </c>
      <c r="J29">
        <v>3299</v>
      </c>
      <c r="K29">
        <v>1</v>
      </c>
      <c r="L29">
        <v>2993.68</v>
      </c>
      <c r="M29">
        <v>449.05</v>
      </c>
      <c r="N29">
        <v>2993.68</v>
      </c>
      <c r="O29">
        <v>2544.63</v>
      </c>
      <c r="P29" t="s">
        <v>2114</v>
      </c>
      <c r="Q29" t="s">
        <v>789</v>
      </c>
    </row>
    <row r="30" spans="1:17" x14ac:dyDescent="0.3">
      <c r="A30" t="s">
        <v>2138</v>
      </c>
      <c r="B30" t="s">
        <v>2139</v>
      </c>
      <c r="C30" s="1">
        <v>46158</v>
      </c>
      <c r="D30" t="s">
        <v>41</v>
      </c>
      <c r="E30" t="s">
        <v>17</v>
      </c>
      <c r="F30" t="s">
        <v>47</v>
      </c>
      <c r="G30" t="s">
        <v>27</v>
      </c>
      <c r="H30" t="s">
        <v>28</v>
      </c>
      <c r="I30" t="s">
        <v>29</v>
      </c>
      <c r="J30">
        <v>1599</v>
      </c>
      <c r="K30">
        <v>1</v>
      </c>
      <c r="L30">
        <v>1447.53</v>
      </c>
      <c r="M30">
        <v>217.13</v>
      </c>
      <c r="N30">
        <v>1447.53</v>
      </c>
      <c r="O30">
        <v>1230.4000000000001</v>
      </c>
      <c r="P30" t="s">
        <v>2111</v>
      </c>
      <c r="Q30" t="s">
        <v>1479</v>
      </c>
    </row>
    <row r="31" spans="1:17" x14ac:dyDescent="0.3">
      <c r="A31" t="s">
        <v>2140</v>
      </c>
      <c r="B31" t="s">
        <v>1912</v>
      </c>
      <c r="C31" s="1">
        <v>46061</v>
      </c>
      <c r="D31" t="s">
        <v>34</v>
      </c>
      <c r="E31" t="s">
        <v>50</v>
      </c>
      <c r="F31" t="s">
        <v>47</v>
      </c>
      <c r="G31" t="s">
        <v>149</v>
      </c>
      <c r="H31" t="s">
        <v>150</v>
      </c>
      <c r="I31" t="s">
        <v>37</v>
      </c>
      <c r="J31">
        <v>2999</v>
      </c>
      <c r="K31">
        <v>1</v>
      </c>
      <c r="L31">
        <v>3142.43</v>
      </c>
      <c r="M31">
        <v>0</v>
      </c>
      <c r="N31">
        <v>3142.43</v>
      </c>
      <c r="O31">
        <v>3142.43</v>
      </c>
      <c r="P31" t="s">
        <v>2114</v>
      </c>
      <c r="Q31" t="s">
        <v>498</v>
      </c>
    </row>
    <row r="32" spans="1:17" x14ac:dyDescent="0.3">
      <c r="A32" t="s">
        <v>2019</v>
      </c>
      <c r="B32" t="s">
        <v>2018</v>
      </c>
      <c r="C32" s="1">
        <v>46196</v>
      </c>
      <c r="D32" t="s">
        <v>41</v>
      </c>
      <c r="E32" t="s">
        <v>17</v>
      </c>
      <c r="F32" t="s">
        <v>74</v>
      </c>
      <c r="G32" t="s">
        <v>106</v>
      </c>
      <c r="H32" t="s">
        <v>107</v>
      </c>
      <c r="I32" t="s">
        <v>108</v>
      </c>
      <c r="J32">
        <v>599</v>
      </c>
      <c r="K32">
        <v>1</v>
      </c>
      <c r="L32">
        <v>577.20000000000005</v>
      </c>
      <c r="M32">
        <v>115.44</v>
      </c>
      <c r="N32">
        <v>577.20000000000005</v>
      </c>
      <c r="O32">
        <v>461.76</v>
      </c>
      <c r="P32" t="s">
        <v>2111</v>
      </c>
      <c r="Q32" t="s">
        <v>1809</v>
      </c>
    </row>
    <row r="33" spans="1:17" x14ac:dyDescent="0.3">
      <c r="A33" t="s">
        <v>392</v>
      </c>
      <c r="B33" t="s">
        <v>391</v>
      </c>
      <c r="C33" s="1">
        <v>46044</v>
      </c>
      <c r="D33" t="s">
        <v>34</v>
      </c>
      <c r="E33" t="s">
        <v>42</v>
      </c>
      <c r="F33" t="s">
        <v>22</v>
      </c>
      <c r="G33" t="s">
        <v>80</v>
      </c>
      <c r="H33" t="s">
        <v>81</v>
      </c>
      <c r="I33" t="s">
        <v>82</v>
      </c>
      <c r="J33">
        <v>4299</v>
      </c>
      <c r="K33">
        <v>1</v>
      </c>
      <c r="L33">
        <v>4553.76</v>
      </c>
      <c r="M33">
        <v>455.38</v>
      </c>
      <c r="N33">
        <v>4553.76</v>
      </c>
      <c r="O33">
        <v>4098.38</v>
      </c>
      <c r="P33" t="s">
        <v>2111</v>
      </c>
      <c r="Q33" t="s">
        <v>23</v>
      </c>
    </row>
    <row r="34" spans="1:17" x14ac:dyDescent="0.3">
      <c r="A34" t="s">
        <v>2141</v>
      </c>
      <c r="B34" t="s">
        <v>2142</v>
      </c>
      <c r="C34" s="1">
        <v>46098</v>
      </c>
      <c r="D34" t="s">
        <v>16</v>
      </c>
      <c r="E34" t="s">
        <v>17</v>
      </c>
      <c r="F34" t="s">
        <v>31</v>
      </c>
      <c r="G34" t="s">
        <v>165</v>
      </c>
      <c r="H34" t="s">
        <v>166</v>
      </c>
      <c r="I34" t="s">
        <v>29</v>
      </c>
      <c r="J34">
        <v>449</v>
      </c>
      <c r="K34">
        <v>1</v>
      </c>
      <c r="L34">
        <v>442.87</v>
      </c>
      <c r="M34">
        <v>22.14</v>
      </c>
      <c r="N34">
        <v>442.87</v>
      </c>
      <c r="O34">
        <v>420.73</v>
      </c>
      <c r="P34" t="s">
        <v>2111</v>
      </c>
      <c r="Q34" t="s">
        <v>789</v>
      </c>
    </row>
    <row r="35" spans="1:17" x14ac:dyDescent="0.3">
      <c r="A35" t="s">
        <v>2143</v>
      </c>
      <c r="B35" t="s">
        <v>2144</v>
      </c>
      <c r="C35" s="1">
        <v>46066</v>
      </c>
      <c r="D35" t="s">
        <v>26</v>
      </c>
      <c r="E35" t="s">
        <v>50</v>
      </c>
      <c r="F35" t="s">
        <v>47</v>
      </c>
      <c r="G35" t="s">
        <v>355</v>
      </c>
      <c r="H35" t="s">
        <v>356</v>
      </c>
      <c r="I35" t="s">
        <v>82</v>
      </c>
      <c r="J35">
        <v>499</v>
      </c>
      <c r="K35">
        <v>1</v>
      </c>
      <c r="L35">
        <v>494.31</v>
      </c>
      <c r="M35">
        <v>74.150000000000006</v>
      </c>
      <c r="N35">
        <v>494.31</v>
      </c>
      <c r="O35">
        <v>420.16</v>
      </c>
      <c r="P35" t="s">
        <v>2114</v>
      </c>
      <c r="Q35" t="s">
        <v>498</v>
      </c>
    </row>
    <row r="36" spans="1:17" x14ac:dyDescent="0.3">
      <c r="A36" t="s">
        <v>2145</v>
      </c>
      <c r="B36" t="s">
        <v>322</v>
      </c>
      <c r="C36" s="1">
        <v>46136</v>
      </c>
      <c r="D36" t="s">
        <v>26</v>
      </c>
      <c r="E36" t="s">
        <v>50</v>
      </c>
      <c r="F36" t="s">
        <v>22</v>
      </c>
      <c r="G36" t="s">
        <v>126</v>
      </c>
      <c r="H36" t="s">
        <v>127</v>
      </c>
      <c r="I36" t="s">
        <v>45</v>
      </c>
      <c r="J36">
        <v>2499</v>
      </c>
      <c r="K36">
        <v>1</v>
      </c>
      <c r="L36">
        <v>2505.44</v>
      </c>
      <c r="M36">
        <v>125.27</v>
      </c>
      <c r="N36">
        <v>2505.44</v>
      </c>
      <c r="O36">
        <v>2380.17</v>
      </c>
      <c r="P36" t="s">
        <v>2114</v>
      </c>
      <c r="Q36" t="s">
        <v>1170</v>
      </c>
    </row>
    <row r="37" spans="1:17" x14ac:dyDescent="0.3">
      <c r="A37" t="s">
        <v>2146</v>
      </c>
      <c r="B37" t="s">
        <v>2147</v>
      </c>
      <c r="C37" s="1">
        <v>46084</v>
      </c>
      <c r="D37" t="s">
        <v>34</v>
      </c>
      <c r="E37" t="s">
        <v>17</v>
      </c>
      <c r="F37" t="s">
        <v>60</v>
      </c>
      <c r="G37" t="s">
        <v>91</v>
      </c>
      <c r="H37" t="s">
        <v>92</v>
      </c>
      <c r="I37" t="s">
        <v>37</v>
      </c>
      <c r="J37">
        <v>1899</v>
      </c>
      <c r="K37">
        <v>1</v>
      </c>
      <c r="L37">
        <v>1979.91</v>
      </c>
      <c r="M37">
        <v>296.99</v>
      </c>
      <c r="N37">
        <v>1979.91</v>
      </c>
      <c r="O37">
        <v>1682.92</v>
      </c>
      <c r="P37" t="s">
        <v>2111</v>
      </c>
      <c r="Q37" t="s">
        <v>789</v>
      </c>
    </row>
    <row r="38" spans="1:17" x14ac:dyDescent="0.3">
      <c r="A38" t="s">
        <v>608</v>
      </c>
      <c r="B38" t="s">
        <v>607</v>
      </c>
      <c r="C38" s="1">
        <v>46063</v>
      </c>
      <c r="D38" t="s">
        <v>16</v>
      </c>
      <c r="E38" t="s">
        <v>17</v>
      </c>
      <c r="F38" t="s">
        <v>47</v>
      </c>
      <c r="G38" t="s">
        <v>43</v>
      </c>
      <c r="H38" t="s">
        <v>44</v>
      </c>
      <c r="I38" t="s">
        <v>45</v>
      </c>
      <c r="J38">
        <v>3299</v>
      </c>
      <c r="K38">
        <v>1</v>
      </c>
      <c r="L38">
        <v>3149.56</v>
      </c>
      <c r="M38">
        <v>0</v>
      </c>
      <c r="N38">
        <v>3149.56</v>
      </c>
      <c r="O38">
        <v>3149.56</v>
      </c>
      <c r="P38" t="s">
        <v>2111</v>
      </c>
      <c r="Q38" t="s">
        <v>498</v>
      </c>
    </row>
    <row r="39" spans="1:17" x14ac:dyDescent="0.3">
      <c r="A39" t="s">
        <v>2148</v>
      </c>
      <c r="B39" t="s">
        <v>2149</v>
      </c>
      <c r="C39" s="1">
        <v>46174</v>
      </c>
      <c r="D39" t="s">
        <v>26</v>
      </c>
      <c r="E39" t="s">
        <v>17</v>
      </c>
      <c r="F39" t="s">
        <v>22</v>
      </c>
      <c r="G39" t="s">
        <v>106</v>
      </c>
      <c r="H39" t="s">
        <v>107</v>
      </c>
      <c r="I39" t="s">
        <v>108</v>
      </c>
      <c r="J39">
        <v>599</v>
      </c>
      <c r="K39">
        <v>1</v>
      </c>
      <c r="L39">
        <v>553.66999999999996</v>
      </c>
      <c r="M39">
        <v>110.73</v>
      </c>
      <c r="N39">
        <v>553.66999999999996</v>
      </c>
      <c r="O39">
        <v>442.94</v>
      </c>
      <c r="P39" t="s">
        <v>2111</v>
      </c>
      <c r="Q39" t="s">
        <v>1809</v>
      </c>
    </row>
    <row r="40" spans="1:17" x14ac:dyDescent="0.3">
      <c r="A40" t="s">
        <v>608</v>
      </c>
      <c r="B40" t="s">
        <v>607</v>
      </c>
      <c r="C40" s="1">
        <v>46063</v>
      </c>
      <c r="D40" t="s">
        <v>16</v>
      </c>
      <c r="E40" t="s">
        <v>17</v>
      </c>
      <c r="F40" t="s">
        <v>47</v>
      </c>
      <c r="G40" t="s">
        <v>96</v>
      </c>
      <c r="H40" t="s">
        <v>97</v>
      </c>
      <c r="I40" t="s">
        <v>58</v>
      </c>
      <c r="J40">
        <v>7499</v>
      </c>
      <c r="K40">
        <v>3</v>
      </c>
      <c r="L40">
        <v>7583.07</v>
      </c>
      <c r="M40">
        <v>2274.92</v>
      </c>
      <c r="N40">
        <v>22749.21</v>
      </c>
      <c r="O40">
        <v>20474.29</v>
      </c>
      <c r="P40" t="s">
        <v>2111</v>
      </c>
      <c r="Q40" t="s">
        <v>498</v>
      </c>
    </row>
    <row r="41" spans="1:17" x14ac:dyDescent="0.3">
      <c r="A41" t="s">
        <v>1344</v>
      </c>
      <c r="B41" t="s">
        <v>1343</v>
      </c>
      <c r="C41" s="1">
        <v>46131</v>
      </c>
      <c r="D41" t="s">
        <v>16</v>
      </c>
      <c r="E41" t="s">
        <v>17</v>
      </c>
      <c r="F41" t="s">
        <v>74</v>
      </c>
      <c r="G41" t="s">
        <v>27</v>
      </c>
      <c r="H41" t="s">
        <v>28</v>
      </c>
      <c r="I41" t="s">
        <v>29</v>
      </c>
      <c r="J41">
        <v>1599</v>
      </c>
      <c r="K41">
        <v>2</v>
      </c>
      <c r="L41">
        <v>1543.67</v>
      </c>
      <c r="M41">
        <v>463.1</v>
      </c>
      <c r="N41">
        <v>3087.34</v>
      </c>
      <c r="O41">
        <v>2624.24</v>
      </c>
      <c r="P41" t="s">
        <v>2111</v>
      </c>
      <c r="Q41" t="s">
        <v>1170</v>
      </c>
    </row>
    <row r="42" spans="1:17" x14ac:dyDescent="0.3">
      <c r="A42" t="s">
        <v>2150</v>
      </c>
      <c r="B42" t="s">
        <v>2151</v>
      </c>
      <c r="C42" s="1">
        <v>46145</v>
      </c>
      <c r="D42" t="s">
        <v>34</v>
      </c>
      <c r="E42" t="s">
        <v>17</v>
      </c>
      <c r="F42" t="s">
        <v>74</v>
      </c>
      <c r="G42" t="s">
        <v>355</v>
      </c>
      <c r="H42" t="s">
        <v>356</v>
      </c>
      <c r="I42" t="s">
        <v>82</v>
      </c>
      <c r="J42">
        <v>499</v>
      </c>
      <c r="K42">
        <v>2</v>
      </c>
      <c r="L42">
        <v>493.26</v>
      </c>
      <c r="M42">
        <v>49.33</v>
      </c>
      <c r="N42">
        <v>986.52</v>
      </c>
      <c r="O42">
        <v>937.19</v>
      </c>
      <c r="P42" t="s">
        <v>2111</v>
      </c>
      <c r="Q42" t="s">
        <v>1479</v>
      </c>
    </row>
    <row r="43" spans="1:17" x14ac:dyDescent="0.3">
      <c r="A43" t="s">
        <v>1271</v>
      </c>
      <c r="B43" t="s">
        <v>1270</v>
      </c>
      <c r="C43" s="1">
        <v>46124</v>
      </c>
      <c r="D43" t="s">
        <v>26</v>
      </c>
      <c r="E43" t="s">
        <v>17</v>
      </c>
      <c r="F43" t="s">
        <v>47</v>
      </c>
      <c r="G43" t="s">
        <v>250</v>
      </c>
      <c r="H43" t="s">
        <v>251</v>
      </c>
      <c r="I43" t="s">
        <v>108</v>
      </c>
      <c r="J43">
        <v>899</v>
      </c>
      <c r="K43">
        <v>1</v>
      </c>
      <c r="L43">
        <v>925.42</v>
      </c>
      <c r="M43">
        <v>138.81</v>
      </c>
      <c r="N43">
        <v>925.42</v>
      </c>
      <c r="O43">
        <v>786.61</v>
      </c>
      <c r="P43" t="s">
        <v>2114</v>
      </c>
      <c r="Q43" t="s">
        <v>1170</v>
      </c>
    </row>
    <row r="44" spans="1:17" x14ac:dyDescent="0.3">
      <c r="A44" t="s">
        <v>2152</v>
      </c>
      <c r="B44" t="s">
        <v>2153</v>
      </c>
      <c r="C44" s="1">
        <v>46138</v>
      </c>
      <c r="D44" t="s">
        <v>16</v>
      </c>
      <c r="E44" t="s">
        <v>17</v>
      </c>
      <c r="F44" t="s">
        <v>47</v>
      </c>
      <c r="G44" t="s">
        <v>80</v>
      </c>
      <c r="H44" t="s">
        <v>81</v>
      </c>
      <c r="I44" t="s">
        <v>82</v>
      </c>
      <c r="J44">
        <v>4299</v>
      </c>
      <c r="K44">
        <v>2</v>
      </c>
      <c r="L44">
        <v>4293.95</v>
      </c>
      <c r="M44">
        <v>1288.18</v>
      </c>
      <c r="N44">
        <v>8587.9</v>
      </c>
      <c r="O44">
        <v>7299.72</v>
      </c>
      <c r="P44" t="s">
        <v>2111</v>
      </c>
      <c r="Q44" t="s">
        <v>1170</v>
      </c>
    </row>
    <row r="45" spans="1:17" x14ac:dyDescent="0.3">
      <c r="A45" t="s">
        <v>786</v>
      </c>
      <c r="B45" t="s">
        <v>785</v>
      </c>
      <c r="C45" s="1">
        <v>46081</v>
      </c>
      <c r="D45" t="s">
        <v>26</v>
      </c>
      <c r="E45" t="s">
        <v>17</v>
      </c>
      <c r="F45" t="s">
        <v>74</v>
      </c>
      <c r="G45" t="s">
        <v>91</v>
      </c>
      <c r="H45" t="s">
        <v>92</v>
      </c>
      <c r="I45" t="s">
        <v>37</v>
      </c>
      <c r="J45">
        <v>1899</v>
      </c>
      <c r="K45">
        <v>2</v>
      </c>
      <c r="L45">
        <v>1944.68</v>
      </c>
      <c r="M45">
        <v>388.94</v>
      </c>
      <c r="N45">
        <v>3889.36</v>
      </c>
      <c r="O45">
        <v>3500.42</v>
      </c>
      <c r="P45" t="s">
        <v>2111</v>
      </c>
      <c r="Q45" t="s">
        <v>498</v>
      </c>
    </row>
    <row r="46" spans="1:17" x14ac:dyDescent="0.3">
      <c r="A46" t="s">
        <v>1921</v>
      </c>
      <c r="B46" t="s">
        <v>1920</v>
      </c>
      <c r="C46" s="1">
        <v>46184</v>
      </c>
      <c r="D46" t="s">
        <v>26</v>
      </c>
      <c r="E46" t="s">
        <v>17</v>
      </c>
      <c r="F46" t="s">
        <v>22</v>
      </c>
      <c r="G46" t="s">
        <v>160</v>
      </c>
      <c r="H46" t="s">
        <v>161</v>
      </c>
      <c r="I46" t="s">
        <v>82</v>
      </c>
      <c r="J46">
        <v>799</v>
      </c>
      <c r="K46">
        <v>2</v>
      </c>
      <c r="L46">
        <v>806.06</v>
      </c>
      <c r="M46">
        <v>161.21</v>
      </c>
      <c r="N46">
        <v>1612.12</v>
      </c>
      <c r="O46">
        <v>1450.91</v>
      </c>
      <c r="P46" t="s">
        <v>2111</v>
      </c>
      <c r="Q46" t="s">
        <v>1809</v>
      </c>
    </row>
    <row r="47" spans="1:17" x14ac:dyDescent="0.3">
      <c r="A47" t="s">
        <v>2154</v>
      </c>
      <c r="B47" t="s">
        <v>2155</v>
      </c>
      <c r="C47" s="1">
        <v>46139</v>
      </c>
      <c r="D47" t="s">
        <v>34</v>
      </c>
      <c r="E47" t="s">
        <v>50</v>
      </c>
      <c r="F47" t="s">
        <v>31</v>
      </c>
      <c r="G47" t="s">
        <v>43</v>
      </c>
      <c r="H47" t="s">
        <v>44</v>
      </c>
      <c r="I47" t="s">
        <v>45</v>
      </c>
      <c r="J47">
        <v>3299</v>
      </c>
      <c r="K47">
        <v>1</v>
      </c>
      <c r="L47">
        <v>3457.22</v>
      </c>
      <c r="M47">
        <v>345.72</v>
      </c>
      <c r="N47">
        <v>3457.22</v>
      </c>
      <c r="O47">
        <v>3111.5</v>
      </c>
      <c r="P47" t="s">
        <v>2111</v>
      </c>
      <c r="Q47" t="s">
        <v>1170</v>
      </c>
    </row>
    <row r="48" spans="1:17" x14ac:dyDescent="0.3">
      <c r="A48" t="s">
        <v>2016</v>
      </c>
      <c r="B48" t="s">
        <v>2015</v>
      </c>
      <c r="C48" s="1">
        <v>46195</v>
      </c>
      <c r="D48" t="s">
        <v>41</v>
      </c>
      <c r="E48" t="s">
        <v>17</v>
      </c>
      <c r="F48" t="s">
        <v>60</v>
      </c>
      <c r="G48" t="s">
        <v>18</v>
      </c>
      <c r="H48" t="s">
        <v>19</v>
      </c>
      <c r="I48" t="s">
        <v>20</v>
      </c>
      <c r="J48">
        <v>2799</v>
      </c>
      <c r="K48">
        <v>2</v>
      </c>
      <c r="L48">
        <v>2914.28</v>
      </c>
      <c r="M48">
        <v>1165.71</v>
      </c>
      <c r="N48">
        <v>5828.56</v>
      </c>
      <c r="O48">
        <v>4662.8500000000004</v>
      </c>
      <c r="P48" t="s">
        <v>2114</v>
      </c>
      <c r="Q48" t="s">
        <v>1809</v>
      </c>
    </row>
    <row r="49" spans="1:17" x14ac:dyDescent="0.3">
      <c r="A49" t="s">
        <v>2156</v>
      </c>
      <c r="B49" t="s">
        <v>2157</v>
      </c>
      <c r="C49" s="1">
        <v>46123</v>
      </c>
      <c r="D49" t="s">
        <v>63</v>
      </c>
      <c r="E49" t="s">
        <v>50</v>
      </c>
      <c r="F49" t="s">
        <v>31</v>
      </c>
      <c r="G49" t="s">
        <v>250</v>
      </c>
      <c r="H49" t="s">
        <v>251</v>
      </c>
      <c r="I49" t="s">
        <v>108</v>
      </c>
      <c r="J49">
        <v>899</v>
      </c>
      <c r="K49">
        <v>2</v>
      </c>
      <c r="L49">
        <v>905.15</v>
      </c>
      <c r="M49">
        <v>181.03</v>
      </c>
      <c r="N49">
        <v>1810.3</v>
      </c>
      <c r="O49">
        <v>1629.27</v>
      </c>
      <c r="P49" t="s">
        <v>2111</v>
      </c>
      <c r="Q49" t="s">
        <v>1170</v>
      </c>
    </row>
    <row r="50" spans="1:17" x14ac:dyDescent="0.3">
      <c r="A50" t="s">
        <v>1568</v>
      </c>
      <c r="B50" t="s">
        <v>1140</v>
      </c>
      <c r="C50" s="1">
        <v>46150</v>
      </c>
      <c r="D50" t="s">
        <v>16</v>
      </c>
      <c r="E50" t="s">
        <v>17</v>
      </c>
      <c r="F50" t="s">
        <v>60</v>
      </c>
      <c r="G50" t="s">
        <v>112</v>
      </c>
      <c r="H50" t="s">
        <v>113</v>
      </c>
      <c r="I50" t="s">
        <v>37</v>
      </c>
      <c r="J50">
        <v>1499</v>
      </c>
      <c r="K50">
        <v>1</v>
      </c>
      <c r="L50">
        <v>1552.64</v>
      </c>
      <c r="M50">
        <v>310.52999999999997</v>
      </c>
      <c r="N50">
        <v>1552.64</v>
      </c>
      <c r="O50">
        <v>1242.1099999999999</v>
      </c>
      <c r="P50" t="s">
        <v>2111</v>
      </c>
      <c r="Q50" t="s">
        <v>1479</v>
      </c>
    </row>
    <row r="51" spans="1:17" x14ac:dyDescent="0.3">
      <c r="A51" t="s">
        <v>2158</v>
      </c>
      <c r="B51" t="s">
        <v>2159</v>
      </c>
      <c r="C51" s="1">
        <v>46139</v>
      </c>
      <c r="D51" t="s">
        <v>63</v>
      </c>
      <c r="E51" t="s">
        <v>50</v>
      </c>
      <c r="F51" t="s">
        <v>22</v>
      </c>
      <c r="G51" t="s">
        <v>91</v>
      </c>
      <c r="H51" t="s">
        <v>92</v>
      </c>
      <c r="I51" t="s">
        <v>37</v>
      </c>
      <c r="J51">
        <v>1899</v>
      </c>
      <c r="K51">
        <v>2</v>
      </c>
      <c r="L51">
        <v>2040.88</v>
      </c>
      <c r="M51">
        <v>612.26</v>
      </c>
      <c r="N51">
        <v>4081.76</v>
      </c>
      <c r="O51">
        <v>3469.5</v>
      </c>
      <c r="P51" t="s">
        <v>2114</v>
      </c>
      <c r="Q51" t="s">
        <v>1170</v>
      </c>
    </row>
    <row r="52" spans="1:17" x14ac:dyDescent="0.3">
      <c r="A52" t="s">
        <v>2160</v>
      </c>
      <c r="B52" t="s">
        <v>2161</v>
      </c>
      <c r="C52" s="1">
        <v>46042</v>
      </c>
      <c r="D52" t="s">
        <v>16</v>
      </c>
      <c r="E52" t="s">
        <v>50</v>
      </c>
      <c r="F52" t="s">
        <v>60</v>
      </c>
      <c r="G52" t="s">
        <v>86</v>
      </c>
      <c r="H52" t="s">
        <v>87</v>
      </c>
      <c r="I52" t="s">
        <v>82</v>
      </c>
      <c r="J52">
        <v>3499</v>
      </c>
      <c r="K52">
        <v>1</v>
      </c>
      <c r="L52">
        <v>3451.6</v>
      </c>
      <c r="M52">
        <v>345.16</v>
      </c>
      <c r="N52">
        <v>3451.6</v>
      </c>
      <c r="O52">
        <v>3106.44</v>
      </c>
      <c r="P52" t="s">
        <v>2111</v>
      </c>
      <c r="Q52" t="s">
        <v>23</v>
      </c>
    </row>
    <row r="53" spans="1:17" x14ac:dyDescent="0.3">
      <c r="A53" t="s">
        <v>2162</v>
      </c>
      <c r="B53" t="s">
        <v>2163</v>
      </c>
      <c r="C53" s="1">
        <v>46194</v>
      </c>
      <c r="D53" t="s">
        <v>26</v>
      </c>
      <c r="E53" t="s">
        <v>50</v>
      </c>
      <c r="F53" t="s">
        <v>22</v>
      </c>
      <c r="G53" t="s">
        <v>160</v>
      </c>
      <c r="H53" t="s">
        <v>161</v>
      </c>
      <c r="I53" t="s">
        <v>82</v>
      </c>
      <c r="J53">
        <v>799</v>
      </c>
      <c r="K53">
        <v>1</v>
      </c>
      <c r="L53">
        <v>785.06</v>
      </c>
      <c r="M53">
        <v>39.25</v>
      </c>
      <c r="N53">
        <v>785.06</v>
      </c>
      <c r="O53">
        <v>745.81</v>
      </c>
      <c r="P53" t="s">
        <v>2111</v>
      </c>
      <c r="Q53" t="s">
        <v>1809</v>
      </c>
    </row>
    <row r="54" spans="1:17" x14ac:dyDescent="0.3">
      <c r="A54" t="s">
        <v>2164</v>
      </c>
      <c r="B54" t="s">
        <v>2165</v>
      </c>
      <c r="C54" s="1">
        <v>46090</v>
      </c>
      <c r="D54" t="s">
        <v>16</v>
      </c>
      <c r="E54" t="s">
        <v>17</v>
      </c>
      <c r="F54" t="s">
        <v>31</v>
      </c>
      <c r="G54" t="s">
        <v>86</v>
      </c>
      <c r="H54" t="s">
        <v>87</v>
      </c>
      <c r="I54" t="s">
        <v>82</v>
      </c>
      <c r="J54">
        <v>3499</v>
      </c>
      <c r="K54">
        <v>1</v>
      </c>
      <c r="L54">
        <v>3683.92</v>
      </c>
      <c r="M54">
        <v>368.39</v>
      </c>
      <c r="N54">
        <v>3683.92</v>
      </c>
      <c r="O54">
        <v>3315.53</v>
      </c>
      <c r="P54" t="s">
        <v>2111</v>
      </c>
      <c r="Q54" t="s">
        <v>789</v>
      </c>
    </row>
    <row r="55" spans="1:17" x14ac:dyDescent="0.3">
      <c r="A55" t="s">
        <v>2166</v>
      </c>
      <c r="B55" t="s">
        <v>1507</v>
      </c>
      <c r="C55" s="1">
        <v>46035</v>
      </c>
      <c r="D55" t="s">
        <v>63</v>
      </c>
      <c r="E55" t="s">
        <v>17</v>
      </c>
      <c r="F55" t="s">
        <v>47</v>
      </c>
      <c r="G55" t="s">
        <v>56</v>
      </c>
      <c r="H55" t="s">
        <v>57</v>
      </c>
      <c r="I55" t="s">
        <v>58</v>
      </c>
      <c r="J55">
        <v>8999</v>
      </c>
      <c r="K55">
        <v>2</v>
      </c>
      <c r="L55">
        <v>9147.58</v>
      </c>
      <c r="M55">
        <v>2744.27</v>
      </c>
      <c r="N55">
        <v>18295.16</v>
      </c>
      <c r="O55">
        <v>15550.89</v>
      </c>
      <c r="P55" t="s">
        <v>2111</v>
      </c>
      <c r="Q55" t="s">
        <v>23</v>
      </c>
    </row>
    <row r="56" spans="1:17" x14ac:dyDescent="0.3">
      <c r="A56" t="s">
        <v>2167</v>
      </c>
      <c r="B56" t="s">
        <v>2168</v>
      </c>
      <c r="C56" s="1">
        <v>46113</v>
      </c>
      <c r="D56" t="s">
        <v>34</v>
      </c>
      <c r="E56" t="s">
        <v>17</v>
      </c>
      <c r="F56" t="s">
        <v>74</v>
      </c>
      <c r="G56" t="s">
        <v>149</v>
      </c>
      <c r="H56" t="s">
        <v>150</v>
      </c>
      <c r="I56" t="s">
        <v>37</v>
      </c>
      <c r="J56">
        <v>2999</v>
      </c>
      <c r="K56">
        <v>1</v>
      </c>
      <c r="L56">
        <v>2741.69</v>
      </c>
      <c r="M56">
        <v>137.08000000000001</v>
      </c>
      <c r="N56">
        <v>2741.69</v>
      </c>
      <c r="O56">
        <v>2604.61</v>
      </c>
      <c r="P56" t="s">
        <v>2111</v>
      </c>
      <c r="Q56" t="s">
        <v>1170</v>
      </c>
    </row>
    <row r="57" spans="1:17" x14ac:dyDescent="0.3">
      <c r="A57" t="s">
        <v>1779</v>
      </c>
      <c r="B57" t="s">
        <v>1778</v>
      </c>
      <c r="C57" s="1">
        <v>46170</v>
      </c>
      <c r="D57" t="s">
        <v>41</v>
      </c>
      <c r="E57" t="s">
        <v>50</v>
      </c>
      <c r="F57" t="s">
        <v>74</v>
      </c>
      <c r="G57" t="s">
        <v>18</v>
      </c>
      <c r="H57" t="s">
        <v>19</v>
      </c>
      <c r="I57" t="s">
        <v>20</v>
      </c>
      <c r="J57">
        <v>2799</v>
      </c>
      <c r="K57">
        <v>1</v>
      </c>
      <c r="L57">
        <v>3018.5</v>
      </c>
      <c r="M57">
        <v>301.85000000000002</v>
      </c>
      <c r="N57">
        <v>3018.5</v>
      </c>
      <c r="O57">
        <v>2716.65</v>
      </c>
      <c r="P57" t="s">
        <v>2111</v>
      </c>
      <c r="Q57" t="s">
        <v>1479</v>
      </c>
    </row>
    <row r="58" spans="1:17" x14ac:dyDescent="0.3">
      <c r="A58" t="s">
        <v>1571</v>
      </c>
      <c r="B58" t="s">
        <v>1570</v>
      </c>
      <c r="C58" s="1">
        <v>46150</v>
      </c>
      <c r="D58" t="s">
        <v>34</v>
      </c>
      <c r="E58" t="s">
        <v>17</v>
      </c>
      <c r="F58" t="s">
        <v>31</v>
      </c>
      <c r="G58" t="s">
        <v>160</v>
      </c>
      <c r="H58" t="s">
        <v>161</v>
      </c>
      <c r="I58" t="s">
        <v>82</v>
      </c>
      <c r="J58">
        <v>799</v>
      </c>
      <c r="K58">
        <v>1</v>
      </c>
      <c r="L58">
        <v>724.02</v>
      </c>
      <c r="M58">
        <v>108.6</v>
      </c>
      <c r="N58">
        <v>724.02</v>
      </c>
      <c r="O58">
        <v>615.41999999999996</v>
      </c>
      <c r="P58" t="s">
        <v>2111</v>
      </c>
      <c r="Q58" t="s">
        <v>1479</v>
      </c>
    </row>
    <row r="59" spans="1:17" x14ac:dyDescent="0.3">
      <c r="A59" t="s">
        <v>2169</v>
      </c>
      <c r="B59" t="s">
        <v>328</v>
      </c>
      <c r="C59" s="1">
        <v>46070</v>
      </c>
      <c r="D59" t="s">
        <v>16</v>
      </c>
      <c r="E59" t="s">
        <v>17</v>
      </c>
      <c r="F59" t="s">
        <v>22</v>
      </c>
      <c r="G59" t="s">
        <v>160</v>
      </c>
      <c r="H59" t="s">
        <v>161</v>
      </c>
      <c r="I59" t="s">
        <v>82</v>
      </c>
      <c r="J59">
        <v>799</v>
      </c>
      <c r="K59">
        <v>1</v>
      </c>
      <c r="L59">
        <v>838.69</v>
      </c>
      <c r="M59">
        <v>41.93</v>
      </c>
      <c r="N59">
        <v>838.69</v>
      </c>
      <c r="O59">
        <v>796.76</v>
      </c>
      <c r="P59" t="s">
        <v>2111</v>
      </c>
      <c r="Q59" t="s">
        <v>498</v>
      </c>
    </row>
    <row r="60" spans="1:17" x14ac:dyDescent="0.3">
      <c r="A60" t="s">
        <v>109</v>
      </c>
      <c r="B60" t="s">
        <v>105</v>
      </c>
      <c r="C60" s="1">
        <v>46026</v>
      </c>
      <c r="D60" t="s">
        <v>16</v>
      </c>
      <c r="E60" t="s">
        <v>17</v>
      </c>
      <c r="F60" t="s">
        <v>22</v>
      </c>
      <c r="G60" t="s">
        <v>355</v>
      </c>
      <c r="H60" t="s">
        <v>356</v>
      </c>
      <c r="I60" t="s">
        <v>82</v>
      </c>
      <c r="J60">
        <v>499</v>
      </c>
      <c r="K60">
        <v>1</v>
      </c>
      <c r="L60">
        <v>524.83000000000004</v>
      </c>
      <c r="M60">
        <v>78.72</v>
      </c>
      <c r="N60">
        <v>524.83000000000004</v>
      </c>
      <c r="O60">
        <v>446.11</v>
      </c>
      <c r="P60" t="s">
        <v>2111</v>
      </c>
      <c r="Q60" t="s">
        <v>23</v>
      </c>
    </row>
    <row r="61" spans="1:17" x14ac:dyDescent="0.3">
      <c r="A61" t="s">
        <v>2170</v>
      </c>
      <c r="B61" t="s">
        <v>266</v>
      </c>
      <c r="C61" s="1">
        <v>46052</v>
      </c>
      <c r="D61" t="s">
        <v>26</v>
      </c>
      <c r="E61" t="s">
        <v>50</v>
      </c>
      <c r="F61" t="s">
        <v>47</v>
      </c>
      <c r="G61" t="s">
        <v>160</v>
      </c>
      <c r="H61" t="s">
        <v>161</v>
      </c>
      <c r="I61" t="s">
        <v>82</v>
      </c>
      <c r="J61">
        <v>799</v>
      </c>
      <c r="K61">
        <v>2</v>
      </c>
      <c r="L61">
        <v>871.41</v>
      </c>
      <c r="M61">
        <v>87.14</v>
      </c>
      <c r="N61">
        <v>1742.82</v>
      </c>
      <c r="O61">
        <v>1655.68</v>
      </c>
      <c r="P61" t="s">
        <v>2111</v>
      </c>
      <c r="Q61" t="s">
        <v>23</v>
      </c>
    </row>
    <row r="62" spans="1:17" x14ac:dyDescent="0.3">
      <c r="A62" t="s">
        <v>1094</v>
      </c>
      <c r="B62" t="s">
        <v>1093</v>
      </c>
      <c r="C62" s="1">
        <v>46105</v>
      </c>
      <c r="D62" t="s">
        <v>63</v>
      </c>
      <c r="E62" t="s">
        <v>17</v>
      </c>
      <c r="F62" t="s">
        <v>47</v>
      </c>
      <c r="G62" t="s">
        <v>250</v>
      </c>
      <c r="H62" t="s">
        <v>251</v>
      </c>
      <c r="I62" t="s">
        <v>108</v>
      </c>
      <c r="J62">
        <v>899</v>
      </c>
      <c r="K62">
        <v>2</v>
      </c>
      <c r="L62">
        <v>818.83</v>
      </c>
      <c r="M62">
        <v>0</v>
      </c>
      <c r="N62">
        <v>1637.66</v>
      </c>
      <c r="O62">
        <v>1637.66</v>
      </c>
      <c r="P62" t="s">
        <v>2111</v>
      </c>
      <c r="Q62" t="s">
        <v>789</v>
      </c>
    </row>
    <row r="63" spans="1:17" x14ac:dyDescent="0.3">
      <c r="A63" t="s">
        <v>581</v>
      </c>
      <c r="B63" t="s">
        <v>580</v>
      </c>
      <c r="C63" s="1">
        <v>46061</v>
      </c>
      <c r="D63" t="s">
        <v>26</v>
      </c>
      <c r="E63" t="s">
        <v>50</v>
      </c>
      <c r="F63" t="s">
        <v>22</v>
      </c>
      <c r="G63" t="s">
        <v>191</v>
      </c>
      <c r="H63" t="s">
        <v>192</v>
      </c>
      <c r="I63" t="s">
        <v>45</v>
      </c>
      <c r="J63">
        <v>699</v>
      </c>
      <c r="K63">
        <v>1</v>
      </c>
      <c r="L63">
        <v>712.54</v>
      </c>
      <c r="M63">
        <v>106.88</v>
      </c>
      <c r="N63">
        <v>712.54</v>
      </c>
      <c r="O63">
        <v>605.66</v>
      </c>
      <c r="P63" t="s">
        <v>2111</v>
      </c>
      <c r="Q63" t="s">
        <v>498</v>
      </c>
    </row>
    <row r="64" spans="1:17" x14ac:dyDescent="0.3">
      <c r="A64" t="s">
        <v>1184</v>
      </c>
      <c r="B64" t="s">
        <v>1183</v>
      </c>
      <c r="C64" s="1">
        <v>46115</v>
      </c>
      <c r="D64" t="s">
        <v>34</v>
      </c>
      <c r="E64" t="s">
        <v>17</v>
      </c>
      <c r="F64" t="s">
        <v>22</v>
      </c>
      <c r="G64" t="s">
        <v>86</v>
      </c>
      <c r="H64" t="s">
        <v>87</v>
      </c>
      <c r="I64" t="s">
        <v>82</v>
      </c>
      <c r="J64">
        <v>3499</v>
      </c>
      <c r="K64">
        <v>1</v>
      </c>
      <c r="L64">
        <v>3448.5</v>
      </c>
      <c r="M64">
        <v>0</v>
      </c>
      <c r="N64">
        <v>3448.5</v>
      </c>
      <c r="O64">
        <v>3448.5</v>
      </c>
      <c r="P64" t="s">
        <v>2111</v>
      </c>
      <c r="Q64" t="s">
        <v>1170</v>
      </c>
    </row>
    <row r="65" spans="1:17" x14ac:dyDescent="0.3">
      <c r="A65" t="s">
        <v>1316</v>
      </c>
      <c r="B65" t="s">
        <v>782</v>
      </c>
      <c r="C65" s="1">
        <v>46130</v>
      </c>
      <c r="D65" t="s">
        <v>16</v>
      </c>
      <c r="E65" t="s">
        <v>50</v>
      </c>
      <c r="F65" t="s">
        <v>74</v>
      </c>
      <c r="G65" t="s">
        <v>27</v>
      </c>
      <c r="H65" t="s">
        <v>28</v>
      </c>
      <c r="I65" t="s">
        <v>29</v>
      </c>
      <c r="J65">
        <v>1599</v>
      </c>
      <c r="K65">
        <v>1</v>
      </c>
      <c r="L65">
        <v>1544.84</v>
      </c>
      <c r="M65">
        <v>77.239999999999995</v>
      </c>
      <c r="N65">
        <v>1544.84</v>
      </c>
      <c r="O65">
        <v>1467.6</v>
      </c>
      <c r="P65" t="s">
        <v>2111</v>
      </c>
      <c r="Q65" t="s">
        <v>1170</v>
      </c>
    </row>
    <row r="66" spans="1:17" x14ac:dyDescent="0.3">
      <c r="A66" t="s">
        <v>1686</v>
      </c>
      <c r="B66" t="s">
        <v>254</v>
      </c>
      <c r="C66" s="1">
        <v>46160</v>
      </c>
      <c r="D66" t="s">
        <v>16</v>
      </c>
      <c r="E66" t="s">
        <v>17</v>
      </c>
      <c r="F66" t="s">
        <v>60</v>
      </c>
      <c r="G66" t="s">
        <v>27</v>
      </c>
      <c r="H66" t="s">
        <v>28</v>
      </c>
      <c r="I66" t="s">
        <v>29</v>
      </c>
      <c r="J66">
        <v>1599</v>
      </c>
      <c r="K66">
        <v>3</v>
      </c>
      <c r="L66">
        <v>1467.98</v>
      </c>
      <c r="M66">
        <v>880.79</v>
      </c>
      <c r="N66">
        <v>4403.9399999999996</v>
      </c>
      <c r="O66">
        <v>3523.15</v>
      </c>
      <c r="P66" t="s">
        <v>2111</v>
      </c>
      <c r="Q66" t="s">
        <v>1479</v>
      </c>
    </row>
    <row r="67" spans="1:17" x14ac:dyDescent="0.3">
      <c r="A67" t="s">
        <v>1388</v>
      </c>
      <c r="B67" t="s">
        <v>1387</v>
      </c>
      <c r="C67" s="1">
        <v>46135</v>
      </c>
      <c r="D67" t="s">
        <v>63</v>
      </c>
      <c r="E67" t="s">
        <v>17</v>
      </c>
      <c r="F67" t="s">
        <v>47</v>
      </c>
      <c r="G67" t="s">
        <v>56</v>
      </c>
      <c r="H67" t="s">
        <v>57</v>
      </c>
      <c r="I67" t="s">
        <v>58</v>
      </c>
      <c r="J67">
        <v>8999</v>
      </c>
      <c r="K67">
        <v>1</v>
      </c>
      <c r="L67">
        <v>9111.76</v>
      </c>
      <c r="M67">
        <v>455.59</v>
      </c>
      <c r="N67">
        <v>9111.76</v>
      </c>
      <c r="O67">
        <v>8656.17</v>
      </c>
      <c r="P67" t="s">
        <v>2111</v>
      </c>
      <c r="Q67" t="s">
        <v>1170</v>
      </c>
    </row>
    <row r="68" spans="1:17" x14ac:dyDescent="0.3">
      <c r="A68" t="s">
        <v>506</v>
      </c>
      <c r="B68" t="s">
        <v>505</v>
      </c>
      <c r="C68" s="1">
        <v>46054</v>
      </c>
      <c r="D68" t="s">
        <v>34</v>
      </c>
      <c r="E68" t="s">
        <v>50</v>
      </c>
      <c r="F68" t="s">
        <v>47</v>
      </c>
      <c r="G68" t="s">
        <v>18</v>
      </c>
      <c r="H68" t="s">
        <v>19</v>
      </c>
      <c r="I68" t="s">
        <v>20</v>
      </c>
      <c r="J68">
        <v>2799</v>
      </c>
      <c r="K68">
        <v>1</v>
      </c>
      <c r="L68">
        <v>2787.27</v>
      </c>
      <c r="M68">
        <v>696.82</v>
      </c>
      <c r="N68">
        <v>2787.27</v>
      </c>
      <c r="O68">
        <v>2090.4499999999998</v>
      </c>
      <c r="P68" t="s">
        <v>2111</v>
      </c>
      <c r="Q68" t="s">
        <v>498</v>
      </c>
    </row>
    <row r="69" spans="1:17" x14ac:dyDescent="0.3">
      <c r="A69" t="s">
        <v>2171</v>
      </c>
      <c r="B69" t="s">
        <v>2172</v>
      </c>
      <c r="C69" s="1">
        <v>46061</v>
      </c>
      <c r="D69" t="s">
        <v>16</v>
      </c>
      <c r="E69" t="s">
        <v>17</v>
      </c>
      <c r="F69" t="s">
        <v>31</v>
      </c>
      <c r="G69" t="s">
        <v>80</v>
      </c>
      <c r="H69" t="s">
        <v>81</v>
      </c>
      <c r="I69" t="s">
        <v>82</v>
      </c>
      <c r="J69">
        <v>4299</v>
      </c>
      <c r="K69">
        <v>1</v>
      </c>
      <c r="L69">
        <v>3959</v>
      </c>
      <c r="M69">
        <v>989.75</v>
      </c>
      <c r="N69">
        <v>3959</v>
      </c>
      <c r="O69">
        <v>2969.25</v>
      </c>
      <c r="P69" t="s">
        <v>2111</v>
      </c>
      <c r="Q69" t="s">
        <v>498</v>
      </c>
    </row>
    <row r="70" spans="1:17" x14ac:dyDescent="0.3">
      <c r="A70" t="s">
        <v>134</v>
      </c>
      <c r="B70" t="s">
        <v>133</v>
      </c>
      <c r="C70" s="1">
        <v>46028</v>
      </c>
      <c r="D70" t="s">
        <v>41</v>
      </c>
      <c r="E70" t="s">
        <v>50</v>
      </c>
      <c r="F70" t="s">
        <v>31</v>
      </c>
      <c r="G70" t="s">
        <v>191</v>
      </c>
      <c r="H70" t="s">
        <v>192</v>
      </c>
      <c r="I70" t="s">
        <v>45</v>
      </c>
      <c r="J70">
        <v>699</v>
      </c>
      <c r="K70">
        <v>2</v>
      </c>
      <c r="L70">
        <v>714.73</v>
      </c>
      <c r="M70">
        <v>71.47</v>
      </c>
      <c r="N70">
        <v>1429.46</v>
      </c>
      <c r="O70">
        <v>1357.99</v>
      </c>
      <c r="P70" t="s">
        <v>2111</v>
      </c>
      <c r="Q70" t="s">
        <v>23</v>
      </c>
    </row>
    <row r="71" spans="1:17" x14ac:dyDescent="0.3">
      <c r="A71" t="s">
        <v>1973</v>
      </c>
      <c r="B71" t="s">
        <v>1972</v>
      </c>
      <c r="C71" s="1">
        <v>46192</v>
      </c>
      <c r="D71" t="s">
        <v>41</v>
      </c>
      <c r="E71" t="s">
        <v>17</v>
      </c>
      <c r="F71" t="s">
        <v>22</v>
      </c>
      <c r="G71" t="s">
        <v>160</v>
      </c>
      <c r="H71" t="s">
        <v>161</v>
      </c>
      <c r="I71" t="s">
        <v>82</v>
      </c>
      <c r="J71">
        <v>799</v>
      </c>
      <c r="K71">
        <v>2</v>
      </c>
      <c r="L71">
        <v>837.02</v>
      </c>
      <c r="M71">
        <v>0</v>
      </c>
      <c r="N71">
        <v>1674.04</v>
      </c>
      <c r="O71">
        <v>1674.04</v>
      </c>
      <c r="P71" t="s">
        <v>2114</v>
      </c>
      <c r="Q71" t="s">
        <v>1809</v>
      </c>
    </row>
    <row r="72" spans="1:17" x14ac:dyDescent="0.3">
      <c r="A72" t="s">
        <v>2173</v>
      </c>
      <c r="B72" t="s">
        <v>2174</v>
      </c>
      <c r="C72" s="1">
        <v>46151</v>
      </c>
      <c r="D72" t="s">
        <v>16</v>
      </c>
      <c r="E72" t="s">
        <v>50</v>
      </c>
      <c r="F72" t="s">
        <v>74</v>
      </c>
      <c r="G72" t="s">
        <v>101</v>
      </c>
      <c r="H72" t="s">
        <v>102</v>
      </c>
      <c r="I72" t="s">
        <v>45</v>
      </c>
      <c r="J72">
        <v>4999</v>
      </c>
      <c r="K72">
        <v>2</v>
      </c>
      <c r="L72">
        <v>5266.22</v>
      </c>
      <c r="M72">
        <v>1579.87</v>
      </c>
      <c r="N72">
        <v>10532.44</v>
      </c>
      <c r="O72">
        <v>8952.57</v>
      </c>
      <c r="P72" t="s">
        <v>2111</v>
      </c>
      <c r="Q72" t="s">
        <v>1479</v>
      </c>
    </row>
    <row r="73" spans="1:17" x14ac:dyDescent="0.3">
      <c r="A73" t="s">
        <v>2175</v>
      </c>
      <c r="B73" t="s">
        <v>1674</v>
      </c>
      <c r="C73" s="1">
        <v>46198</v>
      </c>
      <c r="D73" t="s">
        <v>26</v>
      </c>
      <c r="E73" t="s">
        <v>50</v>
      </c>
      <c r="F73" t="s">
        <v>74</v>
      </c>
      <c r="G73" t="s">
        <v>35</v>
      </c>
      <c r="H73" t="s">
        <v>36</v>
      </c>
      <c r="I73" t="s">
        <v>37</v>
      </c>
      <c r="J73">
        <v>799</v>
      </c>
      <c r="K73">
        <v>2</v>
      </c>
      <c r="L73">
        <v>863.78</v>
      </c>
      <c r="M73">
        <v>172.76</v>
      </c>
      <c r="N73">
        <v>1727.56</v>
      </c>
      <c r="O73">
        <v>1554.8</v>
      </c>
      <c r="P73" t="s">
        <v>2111</v>
      </c>
      <c r="Q73" t="s">
        <v>1809</v>
      </c>
    </row>
    <row r="74" spans="1:17" x14ac:dyDescent="0.3">
      <c r="A74" t="s">
        <v>2176</v>
      </c>
      <c r="B74" t="s">
        <v>2177</v>
      </c>
      <c r="C74" s="1">
        <v>46081</v>
      </c>
      <c r="D74" t="s">
        <v>26</v>
      </c>
      <c r="E74" t="s">
        <v>17</v>
      </c>
      <c r="F74" t="s">
        <v>60</v>
      </c>
      <c r="G74" t="s">
        <v>51</v>
      </c>
      <c r="H74" t="s">
        <v>52</v>
      </c>
      <c r="I74" t="s">
        <v>20</v>
      </c>
      <c r="J74">
        <v>999</v>
      </c>
      <c r="K74">
        <v>1</v>
      </c>
      <c r="L74">
        <v>980.91</v>
      </c>
      <c r="M74">
        <v>0</v>
      </c>
      <c r="N74">
        <v>980.91</v>
      </c>
      <c r="O74">
        <v>980.91</v>
      </c>
      <c r="P74" t="s">
        <v>2111</v>
      </c>
      <c r="Q74" t="s">
        <v>498</v>
      </c>
    </row>
    <row r="75" spans="1:17" x14ac:dyDescent="0.3">
      <c r="A75" t="s">
        <v>976</v>
      </c>
      <c r="B75" t="s">
        <v>975</v>
      </c>
      <c r="C75" s="1">
        <v>46095</v>
      </c>
      <c r="D75" t="s">
        <v>26</v>
      </c>
      <c r="E75" t="s">
        <v>50</v>
      </c>
      <c r="F75" t="s">
        <v>60</v>
      </c>
      <c r="G75" t="s">
        <v>355</v>
      </c>
      <c r="H75" t="s">
        <v>356</v>
      </c>
      <c r="I75" t="s">
        <v>82</v>
      </c>
      <c r="J75">
        <v>499</v>
      </c>
      <c r="K75">
        <v>1</v>
      </c>
      <c r="L75">
        <v>544.22</v>
      </c>
      <c r="M75">
        <v>81.63</v>
      </c>
      <c r="N75">
        <v>544.22</v>
      </c>
      <c r="O75">
        <v>462.59</v>
      </c>
      <c r="P75" t="s">
        <v>2111</v>
      </c>
      <c r="Q75" t="s">
        <v>789</v>
      </c>
    </row>
    <row r="76" spans="1:17" x14ac:dyDescent="0.3">
      <c r="A76" t="s">
        <v>2178</v>
      </c>
      <c r="B76" t="s">
        <v>1959</v>
      </c>
      <c r="C76" s="1">
        <v>46061</v>
      </c>
      <c r="D76" t="s">
        <v>34</v>
      </c>
      <c r="E76" t="s">
        <v>50</v>
      </c>
      <c r="F76" t="s">
        <v>47</v>
      </c>
      <c r="G76" t="s">
        <v>126</v>
      </c>
      <c r="H76" t="s">
        <v>127</v>
      </c>
      <c r="I76" t="s">
        <v>45</v>
      </c>
      <c r="J76">
        <v>2499</v>
      </c>
      <c r="K76">
        <v>1</v>
      </c>
      <c r="L76">
        <v>2681.64</v>
      </c>
      <c r="M76">
        <v>0</v>
      </c>
      <c r="N76">
        <v>2681.64</v>
      </c>
      <c r="O76">
        <v>2681.64</v>
      </c>
      <c r="P76" t="s">
        <v>2111</v>
      </c>
      <c r="Q76" t="s">
        <v>498</v>
      </c>
    </row>
    <row r="77" spans="1:17" x14ac:dyDescent="0.3">
      <c r="A77" t="s">
        <v>2179</v>
      </c>
      <c r="B77" t="s">
        <v>2180</v>
      </c>
      <c r="C77" s="1">
        <v>46195</v>
      </c>
      <c r="D77" t="s">
        <v>26</v>
      </c>
      <c r="E77" t="s">
        <v>50</v>
      </c>
      <c r="F77" t="s">
        <v>74</v>
      </c>
      <c r="G77" t="s">
        <v>160</v>
      </c>
      <c r="H77" t="s">
        <v>161</v>
      </c>
      <c r="I77" t="s">
        <v>82</v>
      </c>
      <c r="J77">
        <v>799</v>
      </c>
      <c r="K77">
        <v>1</v>
      </c>
      <c r="L77">
        <v>766.48</v>
      </c>
      <c r="M77">
        <v>153.30000000000001</v>
      </c>
      <c r="N77">
        <v>766.48</v>
      </c>
      <c r="O77">
        <v>613.17999999999995</v>
      </c>
      <c r="P77" t="s">
        <v>2114</v>
      </c>
      <c r="Q77" t="s">
        <v>1809</v>
      </c>
    </row>
    <row r="78" spans="1:17" x14ac:dyDescent="0.3">
      <c r="A78" t="s">
        <v>2181</v>
      </c>
      <c r="B78" t="s">
        <v>2182</v>
      </c>
      <c r="C78" s="1">
        <v>46080</v>
      </c>
      <c r="D78" t="s">
        <v>63</v>
      </c>
      <c r="E78" t="s">
        <v>17</v>
      </c>
      <c r="F78" t="s">
        <v>60</v>
      </c>
      <c r="G78" t="s">
        <v>106</v>
      </c>
      <c r="H78" t="s">
        <v>107</v>
      </c>
      <c r="I78" t="s">
        <v>108</v>
      </c>
      <c r="J78">
        <v>599</v>
      </c>
      <c r="K78">
        <v>1</v>
      </c>
      <c r="L78">
        <v>558.17999999999995</v>
      </c>
      <c r="M78">
        <v>0</v>
      </c>
      <c r="N78">
        <v>558.17999999999995</v>
      </c>
      <c r="O78">
        <v>558.17999999999995</v>
      </c>
      <c r="P78" t="s">
        <v>2111</v>
      </c>
      <c r="Q78" t="s">
        <v>498</v>
      </c>
    </row>
    <row r="79" spans="1:17" x14ac:dyDescent="0.3">
      <c r="A79" t="s">
        <v>1860</v>
      </c>
      <c r="B79" t="s">
        <v>1859</v>
      </c>
      <c r="C79" s="1">
        <v>46177</v>
      </c>
      <c r="D79" t="s">
        <v>26</v>
      </c>
      <c r="E79" t="s">
        <v>42</v>
      </c>
      <c r="F79" t="s">
        <v>47</v>
      </c>
      <c r="G79" t="s">
        <v>149</v>
      </c>
      <c r="H79" t="s">
        <v>150</v>
      </c>
      <c r="I79" t="s">
        <v>37</v>
      </c>
      <c r="J79">
        <v>2999</v>
      </c>
      <c r="K79">
        <v>1</v>
      </c>
      <c r="L79">
        <v>2960.25</v>
      </c>
      <c r="M79">
        <v>0</v>
      </c>
      <c r="N79">
        <v>2960.25</v>
      </c>
      <c r="O79">
        <v>2960.25</v>
      </c>
      <c r="P79" t="s">
        <v>2114</v>
      </c>
      <c r="Q79" t="s">
        <v>1809</v>
      </c>
    </row>
    <row r="80" spans="1:17" x14ac:dyDescent="0.3">
      <c r="A80" t="s">
        <v>906</v>
      </c>
      <c r="B80" t="s">
        <v>905</v>
      </c>
      <c r="C80" s="1">
        <v>46090</v>
      </c>
      <c r="D80" t="s">
        <v>26</v>
      </c>
      <c r="E80" t="s">
        <v>17</v>
      </c>
      <c r="F80" t="s">
        <v>31</v>
      </c>
      <c r="G80" t="s">
        <v>18</v>
      </c>
      <c r="H80" t="s">
        <v>19</v>
      </c>
      <c r="I80" t="s">
        <v>20</v>
      </c>
      <c r="J80">
        <v>2799</v>
      </c>
      <c r="K80">
        <v>1</v>
      </c>
      <c r="L80">
        <v>2744.08</v>
      </c>
      <c r="M80">
        <v>0</v>
      </c>
      <c r="N80">
        <v>2744.08</v>
      </c>
      <c r="O80">
        <v>2744.08</v>
      </c>
      <c r="P80" t="s">
        <v>2111</v>
      </c>
      <c r="Q80" t="s">
        <v>789</v>
      </c>
    </row>
    <row r="81" spans="1:17" x14ac:dyDescent="0.3">
      <c r="A81" t="s">
        <v>2183</v>
      </c>
      <c r="B81" t="s">
        <v>2184</v>
      </c>
      <c r="C81" s="1">
        <v>46062</v>
      </c>
      <c r="D81" t="s">
        <v>26</v>
      </c>
      <c r="E81" t="s">
        <v>50</v>
      </c>
      <c r="F81" t="s">
        <v>47</v>
      </c>
      <c r="G81" t="s">
        <v>86</v>
      </c>
      <c r="H81" t="s">
        <v>87</v>
      </c>
      <c r="I81" t="s">
        <v>82</v>
      </c>
      <c r="J81">
        <v>3499</v>
      </c>
      <c r="K81">
        <v>3</v>
      </c>
      <c r="L81">
        <v>3551.99</v>
      </c>
      <c r="M81">
        <v>2663.99</v>
      </c>
      <c r="N81">
        <v>10655.97</v>
      </c>
      <c r="O81">
        <v>7991.98</v>
      </c>
      <c r="P81" t="s">
        <v>2114</v>
      </c>
      <c r="Q81" t="s">
        <v>498</v>
      </c>
    </row>
    <row r="82" spans="1:17" x14ac:dyDescent="0.3">
      <c r="A82" t="s">
        <v>864</v>
      </c>
      <c r="B82" t="s">
        <v>855</v>
      </c>
      <c r="C82" s="1">
        <v>46087</v>
      </c>
      <c r="D82" t="s">
        <v>16</v>
      </c>
      <c r="E82" t="s">
        <v>17</v>
      </c>
      <c r="F82" t="s">
        <v>47</v>
      </c>
      <c r="G82" t="s">
        <v>56</v>
      </c>
      <c r="H82" t="s">
        <v>57</v>
      </c>
      <c r="I82" t="s">
        <v>58</v>
      </c>
      <c r="J82">
        <v>8999</v>
      </c>
      <c r="K82">
        <v>1</v>
      </c>
      <c r="L82">
        <v>9149.08</v>
      </c>
      <c r="M82">
        <v>1372.36</v>
      </c>
      <c r="N82">
        <v>9149.08</v>
      </c>
      <c r="O82">
        <v>7776.72</v>
      </c>
      <c r="P82" t="s">
        <v>2111</v>
      </c>
      <c r="Q82" t="s">
        <v>789</v>
      </c>
    </row>
    <row r="83" spans="1:17" x14ac:dyDescent="0.3">
      <c r="A83" t="s">
        <v>2185</v>
      </c>
      <c r="B83" t="s">
        <v>2186</v>
      </c>
      <c r="C83" s="1">
        <v>46174</v>
      </c>
      <c r="D83" t="s">
        <v>16</v>
      </c>
      <c r="E83" t="s">
        <v>17</v>
      </c>
      <c r="F83" t="s">
        <v>22</v>
      </c>
      <c r="G83" t="s">
        <v>96</v>
      </c>
      <c r="H83" t="s">
        <v>97</v>
      </c>
      <c r="I83" t="s">
        <v>58</v>
      </c>
      <c r="J83">
        <v>7499</v>
      </c>
      <c r="K83">
        <v>2</v>
      </c>
      <c r="L83">
        <v>7873.93</v>
      </c>
      <c r="M83">
        <v>2362.1799999999998</v>
      </c>
      <c r="N83">
        <v>15747.86</v>
      </c>
      <c r="O83">
        <v>13385.68</v>
      </c>
      <c r="P83" t="s">
        <v>2111</v>
      </c>
      <c r="Q83" t="s">
        <v>1809</v>
      </c>
    </row>
    <row r="84" spans="1:17" x14ac:dyDescent="0.3">
      <c r="A84" t="s">
        <v>1713</v>
      </c>
      <c r="B84" t="s">
        <v>1712</v>
      </c>
      <c r="C84" s="1">
        <v>46164</v>
      </c>
      <c r="D84" t="s">
        <v>16</v>
      </c>
      <c r="E84" t="s">
        <v>50</v>
      </c>
      <c r="F84" t="s">
        <v>74</v>
      </c>
      <c r="G84" t="s">
        <v>149</v>
      </c>
      <c r="H84" t="s">
        <v>150</v>
      </c>
      <c r="I84" t="s">
        <v>37</v>
      </c>
      <c r="J84">
        <v>2999</v>
      </c>
      <c r="K84">
        <v>2</v>
      </c>
      <c r="L84">
        <v>3004.93</v>
      </c>
      <c r="M84">
        <v>600.99</v>
      </c>
      <c r="N84">
        <v>6009.86</v>
      </c>
      <c r="O84">
        <v>5408.87</v>
      </c>
      <c r="P84" t="s">
        <v>2111</v>
      </c>
      <c r="Q84" t="s">
        <v>1479</v>
      </c>
    </row>
    <row r="85" spans="1:17" x14ac:dyDescent="0.3">
      <c r="A85" t="s">
        <v>1678</v>
      </c>
      <c r="B85" t="s">
        <v>1677</v>
      </c>
      <c r="C85" s="1">
        <v>46159</v>
      </c>
      <c r="D85" t="s">
        <v>34</v>
      </c>
      <c r="E85" t="s">
        <v>50</v>
      </c>
      <c r="F85" t="s">
        <v>60</v>
      </c>
      <c r="G85" t="s">
        <v>149</v>
      </c>
      <c r="H85" t="s">
        <v>150</v>
      </c>
      <c r="I85" t="s">
        <v>37</v>
      </c>
      <c r="J85">
        <v>2999</v>
      </c>
      <c r="K85">
        <v>1</v>
      </c>
      <c r="L85">
        <v>2761.97</v>
      </c>
      <c r="M85">
        <v>138.1</v>
      </c>
      <c r="N85">
        <v>2761.97</v>
      </c>
      <c r="O85">
        <v>2623.87</v>
      </c>
      <c r="P85" t="s">
        <v>2111</v>
      </c>
      <c r="Q85" t="s">
        <v>1479</v>
      </c>
    </row>
    <row r="86" spans="1:17" x14ac:dyDescent="0.3">
      <c r="A86" t="s">
        <v>1874</v>
      </c>
      <c r="B86" t="s">
        <v>1873</v>
      </c>
      <c r="C86" s="1">
        <v>46178</v>
      </c>
      <c r="D86" t="s">
        <v>41</v>
      </c>
      <c r="E86" t="s">
        <v>50</v>
      </c>
      <c r="F86" t="s">
        <v>31</v>
      </c>
      <c r="G86" t="s">
        <v>112</v>
      </c>
      <c r="H86" t="s">
        <v>113</v>
      </c>
      <c r="I86" t="s">
        <v>37</v>
      </c>
      <c r="J86">
        <v>1499</v>
      </c>
      <c r="K86">
        <v>2</v>
      </c>
      <c r="L86">
        <v>1606.42</v>
      </c>
      <c r="M86">
        <v>160.63999999999999</v>
      </c>
      <c r="N86">
        <v>3212.84</v>
      </c>
      <c r="O86">
        <v>3052.2</v>
      </c>
      <c r="P86" t="s">
        <v>2111</v>
      </c>
      <c r="Q86" t="s">
        <v>1809</v>
      </c>
    </row>
    <row r="87" spans="1:17" x14ac:dyDescent="0.3">
      <c r="A87" t="s">
        <v>446</v>
      </c>
      <c r="B87" t="s">
        <v>445</v>
      </c>
      <c r="C87" s="1">
        <v>46048</v>
      </c>
      <c r="D87" t="s">
        <v>26</v>
      </c>
      <c r="E87" t="s">
        <v>50</v>
      </c>
      <c r="F87" t="s">
        <v>74</v>
      </c>
      <c r="G87" t="s">
        <v>355</v>
      </c>
      <c r="H87" t="s">
        <v>356</v>
      </c>
      <c r="I87" t="s">
        <v>82</v>
      </c>
      <c r="J87">
        <v>499</v>
      </c>
      <c r="K87">
        <v>1</v>
      </c>
      <c r="L87">
        <v>480.01</v>
      </c>
      <c r="M87">
        <v>48</v>
      </c>
      <c r="N87">
        <v>480.01</v>
      </c>
      <c r="O87">
        <v>432.01</v>
      </c>
      <c r="P87" t="s">
        <v>2111</v>
      </c>
      <c r="Q87" t="s">
        <v>23</v>
      </c>
    </row>
    <row r="88" spans="1:17" x14ac:dyDescent="0.3">
      <c r="A88" t="s">
        <v>2187</v>
      </c>
      <c r="B88" t="s">
        <v>750</v>
      </c>
      <c r="C88" s="1">
        <v>46186</v>
      </c>
      <c r="D88" t="s">
        <v>34</v>
      </c>
      <c r="E88" t="s">
        <v>17</v>
      </c>
      <c r="F88" t="s">
        <v>22</v>
      </c>
      <c r="G88" t="s">
        <v>101</v>
      </c>
      <c r="H88" t="s">
        <v>102</v>
      </c>
      <c r="I88" t="s">
        <v>45</v>
      </c>
      <c r="J88">
        <v>4999</v>
      </c>
      <c r="K88">
        <v>2</v>
      </c>
      <c r="L88">
        <v>5470.2</v>
      </c>
      <c r="M88">
        <v>1094.04</v>
      </c>
      <c r="N88">
        <v>10940.4</v>
      </c>
      <c r="O88">
        <v>9846.36</v>
      </c>
      <c r="P88" t="s">
        <v>2111</v>
      </c>
      <c r="Q88" t="s">
        <v>1809</v>
      </c>
    </row>
    <row r="89" spans="1:17" x14ac:dyDescent="0.3">
      <c r="A89" t="s">
        <v>1057</v>
      </c>
      <c r="B89" t="s">
        <v>1056</v>
      </c>
      <c r="C89" s="1">
        <v>46102</v>
      </c>
      <c r="D89" t="s">
        <v>63</v>
      </c>
      <c r="E89" t="s">
        <v>17</v>
      </c>
      <c r="F89" t="s">
        <v>74</v>
      </c>
      <c r="G89" t="s">
        <v>355</v>
      </c>
      <c r="H89" t="s">
        <v>356</v>
      </c>
      <c r="I89" t="s">
        <v>82</v>
      </c>
      <c r="J89">
        <v>499</v>
      </c>
      <c r="K89">
        <v>1</v>
      </c>
      <c r="L89">
        <v>460.86</v>
      </c>
      <c r="M89">
        <v>69.13</v>
      </c>
      <c r="N89">
        <v>460.86</v>
      </c>
      <c r="O89">
        <v>391.73</v>
      </c>
      <c r="P89" t="s">
        <v>2111</v>
      </c>
      <c r="Q89" t="s">
        <v>789</v>
      </c>
    </row>
    <row r="90" spans="1:17" x14ac:dyDescent="0.3">
      <c r="A90" t="s">
        <v>93</v>
      </c>
      <c r="B90" t="s">
        <v>90</v>
      </c>
      <c r="C90" s="1">
        <v>46024</v>
      </c>
      <c r="D90" t="s">
        <v>16</v>
      </c>
      <c r="E90" t="s">
        <v>17</v>
      </c>
      <c r="F90" t="s">
        <v>22</v>
      </c>
      <c r="G90" t="s">
        <v>106</v>
      </c>
      <c r="H90" t="s">
        <v>107</v>
      </c>
      <c r="I90" t="s">
        <v>108</v>
      </c>
      <c r="J90">
        <v>599</v>
      </c>
      <c r="K90">
        <v>4</v>
      </c>
      <c r="L90">
        <v>653.9</v>
      </c>
      <c r="M90">
        <v>130.78</v>
      </c>
      <c r="N90">
        <v>2615.6</v>
      </c>
      <c r="O90">
        <v>2484.8200000000002</v>
      </c>
      <c r="P90" t="s">
        <v>2111</v>
      </c>
      <c r="Q90" t="s">
        <v>23</v>
      </c>
    </row>
    <row r="91" spans="1:17" x14ac:dyDescent="0.3">
      <c r="A91" t="s">
        <v>2188</v>
      </c>
      <c r="B91" t="s">
        <v>2189</v>
      </c>
      <c r="C91" s="1">
        <v>46094</v>
      </c>
      <c r="D91" t="s">
        <v>34</v>
      </c>
      <c r="E91" t="s">
        <v>17</v>
      </c>
      <c r="F91" t="s">
        <v>74</v>
      </c>
      <c r="G91" t="s">
        <v>56</v>
      </c>
      <c r="H91" t="s">
        <v>57</v>
      </c>
      <c r="I91" t="s">
        <v>58</v>
      </c>
      <c r="J91">
        <v>8999</v>
      </c>
      <c r="K91">
        <v>1</v>
      </c>
      <c r="L91">
        <v>8262.9</v>
      </c>
      <c r="M91">
        <v>1652.58</v>
      </c>
      <c r="N91">
        <v>8262.9</v>
      </c>
      <c r="O91">
        <v>6610.32</v>
      </c>
      <c r="P91" t="s">
        <v>2111</v>
      </c>
      <c r="Q91" t="s">
        <v>789</v>
      </c>
    </row>
    <row r="92" spans="1:17" x14ac:dyDescent="0.3">
      <c r="A92" t="s">
        <v>2190</v>
      </c>
      <c r="B92" t="s">
        <v>1074</v>
      </c>
      <c r="C92" s="1">
        <v>46147</v>
      </c>
      <c r="D92" t="s">
        <v>34</v>
      </c>
      <c r="E92" t="s">
        <v>17</v>
      </c>
      <c r="F92" t="s">
        <v>31</v>
      </c>
      <c r="G92" t="s">
        <v>165</v>
      </c>
      <c r="H92" t="s">
        <v>166</v>
      </c>
      <c r="I92" t="s">
        <v>29</v>
      </c>
      <c r="J92">
        <v>449</v>
      </c>
      <c r="K92">
        <v>1</v>
      </c>
      <c r="L92">
        <v>424.85</v>
      </c>
      <c r="M92">
        <v>0</v>
      </c>
      <c r="N92">
        <v>424.85</v>
      </c>
      <c r="O92">
        <v>424.85</v>
      </c>
      <c r="P92" t="s">
        <v>2114</v>
      </c>
      <c r="Q92" t="s">
        <v>1479</v>
      </c>
    </row>
    <row r="93" spans="1:17" x14ac:dyDescent="0.3">
      <c r="A93" t="s">
        <v>1935</v>
      </c>
      <c r="B93" t="s">
        <v>1258</v>
      </c>
      <c r="C93" s="1">
        <v>46185</v>
      </c>
      <c r="D93" t="s">
        <v>41</v>
      </c>
      <c r="E93" t="s">
        <v>17</v>
      </c>
      <c r="F93" t="s">
        <v>31</v>
      </c>
      <c r="G93" t="s">
        <v>35</v>
      </c>
      <c r="H93" t="s">
        <v>36</v>
      </c>
      <c r="I93" t="s">
        <v>37</v>
      </c>
      <c r="J93">
        <v>799</v>
      </c>
      <c r="K93">
        <v>3</v>
      </c>
      <c r="L93">
        <v>726.54</v>
      </c>
      <c r="M93">
        <v>544.9</v>
      </c>
      <c r="N93">
        <v>2179.62</v>
      </c>
      <c r="O93">
        <v>1634.72</v>
      </c>
      <c r="P93" t="s">
        <v>2111</v>
      </c>
      <c r="Q93" t="s">
        <v>1809</v>
      </c>
    </row>
    <row r="94" spans="1:17" x14ac:dyDescent="0.3">
      <c r="A94" t="s">
        <v>1887</v>
      </c>
      <c r="B94" t="s">
        <v>116</v>
      </c>
      <c r="C94" s="1">
        <v>46180</v>
      </c>
      <c r="D94" t="s">
        <v>34</v>
      </c>
      <c r="E94" t="s">
        <v>50</v>
      </c>
      <c r="F94" t="s">
        <v>31</v>
      </c>
      <c r="G94" t="s">
        <v>250</v>
      </c>
      <c r="H94" t="s">
        <v>251</v>
      </c>
      <c r="I94" t="s">
        <v>108</v>
      </c>
      <c r="J94">
        <v>899</v>
      </c>
      <c r="K94">
        <v>1</v>
      </c>
      <c r="L94">
        <v>935.88</v>
      </c>
      <c r="M94">
        <v>0</v>
      </c>
      <c r="N94">
        <v>935.88</v>
      </c>
      <c r="O94">
        <v>935.88</v>
      </c>
      <c r="P94" t="s">
        <v>2111</v>
      </c>
      <c r="Q94" t="s">
        <v>1809</v>
      </c>
    </row>
    <row r="95" spans="1:17" x14ac:dyDescent="0.3">
      <c r="A95" t="s">
        <v>1262</v>
      </c>
      <c r="B95" t="s">
        <v>1261</v>
      </c>
      <c r="C95" s="1">
        <v>46122</v>
      </c>
      <c r="D95" t="s">
        <v>16</v>
      </c>
      <c r="E95" t="s">
        <v>17</v>
      </c>
      <c r="F95" t="s">
        <v>47</v>
      </c>
      <c r="G95" t="s">
        <v>160</v>
      </c>
      <c r="H95" t="s">
        <v>161</v>
      </c>
      <c r="I95" t="s">
        <v>82</v>
      </c>
      <c r="J95">
        <v>799</v>
      </c>
      <c r="K95">
        <v>2</v>
      </c>
      <c r="L95">
        <v>854.98</v>
      </c>
      <c r="M95">
        <v>171</v>
      </c>
      <c r="N95">
        <v>1709.96</v>
      </c>
      <c r="O95">
        <v>1538.96</v>
      </c>
      <c r="P95" t="s">
        <v>2111</v>
      </c>
      <c r="Q95" t="s">
        <v>1170</v>
      </c>
    </row>
    <row r="96" spans="1:17" x14ac:dyDescent="0.3">
      <c r="A96" t="s">
        <v>2191</v>
      </c>
      <c r="B96" t="s">
        <v>2192</v>
      </c>
      <c r="C96" s="1">
        <v>46127</v>
      </c>
      <c r="D96" t="s">
        <v>26</v>
      </c>
      <c r="E96" t="s">
        <v>50</v>
      </c>
      <c r="F96" t="s">
        <v>31</v>
      </c>
      <c r="G96" t="s">
        <v>149</v>
      </c>
      <c r="H96" t="s">
        <v>150</v>
      </c>
      <c r="I96" t="s">
        <v>37</v>
      </c>
      <c r="J96">
        <v>2999</v>
      </c>
      <c r="K96">
        <v>2</v>
      </c>
      <c r="L96">
        <v>2959.46</v>
      </c>
      <c r="M96">
        <v>295.95</v>
      </c>
      <c r="N96">
        <v>5918.92</v>
      </c>
      <c r="O96">
        <v>5622.97</v>
      </c>
      <c r="P96" t="s">
        <v>2111</v>
      </c>
      <c r="Q96" t="s">
        <v>1170</v>
      </c>
    </row>
    <row r="97" spans="1:17" x14ac:dyDescent="0.3">
      <c r="A97" t="s">
        <v>2193</v>
      </c>
      <c r="B97" t="s">
        <v>2194</v>
      </c>
      <c r="C97" s="1">
        <v>46134</v>
      </c>
      <c r="D97" t="s">
        <v>41</v>
      </c>
      <c r="E97" t="s">
        <v>17</v>
      </c>
      <c r="F97" t="s">
        <v>31</v>
      </c>
      <c r="G97" t="s">
        <v>250</v>
      </c>
      <c r="H97" t="s">
        <v>251</v>
      </c>
      <c r="I97" t="s">
        <v>108</v>
      </c>
      <c r="J97">
        <v>899</v>
      </c>
      <c r="K97">
        <v>2</v>
      </c>
      <c r="L97">
        <v>976.05</v>
      </c>
      <c r="M97">
        <v>195.21</v>
      </c>
      <c r="N97">
        <v>1952.1</v>
      </c>
      <c r="O97">
        <v>1756.89</v>
      </c>
      <c r="P97" t="s">
        <v>2111</v>
      </c>
      <c r="Q97" t="s">
        <v>1170</v>
      </c>
    </row>
    <row r="98" spans="1:17" x14ac:dyDescent="0.3">
      <c r="A98" t="s">
        <v>587</v>
      </c>
      <c r="B98" t="s">
        <v>586</v>
      </c>
      <c r="C98" s="1">
        <v>46062</v>
      </c>
      <c r="D98" t="s">
        <v>26</v>
      </c>
      <c r="E98" t="s">
        <v>17</v>
      </c>
      <c r="F98" t="s">
        <v>74</v>
      </c>
      <c r="G98" t="s">
        <v>43</v>
      </c>
      <c r="H98" t="s">
        <v>44</v>
      </c>
      <c r="I98" t="s">
        <v>45</v>
      </c>
      <c r="J98">
        <v>3299</v>
      </c>
      <c r="K98">
        <v>4</v>
      </c>
      <c r="L98">
        <v>3358.58</v>
      </c>
      <c r="M98">
        <v>1343.43</v>
      </c>
      <c r="N98">
        <v>13434.32</v>
      </c>
      <c r="O98">
        <v>12090.89</v>
      </c>
      <c r="P98" t="s">
        <v>2111</v>
      </c>
      <c r="Q98" t="s">
        <v>498</v>
      </c>
    </row>
    <row r="99" spans="1:17" x14ac:dyDescent="0.3">
      <c r="A99" t="s">
        <v>1729</v>
      </c>
      <c r="B99" t="s">
        <v>1728</v>
      </c>
      <c r="C99" s="1">
        <v>46165</v>
      </c>
      <c r="D99" t="s">
        <v>41</v>
      </c>
      <c r="E99" t="s">
        <v>17</v>
      </c>
      <c r="F99" t="s">
        <v>47</v>
      </c>
      <c r="G99" t="s">
        <v>91</v>
      </c>
      <c r="H99" t="s">
        <v>92</v>
      </c>
      <c r="I99" t="s">
        <v>37</v>
      </c>
      <c r="J99">
        <v>1899</v>
      </c>
      <c r="K99">
        <v>4</v>
      </c>
      <c r="L99">
        <v>1948.38</v>
      </c>
      <c r="M99">
        <v>779.35</v>
      </c>
      <c r="N99">
        <v>7793.52</v>
      </c>
      <c r="O99">
        <v>7014.17</v>
      </c>
      <c r="P99" t="s">
        <v>2111</v>
      </c>
      <c r="Q99" t="s">
        <v>1479</v>
      </c>
    </row>
    <row r="100" spans="1:17" x14ac:dyDescent="0.3">
      <c r="A100" t="s">
        <v>1350</v>
      </c>
      <c r="B100" t="s">
        <v>1349</v>
      </c>
      <c r="C100" s="1">
        <v>46132</v>
      </c>
      <c r="D100" t="s">
        <v>26</v>
      </c>
      <c r="E100" t="s">
        <v>50</v>
      </c>
      <c r="F100" t="s">
        <v>22</v>
      </c>
      <c r="G100" t="s">
        <v>191</v>
      </c>
      <c r="H100" t="s">
        <v>192</v>
      </c>
      <c r="I100" t="s">
        <v>45</v>
      </c>
      <c r="J100">
        <v>699</v>
      </c>
      <c r="K100">
        <v>1</v>
      </c>
      <c r="L100">
        <v>747.29</v>
      </c>
      <c r="M100">
        <v>74.73</v>
      </c>
      <c r="N100">
        <v>747.29</v>
      </c>
      <c r="O100">
        <v>672.56</v>
      </c>
      <c r="P100" t="s">
        <v>2111</v>
      </c>
      <c r="Q100" t="s">
        <v>1170</v>
      </c>
    </row>
    <row r="101" spans="1:17" x14ac:dyDescent="0.3">
      <c r="A101" t="s">
        <v>2195</v>
      </c>
      <c r="B101" t="s">
        <v>2157</v>
      </c>
      <c r="C101" s="1">
        <v>46069</v>
      </c>
      <c r="D101" t="s">
        <v>63</v>
      </c>
      <c r="E101" t="s">
        <v>50</v>
      </c>
      <c r="F101" t="s">
        <v>31</v>
      </c>
      <c r="G101" t="s">
        <v>112</v>
      </c>
      <c r="H101" t="s">
        <v>113</v>
      </c>
      <c r="I101" t="s">
        <v>37</v>
      </c>
      <c r="J101">
        <v>1499</v>
      </c>
      <c r="K101">
        <v>2</v>
      </c>
      <c r="L101">
        <v>1438.08</v>
      </c>
      <c r="M101">
        <v>431.42</v>
      </c>
      <c r="N101">
        <v>2876.16</v>
      </c>
      <c r="O101">
        <v>2444.7399999999998</v>
      </c>
      <c r="P101" t="s">
        <v>2111</v>
      </c>
      <c r="Q101" t="s">
        <v>498</v>
      </c>
    </row>
    <row r="102" spans="1:17" x14ac:dyDescent="0.3">
      <c r="A102" t="s">
        <v>1566</v>
      </c>
      <c r="B102" t="s">
        <v>1565</v>
      </c>
      <c r="C102" s="1">
        <v>46150</v>
      </c>
      <c r="D102" t="s">
        <v>16</v>
      </c>
      <c r="E102" t="s">
        <v>42</v>
      </c>
      <c r="F102" t="s">
        <v>31</v>
      </c>
      <c r="G102" t="s">
        <v>112</v>
      </c>
      <c r="H102" t="s">
        <v>113</v>
      </c>
      <c r="I102" t="s">
        <v>37</v>
      </c>
      <c r="J102">
        <v>1499</v>
      </c>
      <c r="K102">
        <v>2</v>
      </c>
      <c r="L102">
        <v>1455.31</v>
      </c>
      <c r="M102">
        <v>436.59</v>
      </c>
      <c r="N102">
        <v>2910.62</v>
      </c>
      <c r="O102">
        <v>2474.0300000000002</v>
      </c>
      <c r="P102" t="s">
        <v>2111</v>
      </c>
      <c r="Q102" t="s">
        <v>1479</v>
      </c>
    </row>
    <row r="103" spans="1:17" x14ac:dyDescent="0.3">
      <c r="A103" t="s">
        <v>1005</v>
      </c>
      <c r="B103" t="s">
        <v>1004</v>
      </c>
      <c r="C103" s="1">
        <v>46098</v>
      </c>
      <c r="D103" t="s">
        <v>16</v>
      </c>
      <c r="E103" t="s">
        <v>17</v>
      </c>
      <c r="F103" t="s">
        <v>31</v>
      </c>
      <c r="G103" t="s">
        <v>101</v>
      </c>
      <c r="H103" t="s">
        <v>102</v>
      </c>
      <c r="I103" t="s">
        <v>45</v>
      </c>
      <c r="J103">
        <v>4999</v>
      </c>
      <c r="K103">
        <v>2</v>
      </c>
      <c r="L103">
        <v>5404.87</v>
      </c>
      <c r="M103">
        <v>2161.9499999999998</v>
      </c>
      <c r="N103">
        <v>10809.74</v>
      </c>
      <c r="O103">
        <v>8647.7900000000009</v>
      </c>
      <c r="P103" t="s">
        <v>2114</v>
      </c>
      <c r="Q103" t="s">
        <v>789</v>
      </c>
    </row>
    <row r="104" spans="1:17" x14ac:dyDescent="0.3">
      <c r="A104" t="s">
        <v>1126</v>
      </c>
      <c r="B104" t="s">
        <v>1125</v>
      </c>
      <c r="C104" s="1">
        <v>46108</v>
      </c>
      <c r="D104" t="s">
        <v>16</v>
      </c>
      <c r="E104" t="s">
        <v>17</v>
      </c>
      <c r="F104" t="s">
        <v>60</v>
      </c>
      <c r="G104" t="s">
        <v>35</v>
      </c>
      <c r="H104" t="s">
        <v>36</v>
      </c>
      <c r="I104" t="s">
        <v>37</v>
      </c>
      <c r="J104">
        <v>799</v>
      </c>
      <c r="K104">
        <v>1</v>
      </c>
      <c r="L104">
        <v>863.07</v>
      </c>
      <c r="M104">
        <v>43.15</v>
      </c>
      <c r="N104">
        <v>863.07</v>
      </c>
      <c r="O104">
        <v>819.92</v>
      </c>
      <c r="P104" t="s">
        <v>2111</v>
      </c>
      <c r="Q104" t="s">
        <v>789</v>
      </c>
    </row>
    <row r="105" spans="1:17" x14ac:dyDescent="0.3">
      <c r="A105" t="s">
        <v>2196</v>
      </c>
      <c r="B105" t="s">
        <v>2197</v>
      </c>
      <c r="C105" s="1">
        <v>46157</v>
      </c>
      <c r="D105" t="s">
        <v>16</v>
      </c>
      <c r="E105" t="s">
        <v>50</v>
      </c>
      <c r="F105" t="s">
        <v>47</v>
      </c>
      <c r="G105" t="s">
        <v>27</v>
      </c>
      <c r="H105" t="s">
        <v>28</v>
      </c>
      <c r="I105" t="s">
        <v>29</v>
      </c>
      <c r="J105">
        <v>1599</v>
      </c>
      <c r="K105">
        <v>2</v>
      </c>
      <c r="L105">
        <v>1751.38</v>
      </c>
      <c r="M105">
        <v>350.28</v>
      </c>
      <c r="N105">
        <v>3502.76</v>
      </c>
      <c r="O105">
        <v>3152.48</v>
      </c>
      <c r="P105" t="s">
        <v>2111</v>
      </c>
      <c r="Q105" t="s">
        <v>1479</v>
      </c>
    </row>
    <row r="106" spans="1:17" x14ac:dyDescent="0.3">
      <c r="A106" t="s">
        <v>2198</v>
      </c>
      <c r="B106" t="s">
        <v>2199</v>
      </c>
      <c r="C106" s="1">
        <v>46189</v>
      </c>
      <c r="D106" t="s">
        <v>34</v>
      </c>
      <c r="E106" t="s">
        <v>50</v>
      </c>
      <c r="F106" t="s">
        <v>22</v>
      </c>
      <c r="G106" t="s">
        <v>91</v>
      </c>
      <c r="H106" t="s">
        <v>92</v>
      </c>
      <c r="I106" t="s">
        <v>37</v>
      </c>
      <c r="J106">
        <v>1899</v>
      </c>
      <c r="K106">
        <v>4</v>
      </c>
      <c r="L106">
        <v>2051.62</v>
      </c>
      <c r="M106">
        <v>820.65</v>
      </c>
      <c r="N106">
        <v>8206.48</v>
      </c>
      <c r="O106">
        <v>7385.83</v>
      </c>
      <c r="P106" t="s">
        <v>2111</v>
      </c>
      <c r="Q106" t="s">
        <v>1809</v>
      </c>
    </row>
    <row r="107" spans="1:17" x14ac:dyDescent="0.3">
      <c r="A107" t="s">
        <v>1964</v>
      </c>
      <c r="B107" t="s">
        <v>496</v>
      </c>
      <c r="C107" s="1">
        <v>46190</v>
      </c>
      <c r="D107" t="s">
        <v>63</v>
      </c>
      <c r="E107" t="s">
        <v>50</v>
      </c>
      <c r="F107" t="s">
        <v>22</v>
      </c>
      <c r="G107" t="s">
        <v>56</v>
      </c>
      <c r="H107" t="s">
        <v>57</v>
      </c>
      <c r="I107" t="s">
        <v>58</v>
      </c>
      <c r="J107">
        <v>8999</v>
      </c>
      <c r="K107">
        <v>3</v>
      </c>
      <c r="L107">
        <v>8328.34</v>
      </c>
      <c r="M107">
        <v>1249.25</v>
      </c>
      <c r="N107">
        <v>24985.02</v>
      </c>
      <c r="O107">
        <v>23735.77</v>
      </c>
      <c r="P107" t="s">
        <v>2111</v>
      </c>
      <c r="Q107" t="s">
        <v>1809</v>
      </c>
    </row>
    <row r="108" spans="1:17" x14ac:dyDescent="0.3">
      <c r="A108" t="s">
        <v>2200</v>
      </c>
      <c r="B108" t="s">
        <v>2201</v>
      </c>
      <c r="C108" s="1">
        <v>46073</v>
      </c>
      <c r="D108" t="s">
        <v>16</v>
      </c>
      <c r="E108" t="s">
        <v>17</v>
      </c>
      <c r="F108" t="s">
        <v>22</v>
      </c>
      <c r="G108" t="s">
        <v>165</v>
      </c>
      <c r="H108" t="s">
        <v>166</v>
      </c>
      <c r="I108" t="s">
        <v>29</v>
      </c>
      <c r="J108">
        <v>449</v>
      </c>
      <c r="K108">
        <v>1</v>
      </c>
      <c r="L108">
        <v>478.07</v>
      </c>
      <c r="M108">
        <v>47.81</v>
      </c>
      <c r="N108">
        <v>478.07</v>
      </c>
      <c r="O108">
        <v>430.26</v>
      </c>
      <c r="P108" t="s">
        <v>2114</v>
      </c>
      <c r="Q108" t="s">
        <v>498</v>
      </c>
    </row>
    <row r="109" spans="1:17" x14ac:dyDescent="0.3">
      <c r="A109" t="s">
        <v>939</v>
      </c>
      <c r="B109" t="s">
        <v>938</v>
      </c>
      <c r="C109" s="1">
        <v>46092</v>
      </c>
      <c r="D109" t="s">
        <v>34</v>
      </c>
      <c r="E109" t="s">
        <v>50</v>
      </c>
      <c r="F109" t="s">
        <v>47</v>
      </c>
      <c r="G109" t="s">
        <v>101</v>
      </c>
      <c r="H109" t="s">
        <v>102</v>
      </c>
      <c r="I109" t="s">
        <v>45</v>
      </c>
      <c r="J109">
        <v>4999</v>
      </c>
      <c r="K109">
        <v>1</v>
      </c>
      <c r="L109">
        <v>4908.8599999999997</v>
      </c>
      <c r="M109">
        <v>245.44</v>
      </c>
      <c r="N109">
        <v>4908.8599999999997</v>
      </c>
      <c r="O109">
        <v>4663.42</v>
      </c>
      <c r="P109" t="s">
        <v>2111</v>
      </c>
      <c r="Q109" t="s">
        <v>789</v>
      </c>
    </row>
    <row r="110" spans="1:17" x14ac:dyDescent="0.3">
      <c r="A110" t="s">
        <v>617</v>
      </c>
      <c r="B110" t="s">
        <v>616</v>
      </c>
      <c r="C110" s="1">
        <v>46064</v>
      </c>
      <c r="D110" t="s">
        <v>63</v>
      </c>
      <c r="E110" t="s">
        <v>17</v>
      </c>
      <c r="F110" t="s">
        <v>47</v>
      </c>
      <c r="G110" t="s">
        <v>96</v>
      </c>
      <c r="H110" t="s">
        <v>97</v>
      </c>
      <c r="I110" t="s">
        <v>58</v>
      </c>
      <c r="J110">
        <v>7499</v>
      </c>
      <c r="K110">
        <v>1</v>
      </c>
      <c r="L110">
        <v>8235.1</v>
      </c>
      <c r="M110">
        <v>0</v>
      </c>
      <c r="N110">
        <v>8235.1</v>
      </c>
      <c r="O110">
        <v>8235.1</v>
      </c>
      <c r="P110" t="s">
        <v>2111</v>
      </c>
      <c r="Q110" t="s">
        <v>498</v>
      </c>
    </row>
    <row r="111" spans="1:17" x14ac:dyDescent="0.3">
      <c r="A111" t="s">
        <v>2202</v>
      </c>
      <c r="B111" t="s">
        <v>2203</v>
      </c>
      <c r="C111" s="1">
        <v>46036</v>
      </c>
      <c r="D111" t="s">
        <v>63</v>
      </c>
      <c r="E111" t="s">
        <v>17</v>
      </c>
      <c r="F111" t="s">
        <v>31</v>
      </c>
      <c r="G111" t="s">
        <v>43</v>
      </c>
      <c r="H111" t="s">
        <v>44</v>
      </c>
      <c r="I111" t="s">
        <v>45</v>
      </c>
      <c r="J111">
        <v>3299</v>
      </c>
      <c r="K111">
        <v>2</v>
      </c>
      <c r="L111">
        <v>3280.71</v>
      </c>
      <c r="M111">
        <v>328.07</v>
      </c>
      <c r="N111">
        <v>6561.42</v>
      </c>
      <c r="O111">
        <v>6233.35</v>
      </c>
      <c r="P111" t="s">
        <v>2111</v>
      </c>
      <c r="Q111" t="s">
        <v>23</v>
      </c>
    </row>
    <row r="112" spans="1:17" x14ac:dyDescent="0.3">
      <c r="A112" t="s">
        <v>2204</v>
      </c>
      <c r="B112" t="s">
        <v>957</v>
      </c>
      <c r="C112" s="1">
        <v>46077</v>
      </c>
      <c r="D112" t="s">
        <v>41</v>
      </c>
      <c r="E112" t="s">
        <v>17</v>
      </c>
      <c r="F112" t="s">
        <v>22</v>
      </c>
      <c r="G112" t="s">
        <v>165</v>
      </c>
      <c r="H112" t="s">
        <v>166</v>
      </c>
      <c r="I112" t="s">
        <v>29</v>
      </c>
      <c r="J112">
        <v>449</v>
      </c>
      <c r="K112">
        <v>2</v>
      </c>
      <c r="L112">
        <v>453.83</v>
      </c>
      <c r="M112">
        <v>0</v>
      </c>
      <c r="N112">
        <v>907.66</v>
      </c>
      <c r="O112">
        <v>907.66</v>
      </c>
      <c r="P112" t="s">
        <v>2111</v>
      </c>
      <c r="Q112" t="s">
        <v>498</v>
      </c>
    </row>
    <row r="113" spans="1:17" x14ac:dyDescent="0.3">
      <c r="A113" t="s">
        <v>1757</v>
      </c>
      <c r="B113" t="s">
        <v>1230</v>
      </c>
      <c r="C113" s="1">
        <v>46168</v>
      </c>
      <c r="D113" t="s">
        <v>41</v>
      </c>
      <c r="E113" t="s">
        <v>17</v>
      </c>
      <c r="F113" t="s">
        <v>60</v>
      </c>
      <c r="G113" t="s">
        <v>106</v>
      </c>
      <c r="H113" t="s">
        <v>107</v>
      </c>
      <c r="I113" t="s">
        <v>108</v>
      </c>
      <c r="J113">
        <v>599</v>
      </c>
      <c r="K113">
        <v>1</v>
      </c>
      <c r="L113">
        <v>602.57000000000005</v>
      </c>
      <c r="M113">
        <v>90.39</v>
      </c>
      <c r="N113">
        <v>602.57000000000005</v>
      </c>
      <c r="O113">
        <v>512.17999999999995</v>
      </c>
      <c r="P113" t="s">
        <v>2111</v>
      </c>
      <c r="Q113" t="s">
        <v>1479</v>
      </c>
    </row>
    <row r="114" spans="1:17" x14ac:dyDescent="0.3">
      <c r="A114" t="s">
        <v>2205</v>
      </c>
      <c r="B114" t="s">
        <v>2206</v>
      </c>
      <c r="C114" s="1">
        <v>46048</v>
      </c>
      <c r="D114" t="s">
        <v>34</v>
      </c>
      <c r="E114" t="s">
        <v>50</v>
      </c>
      <c r="F114" t="s">
        <v>60</v>
      </c>
      <c r="G114" t="s">
        <v>91</v>
      </c>
      <c r="H114" t="s">
        <v>92</v>
      </c>
      <c r="I114" t="s">
        <v>37</v>
      </c>
      <c r="J114">
        <v>1899</v>
      </c>
      <c r="K114">
        <v>1</v>
      </c>
      <c r="L114">
        <v>1831.3</v>
      </c>
      <c r="M114">
        <v>274.7</v>
      </c>
      <c r="N114">
        <v>1831.3</v>
      </c>
      <c r="O114">
        <v>1556.6</v>
      </c>
      <c r="P114" t="s">
        <v>2111</v>
      </c>
      <c r="Q114" t="s">
        <v>23</v>
      </c>
    </row>
    <row r="115" spans="1:17" x14ac:dyDescent="0.3">
      <c r="A115" t="s">
        <v>2207</v>
      </c>
      <c r="B115" t="s">
        <v>2208</v>
      </c>
      <c r="C115" s="1">
        <v>46034</v>
      </c>
      <c r="D115" t="s">
        <v>16</v>
      </c>
      <c r="E115" t="s">
        <v>17</v>
      </c>
      <c r="F115" t="s">
        <v>31</v>
      </c>
      <c r="G115" t="s">
        <v>101</v>
      </c>
      <c r="H115" t="s">
        <v>102</v>
      </c>
      <c r="I115" t="s">
        <v>45</v>
      </c>
      <c r="J115">
        <v>4999</v>
      </c>
      <c r="K115">
        <v>1</v>
      </c>
      <c r="L115">
        <v>4574.1099999999997</v>
      </c>
      <c r="M115">
        <v>1143.53</v>
      </c>
      <c r="N115">
        <v>4574.1099999999997</v>
      </c>
      <c r="O115">
        <v>3430.58</v>
      </c>
      <c r="P115" t="s">
        <v>2111</v>
      </c>
      <c r="Q115" t="s">
        <v>23</v>
      </c>
    </row>
    <row r="116" spans="1:17" x14ac:dyDescent="0.3">
      <c r="A116" t="s">
        <v>1750</v>
      </c>
      <c r="B116" t="s">
        <v>1749</v>
      </c>
      <c r="C116" s="1">
        <v>46168</v>
      </c>
      <c r="D116" t="s">
        <v>16</v>
      </c>
      <c r="E116" t="s">
        <v>50</v>
      </c>
      <c r="F116" t="s">
        <v>74</v>
      </c>
      <c r="G116" t="s">
        <v>18</v>
      </c>
      <c r="H116" t="s">
        <v>19</v>
      </c>
      <c r="I116" t="s">
        <v>20</v>
      </c>
      <c r="J116">
        <v>2799</v>
      </c>
      <c r="K116">
        <v>1</v>
      </c>
      <c r="L116">
        <v>3020.49</v>
      </c>
      <c r="M116">
        <v>453.07</v>
      </c>
      <c r="N116">
        <v>3020.49</v>
      </c>
      <c r="O116">
        <v>2567.42</v>
      </c>
      <c r="P116" t="s">
        <v>2114</v>
      </c>
      <c r="Q116" t="s">
        <v>1479</v>
      </c>
    </row>
    <row r="117" spans="1:17" x14ac:dyDescent="0.3">
      <c r="A117" t="s">
        <v>2209</v>
      </c>
      <c r="B117" t="s">
        <v>2210</v>
      </c>
      <c r="C117" s="1">
        <v>46028</v>
      </c>
      <c r="D117" t="s">
        <v>16</v>
      </c>
      <c r="E117" t="s">
        <v>17</v>
      </c>
      <c r="F117" t="s">
        <v>22</v>
      </c>
      <c r="G117" t="s">
        <v>191</v>
      </c>
      <c r="H117" t="s">
        <v>192</v>
      </c>
      <c r="I117" t="s">
        <v>45</v>
      </c>
      <c r="J117">
        <v>699</v>
      </c>
      <c r="K117">
        <v>3</v>
      </c>
      <c r="L117">
        <v>741.31</v>
      </c>
      <c r="M117">
        <v>0</v>
      </c>
      <c r="N117">
        <v>2223.9299999999998</v>
      </c>
      <c r="O117">
        <v>2223.9299999999998</v>
      </c>
      <c r="P117" t="s">
        <v>2111</v>
      </c>
      <c r="Q117" t="s">
        <v>23</v>
      </c>
    </row>
    <row r="118" spans="1:17" x14ac:dyDescent="0.3">
      <c r="A118" t="s">
        <v>768</v>
      </c>
      <c r="B118" t="s">
        <v>767</v>
      </c>
      <c r="C118" s="1">
        <v>46080</v>
      </c>
      <c r="D118" t="s">
        <v>41</v>
      </c>
      <c r="E118" t="s">
        <v>17</v>
      </c>
      <c r="F118" t="s">
        <v>31</v>
      </c>
      <c r="G118" t="s">
        <v>160</v>
      </c>
      <c r="H118" t="s">
        <v>161</v>
      </c>
      <c r="I118" t="s">
        <v>82</v>
      </c>
      <c r="J118">
        <v>799</v>
      </c>
      <c r="K118">
        <v>2</v>
      </c>
      <c r="L118">
        <v>741.4</v>
      </c>
      <c r="M118">
        <v>296.56</v>
      </c>
      <c r="N118">
        <v>1482.8</v>
      </c>
      <c r="O118">
        <v>1186.24</v>
      </c>
      <c r="P118" t="s">
        <v>2111</v>
      </c>
      <c r="Q118" t="s">
        <v>498</v>
      </c>
    </row>
    <row r="119" spans="1:17" x14ac:dyDescent="0.3">
      <c r="A119" t="s">
        <v>2211</v>
      </c>
      <c r="B119" t="s">
        <v>2212</v>
      </c>
      <c r="C119" s="1">
        <v>46197</v>
      </c>
      <c r="D119" t="s">
        <v>63</v>
      </c>
      <c r="E119" t="s">
        <v>50</v>
      </c>
      <c r="F119" t="s">
        <v>31</v>
      </c>
      <c r="G119" t="s">
        <v>250</v>
      </c>
      <c r="H119" t="s">
        <v>251</v>
      </c>
      <c r="I119" t="s">
        <v>108</v>
      </c>
      <c r="J119">
        <v>899</v>
      </c>
      <c r="K119">
        <v>1</v>
      </c>
      <c r="L119">
        <v>948.76</v>
      </c>
      <c r="M119">
        <v>189.75</v>
      </c>
      <c r="N119">
        <v>948.76</v>
      </c>
      <c r="O119">
        <v>759.01</v>
      </c>
      <c r="P119" t="s">
        <v>2111</v>
      </c>
      <c r="Q119" t="s">
        <v>1809</v>
      </c>
    </row>
    <row r="120" spans="1:17" x14ac:dyDescent="0.3">
      <c r="A120" t="s">
        <v>2213</v>
      </c>
      <c r="B120" t="s">
        <v>2214</v>
      </c>
      <c r="C120" s="1">
        <v>46185</v>
      </c>
      <c r="D120" t="s">
        <v>26</v>
      </c>
      <c r="E120" t="s">
        <v>17</v>
      </c>
      <c r="F120" t="s">
        <v>47</v>
      </c>
      <c r="G120" t="s">
        <v>106</v>
      </c>
      <c r="H120" t="s">
        <v>107</v>
      </c>
      <c r="I120" t="s">
        <v>108</v>
      </c>
      <c r="J120">
        <v>599</v>
      </c>
      <c r="K120">
        <v>1</v>
      </c>
      <c r="L120">
        <v>614.08000000000004</v>
      </c>
      <c r="M120">
        <v>61.41</v>
      </c>
      <c r="N120">
        <v>614.08000000000004</v>
      </c>
      <c r="O120">
        <v>552.66999999999996</v>
      </c>
      <c r="P120" t="s">
        <v>2111</v>
      </c>
      <c r="Q120" t="s">
        <v>1809</v>
      </c>
    </row>
    <row r="121" spans="1:17" x14ac:dyDescent="0.3">
      <c r="A121" t="s">
        <v>2215</v>
      </c>
      <c r="B121" t="s">
        <v>2216</v>
      </c>
      <c r="C121" s="1">
        <v>46144</v>
      </c>
      <c r="D121" t="s">
        <v>16</v>
      </c>
      <c r="E121" t="s">
        <v>50</v>
      </c>
      <c r="F121" t="s">
        <v>22</v>
      </c>
      <c r="G121" t="s">
        <v>56</v>
      </c>
      <c r="H121" t="s">
        <v>57</v>
      </c>
      <c r="I121" t="s">
        <v>58</v>
      </c>
      <c r="J121">
        <v>8999</v>
      </c>
      <c r="K121">
        <v>1</v>
      </c>
      <c r="L121">
        <v>8835.48</v>
      </c>
      <c r="M121">
        <v>883.55</v>
      </c>
      <c r="N121">
        <v>8835.48</v>
      </c>
      <c r="O121">
        <v>7951.93</v>
      </c>
      <c r="P121" t="s">
        <v>2111</v>
      </c>
      <c r="Q121" t="s">
        <v>1479</v>
      </c>
    </row>
    <row r="122" spans="1:17" x14ac:dyDescent="0.3">
      <c r="A122" t="s">
        <v>703</v>
      </c>
      <c r="B122" t="s">
        <v>187</v>
      </c>
      <c r="C122" s="1">
        <v>46074</v>
      </c>
      <c r="D122" t="s">
        <v>16</v>
      </c>
      <c r="E122" t="s">
        <v>17</v>
      </c>
      <c r="F122" t="s">
        <v>60</v>
      </c>
      <c r="G122" t="s">
        <v>51</v>
      </c>
      <c r="H122" t="s">
        <v>52</v>
      </c>
      <c r="I122" t="s">
        <v>20</v>
      </c>
      <c r="J122">
        <v>999</v>
      </c>
      <c r="K122">
        <v>4</v>
      </c>
      <c r="L122">
        <v>949.85</v>
      </c>
      <c r="M122">
        <v>949.85</v>
      </c>
      <c r="N122">
        <v>3799.4</v>
      </c>
      <c r="O122">
        <v>2849.55</v>
      </c>
      <c r="P122" t="s">
        <v>2111</v>
      </c>
      <c r="Q122" t="s">
        <v>498</v>
      </c>
    </row>
    <row r="123" spans="1:17" x14ac:dyDescent="0.3">
      <c r="A123" t="s">
        <v>2217</v>
      </c>
      <c r="B123" t="s">
        <v>2218</v>
      </c>
      <c r="C123" s="1">
        <v>46037</v>
      </c>
      <c r="D123" t="s">
        <v>34</v>
      </c>
      <c r="E123" t="s">
        <v>17</v>
      </c>
      <c r="F123" t="s">
        <v>31</v>
      </c>
      <c r="G123" t="s">
        <v>355</v>
      </c>
      <c r="H123" t="s">
        <v>356</v>
      </c>
      <c r="I123" t="s">
        <v>82</v>
      </c>
      <c r="J123">
        <v>499</v>
      </c>
      <c r="K123">
        <v>1</v>
      </c>
      <c r="L123">
        <v>534.9</v>
      </c>
      <c r="M123">
        <v>53.49</v>
      </c>
      <c r="N123">
        <v>534.9</v>
      </c>
      <c r="O123">
        <v>481.41</v>
      </c>
      <c r="P123" t="s">
        <v>2111</v>
      </c>
      <c r="Q123" t="s">
        <v>23</v>
      </c>
    </row>
    <row r="124" spans="1:17" x14ac:dyDescent="0.3">
      <c r="A124" t="s">
        <v>1942</v>
      </c>
      <c r="B124" t="s">
        <v>1340</v>
      </c>
      <c r="C124" s="1">
        <v>46186</v>
      </c>
      <c r="D124" t="s">
        <v>63</v>
      </c>
      <c r="E124" t="s">
        <v>17</v>
      </c>
      <c r="F124" t="s">
        <v>31</v>
      </c>
      <c r="G124" t="s">
        <v>27</v>
      </c>
      <c r="H124" t="s">
        <v>28</v>
      </c>
      <c r="I124" t="s">
        <v>29</v>
      </c>
      <c r="J124">
        <v>1599</v>
      </c>
      <c r="K124">
        <v>1</v>
      </c>
      <c r="L124">
        <v>1663.02</v>
      </c>
      <c r="M124">
        <v>332.6</v>
      </c>
      <c r="N124">
        <v>1663.02</v>
      </c>
      <c r="O124">
        <v>1330.42</v>
      </c>
      <c r="P124" t="s">
        <v>2114</v>
      </c>
      <c r="Q124" t="s">
        <v>1809</v>
      </c>
    </row>
    <row r="125" spans="1:17" x14ac:dyDescent="0.3">
      <c r="A125" t="s">
        <v>2219</v>
      </c>
      <c r="B125" t="s">
        <v>2220</v>
      </c>
      <c r="C125" s="1">
        <v>46128</v>
      </c>
      <c r="D125" t="s">
        <v>16</v>
      </c>
      <c r="E125" t="s">
        <v>17</v>
      </c>
      <c r="F125" t="s">
        <v>60</v>
      </c>
      <c r="G125" t="s">
        <v>51</v>
      </c>
      <c r="H125" t="s">
        <v>52</v>
      </c>
      <c r="I125" t="s">
        <v>20</v>
      </c>
      <c r="J125">
        <v>999</v>
      </c>
      <c r="K125">
        <v>1</v>
      </c>
      <c r="L125">
        <v>1008.54</v>
      </c>
      <c r="M125">
        <v>0</v>
      </c>
      <c r="N125">
        <v>1008.54</v>
      </c>
      <c r="O125">
        <v>1008.54</v>
      </c>
      <c r="P125" t="s">
        <v>2111</v>
      </c>
      <c r="Q125" t="s">
        <v>1170</v>
      </c>
    </row>
    <row r="126" spans="1:17" x14ac:dyDescent="0.3">
      <c r="A126" t="s">
        <v>2221</v>
      </c>
      <c r="B126" t="s">
        <v>2222</v>
      </c>
      <c r="C126" s="1">
        <v>46168</v>
      </c>
      <c r="D126" t="s">
        <v>16</v>
      </c>
      <c r="E126" t="s">
        <v>50</v>
      </c>
      <c r="F126" t="s">
        <v>22</v>
      </c>
      <c r="G126" t="s">
        <v>27</v>
      </c>
      <c r="H126" t="s">
        <v>28</v>
      </c>
      <c r="I126" t="s">
        <v>29</v>
      </c>
      <c r="J126">
        <v>1599</v>
      </c>
      <c r="K126">
        <v>2</v>
      </c>
      <c r="L126">
        <v>1634.04</v>
      </c>
      <c r="M126">
        <v>0</v>
      </c>
      <c r="N126">
        <v>3268.08</v>
      </c>
      <c r="O126">
        <v>3268.08</v>
      </c>
      <c r="P126" t="s">
        <v>2111</v>
      </c>
      <c r="Q126" t="s">
        <v>1479</v>
      </c>
    </row>
    <row r="127" spans="1:17" x14ac:dyDescent="0.3">
      <c r="A127" t="s">
        <v>1288</v>
      </c>
      <c r="B127" t="s">
        <v>1287</v>
      </c>
      <c r="C127" s="1">
        <v>46126</v>
      </c>
      <c r="D127" t="s">
        <v>34</v>
      </c>
      <c r="E127" t="s">
        <v>50</v>
      </c>
      <c r="F127" t="s">
        <v>22</v>
      </c>
      <c r="G127" t="s">
        <v>86</v>
      </c>
      <c r="H127" t="s">
        <v>87</v>
      </c>
      <c r="I127" t="s">
        <v>82</v>
      </c>
      <c r="J127">
        <v>3499</v>
      </c>
      <c r="K127">
        <v>2</v>
      </c>
      <c r="L127">
        <v>3212.83</v>
      </c>
      <c r="M127">
        <v>642.57000000000005</v>
      </c>
      <c r="N127">
        <v>6425.66</v>
      </c>
      <c r="O127">
        <v>5783.09</v>
      </c>
      <c r="P127" t="s">
        <v>2111</v>
      </c>
      <c r="Q127" t="s">
        <v>1170</v>
      </c>
    </row>
    <row r="128" spans="1:17" x14ac:dyDescent="0.3">
      <c r="A128" t="s">
        <v>2223</v>
      </c>
      <c r="B128" t="s">
        <v>1168</v>
      </c>
      <c r="C128" s="1">
        <v>46088</v>
      </c>
      <c r="D128" t="s">
        <v>63</v>
      </c>
      <c r="E128" t="s">
        <v>17</v>
      </c>
      <c r="F128" t="s">
        <v>60</v>
      </c>
      <c r="G128" t="s">
        <v>80</v>
      </c>
      <c r="H128" t="s">
        <v>81</v>
      </c>
      <c r="I128" t="s">
        <v>82</v>
      </c>
      <c r="J128">
        <v>4299</v>
      </c>
      <c r="K128">
        <v>2</v>
      </c>
      <c r="L128">
        <v>4276.58</v>
      </c>
      <c r="M128">
        <v>855.32</v>
      </c>
      <c r="N128">
        <v>8553.16</v>
      </c>
      <c r="O128">
        <v>7697.84</v>
      </c>
      <c r="P128" t="s">
        <v>2111</v>
      </c>
      <c r="Q128" t="s">
        <v>789</v>
      </c>
    </row>
    <row r="129" spans="1:17" x14ac:dyDescent="0.3">
      <c r="A129" t="s">
        <v>751</v>
      </c>
      <c r="B129" t="s">
        <v>750</v>
      </c>
      <c r="C129" s="1">
        <v>46078</v>
      </c>
      <c r="D129" t="s">
        <v>16</v>
      </c>
      <c r="E129" t="s">
        <v>17</v>
      </c>
      <c r="F129" t="s">
        <v>74</v>
      </c>
      <c r="G129" t="s">
        <v>51</v>
      </c>
      <c r="H129" t="s">
        <v>52</v>
      </c>
      <c r="I129" t="s">
        <v>20</v>
      </c>
      <c r="J129">
        <v>999</v>
      </c>
      <c r="K129">
        <v>1</v>
      </c>
      <c r="L129">
        <v>937.8</v>
      </c>
      <c r="M129">
        <v>140.66999999999999</v>
      </c>
      <c r="N129">
        <v>937.8</v>
      </c>
      <c r="O129">
        <v>797.13</v>
      </c>
      <c r="P129" t="s">
        <v>2111</v>
      </c>
      <c r="Q129" t="s">
        <v>498</v>
      </c>
    </row>
    <row r="130" spans="1:17" x14ac:dyDescent="0.3">
      <c r="A130" t="s">
        <v>2224</v>
      </c>
      <c r="B130" t="s">
        <v>1706</v>
      </c>
      <c r="C130" s="1">
        <v>46170</v>
      </c>
      <c r="D130" t="s">
        <v>63</v>
      </c>
      <c r="E130" t="s">
        <v>50</v>
      </c>
      <c r="F130" t="s">
        <v>60</v>
      </c>
      <c r="G130" t="s">
        <v>101</v>
      </c>
      <c r="H130" t="s">
        <v>102</v>
      </c>
      <c r="I130" t="s">
        <v>45</v>
      </c>
      <c r="J130">
        <v>4999</v>
      </c>
      <c r="K130">
        <v>1</v>
      </c>
      <c r="L130">
        <v>4707.4399999999996</v>
      </c>
      <c r="M130">
        <v>1176.8599999999999</v>
      </c>
      <c r="N130">
        <v>4707.4399999999996</v>
      </c>
      <c r="O130">
        <v>3530.58</v>
      </c>
      <c r="P130" t="s">
        <v>2111</v>
      </c>
      <c r="Q130" t="s">
        <v>1479</v>
      </c>
    </row>
    <row r="131" spans="1:17" x14ac:dyDescent="0.3">
      <c r="A131" t="s">
        <v>2213</v>
      </c>
      <c r="B131" t="s">
        <v>2214</v>
      </c>
      <c r="C131" s="1">
        <v>46185</v>
      </c>
      <c r="D131" t="s">
        <v>26</v>
      </c>
      <c r="E131" t="s">
        <v>17</v>
      </c>
      <c r="F131" t="s">
        <v>47</v>
      </c>
      <c r="G131" t="s">
        <v>106</v>
      </c>
      <c r="H131" t="s">
        <v>107</v>
      </c>
      <c r="I131" t="s">
        <v>108</v>
      </c>
      <c r="J131">
        <v>599</v>
      </c>
      <c r="K131">
        <v>1</v>
      </c>
      <c r="L131">
        <v>618.32000000000005</v>
      </c>
      <c r="M131">
        <v>61.83</v>
      </c>
      <c r="N131">
        <v>618.32000000000005</v>
      </c>
      <c r="O131">
        <v>556.49</v>
      </c>
      <c r="P131" t="s">
        <v>2111</v>
      </c>
      <c r="Q131" t="s">
        <v>1809</v>
      </c>
    </row>
    <row r="132" spans="1:17" x14ac:dyDescent="0.3">
      <c r="A132" t="s">
        <v>2225</v>
      </c>
      <c r="B132" t="s">
        <v>984</v>
      </c>
      <c r="C132" s="1">
        <v>46064</v>
      </c>
      <c r="D132" t="s">
        <v>63</v>
      </c>
      <c r="E132" t="s">
        <v>17</v>
      </c>
      <c r="F132" t="s">
        <v>31</v>
      </c>
      <c r="G132" t="s">
        <v>96</v>
      </c>
      <c r="H132" t="s">
        <v>97</v>
      </c>
      <c r="I132" t="s">
        <v>58</v>
      </c>
      <c r="J132">
        <v>7499</v>
      </c>
      <c r="K132">
        <v>2</v>
      </c>
      <c r="L132">
        <v>8115.8</v>
      </c>
      <c r="M132">
        <v>0</v>
      </c>
      <c r="N132">
        <v>16231.6</v>
      </c>
      <c r="O132">
        <v>16231.6</v>
      </c>
      <c r="P132" t="s">
        <v>2111</v>
      </c>
      <c r="Q132" t="s">
        <v>498</v>
      </c>
    </row>
    <row r="133" spans="1:17" x14ac:dyDescent="0.3">
      <c r="A133" t="s">
        <v>1190</v>
      </c>
      <c r="B133" t="s">
        <v>1189</v>
      </c>
      <c r="C133" s="1">
        <v>46115</v>
      </c>
      <c r="D133" t="s">
        <v>26</v>
      </c>
      <c r="E133" t="s">
        <v>17</v>
      </c>
      <c r="F133" t="s">
        <v>31</v>
      </c>
      <c r="G133" t="s">
        <v>106</v>
      </c>
      <c r="H133" t="s">
        <v>107</v>
      </c>
      <c r="I133" t="s">
        <v>108</v>
      </c>
      <c r="J133">
        <v>599</v>
      </c>
      <c r="K133">
        <v>1</v>
      </c>
      <c r="L133">
        <v>587.47</v>
      </c>
      <c r="M133">
        <v>88.12</v>
      </c>
      <c r="N133">
        <v>587.47</v>
      </c>
      <c r="O133">
        <v>499.35</v>
      </c>
      <c r="P133" t="s">
        <v>2111</v>
      </c>
      <c r="Q133" t="s">
        <v>1170</v>
      </c>
    </row>
    <row r="134" spans="1:17" x14ac:dyDescent="0.3">
      <c r="A134" t="s">
        <v>1404</v>
      </c>
      <c r="B134" t="s">
        <v>1403</v>
      </c>
      <c r="C134" s="1">
        <v>46136</v>
      </c>
      <c r="D134" t="s">
        <v>26</v>
      </c>
      <c r="E134" t="s">
        <v>50</v>
      </c>
      <c r="F134" t="s">
        <v>31</v>
      </c>
      <c r="G134" t="s">
        <v>101</v>
      </c>
      <c r="H134" t="s">
        <v>102</v>
      </c>
      <c r="I134" t="s">
        <v>45</v>
      </c>
      <c r="J134">
        <v>4999</v>
      </c>
      <c r="K134">
        <v>1</v>
      </c>
      <c r="L134">
        <v>4706.8100000000004</v>
      </c>
      <c r="M134">
        <v>470.68</v>
      </c>
      <c r="N134">
        <v>4706.8100000000004</v>
      </c>
      <c r="O134">
        <v>4236.13</v>
      </c>
      <c r="P134" t="s">
        <v>2111</v>
      </c>
      <c r="Q134" t="s">
        <v>1170</v>
      </c>
    </row>
    <row r="135" spans="1:17" x14ac:dyDescent="0.3">
      <c r="A135" t="s">
        <v>783</v>
      </c>
      <c r="B135" t="s">
        <v>782</v>
      </c>
      <c r="C135" s="1">
        <v>46081</v>
      </c>
      <c r="D135" t="s">
        <v>41</v>
      </c>
      <c r="E135" t="s">
        <v>50</v>
      </c>
      <c r="F135" t="s">
        <v>74</v>
      </c>
      <c r="G135" t="s">
        <v>86</v>
      </c>
      <c r="H135" t="s">
        <v>87</v>
      </c>
      <c r="I135" t="s">
        <v>82</v>
      </c>
      <c r="J135">
        <v>3499</v>
      </c>
      <c r="K135">
        <v>2</v>
      </c>
      <c r="L135">
        <v>3603.09</v>
      </c>
      <c r="M135">
        <v>0</v>
      </c>
      <c r="N135">
        <v>7206.18</v>
      </c>
      <c r="O135">
        <v>7206.18</v>
      </c>
      <c r="P135" t="s">
        <v>2111</v>
      </c>
      <c r="Q135" t="s">
        <v>498</v>
      </c>
    </row>
    <row r="136" spans="1:17" x14ac:dyDescent="0.3">
      <c r="A136" t="s">
        <v>701</v>
      </c>
      <c r="B136" t="s">
        <v>442</v>
      </c>
      <c r="C136" s="1">
        <v>46073</v>
      </c>
      <c r="D136" t="s">
        <v>41</v>
      </c>
      <c r="E136" t="s">
        <v>17</v>
      </c>
      <c r="F136" t="s">
        <v>22</v>
      </c>
      <c r="G136" t="s">
        <v>96</v>
      </c>
      <c r="H136" t="s">
        <v>97</v>
      </c>
      <c r="I136" t="s">
        <v>58</v>
      </c>
      <c r="J136">
        <v>7499</v>
      </c>
      <c r="K136">
        <v>3</v>
      </c>
      <c r="L136">
        <v>8055.71</v>
      </c>
      <c r="M136">
        <v>2416.71</v>
      </c>
      <c r="N136">
        <v>24167.13</v>
      </c>
      <c r="O136">
        <v>21750.42</v>
      </c>
      <c r="P136" t="s">
        <v>2111</v>
      </c>
      <c r="Q136" t="s">
        <v>498</v>
      </c>
    </row>
    <row r="137" spans="1:17" x14ac:dyDescent="0.3">
      <c r="A137" t="s">
        <v>2226</v>
      </c>
      <c r="B137" t="s">
        <v>879</v>
      </c>
      <c r="C137" s="1">
        <v>46083</v>
      </c>
      <c r="D137" t="s">
        <v>16</v>
      </c>
      <c r="E137" t="s">
        <v>17</v>
      </c>
      <c r="F137" t="s">
        <v>47</v>
      </c>
      <c r="G137" t="s">
        <v>160</v>
      </c>
      <c r="H137" t="s">
        <v>161</v>
      </c>
      <c r="I137" t="s">
        <v>82</v>
      </c>
      <c r="J137">
        <v>799</v>
      </c>
      <c r="K137">
        <v>1</v>
      </c>
      <c r="L137">
        <v>838.68</v>
      </c>
      <c r="M137">
        <v>125.8</v>
      </c>
      <c r="N137">
        <v>838.68</v>
      </c>
      <c r="O137">
        <v>712.88</v>
      </c>
      <c r="P137" t="s">
        <v>2114</v>
      </c>
      <c r="Q137" t="s">
        <v>789</v>
      </c>
    </row>
    <row r="138" spans="1:17" x14ac:dyDescent="0.3">
      <c r="A138" t="s">
        <v>2227</v>
      </c>
      <c r="B138" t="s">
        <v>2228</v>
      </c>
      <c r="C138" s="1">
        <v>46094</v>
      </c>
      <c r="D138" t="s">
        <v>34</v>
      </c>
      <c r="E138" t="s">
        <v>17</v>
      </c>
      <c r="F138" t="s">
        <v>60</v>
      </c>
      <c r="G138" t="s">
        <v>27</v>
      </c>
      <c r="H138" t="s">
        <v>28</v>
      </c>
      <c r="I138" t="s">
        <v>29</v>
      </c>
      <c r="J138">
        <v>1599</v>
      </c>
      <c r="K138">
        <v>1</v>
      </c>
      <c r="L138">
        <v>1716.93</v>
      </c>
      <c r="M138">
        <v>257.54000000000002</v>
      </c>
      <c r="N138">
        <v>1716.93</v>
      </c>
      <c r="O138">
        <v>1459.39</v>
      </c>
      <c r="P138" t="s">
        <v>2111</v>
      </c>
      <c r="Q138" t="s">
        <v>789</v>
      </c>
    </row>
    <row r="139" spans="1:17" x14ac:dyDescent="0.3">
      <c r="A139" t="s">
        <v>1333</v>
      </c>
      <c r="B139" t="s">
        <v>1332</v>
      </c>
      <c r="C139" s="1">
        <v>46130</v>
      </c>
      <c r="D139" t="s">
        <v>34</v>
      </c>
      <c r="E139" t="s">
        <v>50</v>
      </c>
      <c r="F139" t="s">
        <v>31</v>
      </c>
      <c r="G139" t="s">
        <v>96</v>
      </c>
      <c r="H139" t="s">
        <v>97</v>
      </c>
      <c r="I139" t="s">
        <v>58</v>
      </c>
      <c r="J139">
        <v>7499</v>
      </c>
      <c r="K139">
        <v>1</v>
      </c>
      <c r="L139">
        <v>7553.82</v>
      </c>
      <c r="M139">
        <v>755.38</v>
      </c>
      <c r="N139">
        <v>7553.82</v>
      </c>
      <c r="O139">
        <v>6798.44</v>
      </c>
      <c r="P139" t="s">
        <v>2111</v>
      </c>
      <c r="Q139" t="s">
        <v>1170</v>
      </c>
    </row>
    <row r="140" spans="1:17" x14ac:dyDescent="0.3">
      <c r="A140" t="s">
        <v>780</v>
      </c>
      <c r="B140" t="s">
        <v>779</v>
      </c>
      <c r="C140" s="1">
        <v>46080</v>
      </c>
      <c r="D140" t="s">
        <v>16</v>
      </c>
      <c r="E140" t="s">
        <v>42</v>
      </c>
      <c r="F140" t="s">
        <v>22</v>
      </c>
      <c r="G140" t="s">
        <v>101</v>
      </c>
      <c r="H140" t="s">
        <v>102</v>
      </c>
      <c r="I140" t="s">
        <v>45</v>
      </c>
      <c r="J140">
        <v>4999</v>
      </c>
      <c r="K140">
        <v>2</v>
      </c>
      <c r="L140">
        <v>5250.83</v>
      </c>
      <c r="M140">
        <v>525.08000000000004</v>
      </c>
      <c r="N140">
        <v>10501.66</v>
      </c>
      <c r="O140">
        <v>9976.58</v>
      </c>
      <c r="P140" t="s">
        <v>2111</v>
      </c>
      <c r="Q140" t="s">
        <v>498</v>
      </c>
    </row>
    <row r="141" spans="1:17" x14ac:dyDescent="0.3">
      <c r="A141" t="s">
        <v>196</v>
      </c>
      <c r="B141" t="s">
        <v>195</v>
      </c>
      <c r="C141" s="1">
        <v>46030</v>
      </c>
      <c r="D141" t="s">
        <v>26</v>
      </c>
      <c r="E141" t="s">
        <v>17</v>
      </c>
      <c r="F141" t="s">
        <v>74</v>
      </c>
      <c r="G141" t="s">
        <v>355</v>
      </c>
      <c r="H141" t="s">
        <v>356</v>
      </c>
      <c r="I141" t="s">
        <v>82</v>
      </c>
      <c r="J141">
        <v>499</v>
      </c>
      <c r="K141">
        <v>2</v>
      </c>
      <c r="L141">
        <v>463.08</v>
      </c>
      <c r="M141">
        <v>231.54</v>
      </c>
      <c r="N141">
        <v>926.16</v>
      </c>
      <c r="O141">
        <v>694.62</v>
      </c>
      <c r="P141" t="s">
        <v>2111</v>
      </c>
      <c r="Q141" t="s">
        <v>23</v>
      </c>
    </row>
    <row r="142" spans="1:17" x14ac:dyDescent="0.3">
      <c r="A142" t="s">
        <v>534</v>
      </c>
      <c r="B142" t="s">
        <v>533</v>
      </c>
      <c r="C142" s="1">
        <v>46056</v>
      </c>
      <c r="D142" t="s">
        <v>63</v>
      </c>
      <c r="E142" t="s">
        <v>17</v>
      </c>
      <c r="F142" t="s">
        <v>31</v>
      </c>
      <c r="G142" t="s">
        <v>91</v>
      </c>
      <c r="H142" t="s">
        <v>92</v>
      </c>
      <c r="I142" t="s">
        <v>37</v>
      </c>
      <c r="J142">
        <v>1899</v>
      </c>
      <c r="K142">
        <v>1</v>
      </c>
      <c r="L142">
        <v>1841.37</v>
      </c>
      <c r="M142">
        <v>276.20999999999998</v>
      </c>
      <c r="N142">
        <v>1841.37</v>
      </c>
      <c r="O142">
        <v>1565.16</v>
      </c>
      <c r="P142" t="s">
        <v>2111</v>
      </c>
      <c r="Q142" t="s">
        <v>498</v>
      </c>
    </row>
    <row r="143" spans="1:17" x14ac:dyDescent="0.3">
      <c r="A143" t="s">
        <v>2229</v>
      </c>
      <c r="B143" t="s">
        <v>1414</v>
      </c>
      <c r="C143" s="1">
        <v>46067</v>
      </c>
      <c r="D143" t="s">
        <v>26</v>
      </c>
      <c r="E143" t="s">
        <v>17</v>
      </c>
      <c r="F143" t="s">
        <v>47</v>
      </c>
      <c r="G143" t="s">
        <v>43</v>
      </c>
      <c r="H143" t="s">
        <v>44</v>
      </c>
      <c r="I143" t="s">
        <v>45</v>
      </c>
      <c r="J143">
        <v>3299</v>
      </c>
      <c r="K143">
        <v>1</v>
      </c>
      <c r="L143">
        <v>3226.12</v>
      </c>
      <c r="M143">
        <v>322.61</v>
      </c>
      <c r="N143">
        <v>3226.12</v>
      </c>
      <c r="O143">
        <v>2903.51</v>
      </c>
      <c r="P143" t="s">
        <v>2111</v>
      </c>
      <c r="Q143" t="s">
        <v>498</v>
      </c>
    </row>
    <row r="144" spans="1:17" x14ac:dyDescent="0.3">
      <c r="A144" t="s">
        <v>2230</v>
      </c>
      <c r="B144" t="s">
        <v>2231</v>
      </c>
      <c r="C144" s="1">
        <v>46125</v>
      </c>
      <c r="D144" t="s">
        <v>16</v>
      </c>
      <c r="E144" t="s">
        <v>17</v>
      </c>
      <c r="F144" t="s">
        <v>74</v>
      </c>
      <c r="G144" t="s">
        <v>126</v>
      </c>
      <c r="H144" t="s">
        <v>127</v>
      </c>
      <c r="I144" t="s">
        <v>45</v>
      </c>
      <c r="J144">
        <v>2499</v>
      </c>
      <c r="K144">
        <v>2</v>
      </c>
      <c r="L144">
        <v>2504.65</v>
      </c>
      <c r="M144">
        <v>250.47</v>
      </c>
      <c r="N144">
        <v>5009.3</v>
      </c>
      <c r="O144">
        <v>4758.83</v>
      </c>
      <c r="P144" t="s">
        <v>2111</v>
      </c>
      <c r="Q144" t="s">
        <v>1170</v>
      </c>
    </row>
    <row r="145" spans="1:17" x14ac:dyDescent="0.3">
      <c r="A145" t="s">
        <v>452</v>
      </c>
      <c r="B145" t="s">
        <v>451</v>
      </c>
      <c r="C145" s="1">
        <v>46049</v>
      </c>
      <c r="D145" t="s">
        <v>41</v>
      </c>
      <c r="E145" t="s">
        <v>17</v>
      </c>
      <c r="F145" t="s">
        <v>31</v>
      </c>
      <c r="G145" t="s">
        <v>160</v>
      </c>
      <c r="H145" t="s">
        <v>161</v>
      </c>
      <c r="I145" t="s">
        <v>82</v>
      </c>
      <c r="J145">
        <v>799</v>
      </c>
      <c r="K145">
        <v>3</v>
      </c>
      <c r="L145">
        <v>867.57</v>
      </c>
      <c r="M145">
        <v>390.41</v>
      </c>
      <c r="N145">
        <v>2602.71</v>
      </c>
      <c r="O145">
        <v>2212.3000000000002</v>
      </c>
      <c r="P145" t="s">
        <v>2111</v>
      </c>
      <c r="Q145" t="s">
        <v>23</v>
      </c>
    </row>
    <row r="146" spans="1:17" x14ac:dyDescent="0.3">
      <c r="A146" t="s">
        <v>2232</v>
      </c>
      <c r="B146" t="s">
        <v>2233</v>
      </c>
      <c r="C146" s="1">
        <v>46058</v>
      </c>
      <c r="D146" t="s">
        <v>63</v>
      </c>
      <c r="E146" t="s">
        <v>50</v>
      </c>
      <c r="F146" t="s">
        <v>31</v>
      </c>
      <c r="G146" t="s">
        <v>112</v>
      </c>
      <c r="H146" t="s">
        <v>113</v>
      </c>
      <c r="I146" t="s">
        <v>37</v>
      </c>
      <c r="J146">
        <v>1499</v>
      </c>
      <c r="K146">
        <v>1</v>
      </c>
      <c r="L146">
        <v>1611.21</v>
      </c>
      <c r="M146">
        <v>80.56</v>
      </c>
      <c r="N146">
        <v>1611.21</v>
      </c>
      <c r="O146">
        <v>1530.65</v>
      </c>
      <c r="P146" t="s">
        <v>2111</v>
      </c>
      <c r="Q146" t="s">
        <v>498</v>
      </c>
    </row>
    <row r="147" spans="1:17" x14ac:dyDescent="0.3">
      <c r="A147" t="s">
        <v>617</v>
      </c>
      <c r="B147" t="s">
        <v>616</v>
      </c>
      <c r="C147" s="1">
        <v>46064</v>
      </c>
      <c r="D147" t="s">
        <v>63</v>
      </c>
      <c r="E147" t="s">
        <v>17</v>
      </c>
      <c r="F147" t="s">
        <v>47</v>
      </c>
      <c r="G147" t="s">
        <v>27</v>
      </c>
      <c r="H147" t="s">
        <v>28</v>
      </c>
      <c r="I147" t="s">
        <v>29</v>
      </c>
      <c r="J147">
        <v>1599</v>
      </c>
      <c r="K147">
        <v>1</v>
      </c>
      <c r="L147">
        <v>1482.12</v>
      </c>
      <c r="M147">
        <v>0</v>
      </c>
      <c r="N147">
        <v>1482.12</v>
      </c>
      <c r="O147">
        <v>1482.12</v>
      </c>
      <c r="P147" t="s">
        <v>2114</v>
      </c>
      <c r="Q147" t="s">
        <v>498</v>
      </c>
    </row>
    <row r="148" spans="1:17" x14ac:dyDescent="0.3">
      <c r="A148" t="s">
        <v>238</v>
      </c>
      <c r="B148" t="s">
        <v>237</v>
      </c>
      <c r="C148" s="1">
        <v>46033</v>
      </c>
      <c r="D148" t="s">
        <v>41</v>
      </c>
      <c r="E148" t="s">
        <v>17</v>
      </c>
      <c r="F148" t="s">
        <v>31</v>
      </c>
      <c r="G148" t="s">
        <v>112</v>
      </c>
      <c r="H148" t="s">
        <v>113</v>
      </c>
      <c r="I148" t="s">
        <v>37</v>
      </c>
      <c r="J148">
        <v>1499</v>
      </c>
      <c r="K148">
        <v>1</v>
      </c>
      <c r="L148">
        <v>1400.9</v>
      </c>
      <c r="M148">
        <v>140.09</v>
      </c>
      <c r="N148">
        <v>1400.9</v>
      </c>
      <c r="O148">
        <v>1260.81</v>
      </c>
      <c r="P148" t="s">
        <v>2111</v>
      </c>
      <c r="Q148" t="s">
        <v>23</v>
      </c>
    </row>
    <row r="149" spans="1:17" x14ac:dyDescent="0.3">
      <c r="A149" t="s">
        <v>440</v>
      </c>
      <c r="B149" t="s">
        <v>439</v>
      </c>
      <c r="C149" s="1">
        <v>46048</v>
      </c>
      <c r="D149" t="s">
        <v>63</v>
      </c>
      <c r="E149" t="s">
        <v>17</v>
      </c>
      <c r="F149" t="s">
        <v>60</v>
      </c>
      <c r="G149" t="s">
        <v>86</v>
      </c>
      <c r="H149" t="s">
        <v>87</v>
      </c>
      <c r="I149" t="s">
        <v>82</v>
      </c>
      <c r="J149">
        <v>3499</v>
      </c>
      <c r="K149">
        <v>1</v>
      </c>
      <c r="L149">
        <v>3399.38</v>
      </c>
      <c r="M149">
        <v>169.97</v>
      </c>
      <c r="N149">
        <v>3399.38</v>
      </c>
      <c r="O149">
        <v>3229.41</v>
      </c>
      <c r="P149" t="s">
        <v>2111</v>
      </c>
      <c r="Q149" t="s">
        <v>23</v>
      </c>
    </row>
    <row r="150" spans="1:17" x14ac:dyDescent="0.3">
      <c r="A150" t="s">
        <v>2234</v>
      </c>
      <c r="B150" t="s">
        <v>2235</v>
      </c>
      <c r="C150" s="1">
        <v>46091</v>
      </c>
      <c r="D150" t="s">
        <v>16</v>
      </c>
      <c r="E150" t="s">
        <v>17</v>
      </c>
      <c r="F150" t="s">
        <v>60</v>
      </c>
      <c r="G150" t="s">
        <v>80</v>
      </c>
      <c r="H150" t="s">
        <v>81</v>
      </c>
      <c r="I150" t="s">
        <v>82</v>
      </c>
      <c r="J150">
        <v>4299</v>
      </c>
      <c r="K150">
        <v>3</v>
      </c>
      <c r="L150">
        <v>4119.08</v>
      </c>
      <c r="M150">
        <v>1235.72</v>
      </c>
      <c r="N150">
        <v>12357.24</v>
      </c>
      <c r="O150">
        <v>11121.52</v>
      </c>
      <c r="P150" t="s">
        <v>2111</v>
      </c>
      <c r="Q150" t="s">
        <v>789</v>
      </c>
    </row>
    <row r="151" spans="1:17" x14ac:dyDescent="0.3">
      <c r="A151" t="s">
        <v>2236</v>
      </c>
      <c r="B151" t="s">
        <v>2237</v>
      </c>
      <c r="C151" s="1">
        <v>46051</v>
      </c>
      <c r="D151" t="s">
        <v>63</v>
      </c>
      <c r="E151" t="s">
        <v>17</v>
      </c>
      <c r="F151" t="s">
        <v>74</v>
      </c>
      <c r="G151" t="s">
        <v>149</v>
      </c>
      <c r="H151" t="s">
        <v>150</v>
      </c>
      <c r="I151" t="s">
        <v>37</v>
      </c>
      <c r="J151">
        <v>2999</v>
      </c>
      <c r="K151">
        <v>2</v>
      </c>
      <c r="L151">
        <v>3067.84</v>
      </c>
      <c r="M151">
        <v>0</v>
      </c>
      <c r="N151">
        <v>6135.68</v>
      </c>
      <c r="O151">
        <v>6135.68</v>
      </c>
      <c r="P151" t="s">
        <v>2111</v>
      </c>
      <c r="Q151" t="s">
        <v>23</v>
      </c>
    </row>
    <row r="152" spans="1:17" x14ac:dyDescent="0.3">
      <c r="A152" t="s">
        <v>1380</v>
      </c>
      <c r="B152" t="s">
        <v>1290</v>
      </c>
      <c r="C152" s="1">
        <v>46134</v>
      </c>
      <c r="D152" t="s">
        <v>34</v>
      </c>
      <c r="E152" t="s">
        <v>17</v>
      </c>
      <c r="F152" t="s">
        <v>74</v>
      </c>
      <c r="G152" t="s">
        <v>106</v>
      </c>
      <c r="H152" t="s">
        <v>107</v>
      </c>
      <c r="I152" t="s">
        <v>108</v>
      </c>
      <c r="J152">
        <v>599</v>
      </c>
      <c r="K152">
        <v>2</v>
      </c>
      <c r="L152">
        <v>647.25</v>
      </c>
      <c r="M152">
        <v>194.18</v>
      </c>
      <c r="N152">
        <v>1294.5</v>
      </c>
      <c r="O152">
        <v>1100.32</v>
      </c>
      <c r="P152" t="s">
        <v>2111</v>
      </c>
      <c r="Q152" t="s">
        <v>1170</v>
      </c>
    </row>
    <row r="153" spans="1:17" x14ac:dyDescent="0.3">
      <c r="A153" t="s">
        <v>2238</v>
      </c>
      <c r="B153" t="s">
        <v>2239</v>
      </c>
      <c r="C153" s="1">
        <v>46153</v>
      </c>
      <c r="D153" t="s">
        <v>34</v>
      </c>
      <c r="E153" t="s">
        <v>17</v>
      </c>
      <c r="F153" t="s">
        <v>47</v>
      </c>
      <c r="G153" t="s">
        <v>149</v>
      </c>
      <c r="H153" t="s">
        <v>150</v>
      </c>
      <c r="I153" t="s">
        <v>37</v>
      </c>
      <c r="J153">
        <v>2999</v>
      </c>
      <c r="K153">
        <v>1</v>
      </c>
      <c r="L153">
        <v>3276.28</v>
      </c>
      <c r="M153">
        <v>163.81</v>
      </c>
      <c r="N153">
        <v>3276.28</v>
      </c>
      <c r="O153">
        <v>3112.47</v>
      </c>
      <c r="P153" t="s">
        <v>2111</v>
      </c>
      <c r="Q153" t="s">
        <v>1479</v>
      </c>
    </row>
    <row r="154" spans="1:17" x14ac:dyDescent="0.3">
      <c r="A154" t="s">
        <v>131</v>
      </c>
      <c r="B154" t="s">
        <v>130</v>
      </c>
      <c r="C154" s="1">
        <v>46027</v>
      </c>
      <c r="D154" t="s">
        <v>63</v>
      </c>
      <c r="E154" t="s">
        <v>42</v>
      </c>
      <c r="F154" t="s">
        <v>60</v>
      </c>
      <c r="G154" t="s">
        <v>86</v>
      </c>
      <c r="H154" t="s">
        <v>87</v>
      </c>
      <c r="I154" t="s">
        <v>82</v>
      </c>
      <c r="J154">
        <v>3499</v>
      </c>
      <c r="K154">
        <v>2</v>
      </c>
      <c r="L154">
        <v>3606.49</v>
      </c>
      <c r="M154">
        <v>0</v>
      </c>
      <c r="N154">
        <v>7212.98</v>
      </c>
      <c r="O154">
        <v>7212.98</v>
      </c>
      <c r="P154" t="s">
        <v>2111</v>
      </c>
      <c r="Q154" t="s">
        <v>23</v>
      </c>
    </row>
    <row r="155" spans="1:17" x14ac:dyDescent="0.3">
      <c r="A155" t="s">
        <v>2240</v>
      </c>
      <c r="B155" t="s">
        <v>2241</v>
      </c>
      <c r="C155" s="1">
        <v>46045</v>
      </c>
      <c r="D155" t="s">
        <v>26</v>
      </c>
      <c r="E155" t="s">
        <v>17</v>
      </c>
      <c r="F155" t="s">
        <v>60</v>
      </c>
      <c r="G155" t="s">
        <v>27</v>
      </c>
      <c r="H155" t="s">
        <v>28</v>
      </c>
      <c r="I155" t="s">
        <v>29</v>
      </c>
      <c r="J155">
        <v>1599</v>
      </c>
      <c r="K155">
        <v>1</v>
      </c>
      <c r="L155">
        <v>1707.14</v>
      </c>
      <c r="M155">
        <v>0</v>
      </c>
      <c r="N155">
        <v>1707.14</v>
      </c>
      <c r="O155">
        <v>1707.14</v>
      </c>
      <c r="P155" t="s">
        <v>2111</v>
      </c>
      <c r="Q155" t="s">
        <v>23</v>
      </c>
    </row>
    <row r="156" spans="1:17" x14ac:dyDescent="0.3">
      <c r="A156" t="s">
        <v>1365</v>
      </c>
      <c r="B156" t="s">
        <v>1042</v>
      </c>
      <c r="C156" s="1">
        <v>46133</v>
      </c>
      <c r="D156" t="s">
        <v>26</v>
      </c>
      <c r="E156" t="s">
        <v>42</v>
      </c>
      <c r="F156" t="s">
        <v>31</v>
      </c>
      <c r="G156" t="s">
        <v>149</v>
      </c>
      <c r="H156" t="s">
        <v>150</v>
      </c>
      <c r="I156" t="s">
        <v>37</v>
      </c>
      <c r="J156">
        <v>2999</v>
      </c>
      <c r="K156">
        <v>1</v>
      </c>
      <c r="L156">
        <v>3014.12</v>
      </c>
      <c r="M156">
        <v>602.82000000000005</v>
      </c>
      <c r="N156">
        <v>3014.12</v>
      </c>
      <c r="O156">
        <v>2411.3000000000002</v>
      </c>
      <c r="P156" t="s">
        <v>2111</v>
      </c>
      <c r="Q156" t="s">
        <v>1170</v>
      </c>
    </row>
    <row r="157" spans="1:17" x14ac:dyDescent="0.3">
      <c r="A157" t="s">
        <v>98</v>
      </c>
      <c r="B157" t="s">
        <v>95</v>
      </c>
      <c r="C157" s="1">
        <v>46025</v>
      </c>
      <c r="D157" t="s">
        <v>34</v>
      </c>
      <c r="E157" t="s">
        <v>17</v>
      </c>
      <c r="F157" t="s">
        <v>22</v>
      </c>
      <c r="G157" t="s">
        <v>126</v>
      </c>
      <c r="H157" t="s">
        <v>127</v>
      </c>
      <c r="I157" t="s">
        <v>45</v>
      </c>
      <c r="J157">
        <v>2499</v>
      </c>
      <c r="K157">
        <v>1</v>
      </c>
      <c r="L157">
        <v>2353.2199999999998</v>
      </c>
      <c r="M157">
        <v>470.64</v>
      </c>
      <c r="N157">
        <v>2353.2199999999998</v>
      </c>
      <c r="O157">
        <v>1882.58</v>
      </c>
      <c r="P157" t="s">
        <v>2111</v>
      </c>
      <c r="Q157" t="s">
        <v>23</v>
      </c>
    </row>
    <row r="158" spans="1:17" x14ac:dyDescent="0.3">
      <c r="A158" t="s">
        <v>2242</v>
      </c>
      <c r="B158" t="s">
        <v>2243</v>
      </c>
      <c r="C158" s="1">
        <v>46123</v>
      </c>
      <c r="D158" t="s">
        <v>34</v>
      </c>
      <c r="E158" t="s">
        <v>50</v>
      </c>
      <c r="F158" t="s">
        <v>22</v>
      </c>
      <c r="G158" t="s">
        <v>96</v>
      </c>
      <c r="H158" t="s">
        <v>97</v>
      </c>
      <c r="I158" t="s">
        <v>58</v>
      </c>
      <c r="J158">
        <v>7499</v>
      </c>
      <c r="K158">
        <v>1</v>
      </c>
      <c r="L158">
        <v>7536.03</v>
      </c>
      <c r="M158">
        <v>376.8</v>
      </c>
      <c r="N158">
        <v>7536.03</v>
      </c>
      <c r="O158">
        <v>7159.23</v>
      </c>
      <c r="P158" t="s">
        <v>2111</v>
      </c>
      <c r="Q158" t="s">
        <v>1170</v>
      </c>
    </row>
    <row r="159" spans="1:17" x14ac:dyDescent="0.3">
      <c r="A159" t="s">
        <v>2244</v>
      </c>
      <c r="B159" t="s">
        <v>2245</v>
      </c>
      <c r="C159" s="1">
        <v>46176</v>
      </c>
      <c r="D159" t="s">
        <v>26</v>
      </c>
      <c r="E159" t="s">
        <v>50</v>
      </c>
      <c r="F159" t="s">
        <v>22</v>
      </c>
      <c r="G159" t="s">
        <v>160</v>
      </c>
      <c r="H159" t="s">
        <v>161</v>
      </c>
      <c r="I159" t="s">
        <v>82</v>
      </c>
      <c r="J159">
        <v>799</v>
      </c>
      <c r="K159">
        <v>2</v>
      </c>
      <c r="L159">
        <v>807.8</v>
      </c>
      <c r="M159">
        <v>242.34</v>
      </c>
      <c r="N159">
        <v>1615.6</v>
      </c>
      <c r="O159">
        <v>1373.26</v>
      </c>
      <c r="P159" t="s">
        <v>2111</v>
      </c>
      <c r="Q159" t="s">
        <v>1809</v>
      </c>
    </row>
    <row r="160" spans="1:17" x14ac:dyDescent="0.3">
      <c r="A160" t="s">
        <v>2246</v>
      </c>
      <c r="B160" t="s">
        <v>272</v>
      </c>
      <c r="C160" s="1">
        <v>46026</v>
      </c>
      <c r="D160" t="s">
        <v>26</v>
      </c>
      <c r="E160" t="s">
        <v>50</v>
      </c>
      <c r="F160" t="s">
        <v>31</v>
      </c>
      <c r="G160" t="s">
        <v>96</v>
      </c>
      <c r="H160" t="s">
        <v>97</v>
      </c>
      <c r="I160" t="s">
        <v>58</v>
      </c>
      <c r="J160">
        <v>7499</v>
      </c>
      <c r="K160">
        <v>1</v>
      </c>
      <c r="L160">
        <v>7862.64</v>
      </c>
      <c r="M160">
        <v>786.26</v>
      </c>
      <c r="N160">
        <v>7862.64</v>
      </c>
      <c r="O160">
        <v>7076.38</v>
      </c>
      <c r="P160" t="s">
        <v>2111</v>
      </c>
      <c r="Q160" t="s">
        <v>23</v>
      </c>
    </row>
    <row r="161" spans="1:17" x14ac:dyDescent="0.3">
      <c r="A161" t="s">
        <v>173</v>
      </c>
      <c r="B161" t="s">
        <v>172</v>
      </c>
      <c r="C161" s="1">
        <v>46029</v>
      </c>
      <c r="D161" t="s">
        <v>26</v>
      </c>
      <c r="E161" t="s">
        <v>17</v>
      </c>
      <c r="F161" t="s">
        <v>60</v>
      </c>
      <c r="G161" t="s">
        <v>86</v>
      </c>
      <c r="H161" t="s">
        <v>87</v>
      </c>
      <c r="I161" t="s">
        <v>82</v>
      </c>
      <c r="J161">
        <v>3499</v>
      </c>
      <c r="K161">
        <v>1</v>
      </c>
      <c r="L161">
        <v>3302.97</v>
      </c>
      <c r="M161">
        <v>825.74</v>
      </c>
      <c r="N161">
        <v>3302.97</v>
      </c>
      <c r="O161">
        <v>2477.23</v>
      </c>
      <c r="P161" t="s">
        <v>2111</v>
      </c>
      <c r="Q161" t="s">
        <v>23</v>
      </c>
    </row>
    <row r="162" spans="1:17" x14ac:dyDescent="0.3">
      <c r="A162" t="s">
        <v>1757</v>
      </c>
      <c r="B162" t="s">
        <v>1230</v>
      </c>
      <c r="C162" s="1">
        <v>46168</v>
      </c>
      <c r="D162" t="s">
        <v>41</v>
      </c>
      <c r="E162" t="s">
        <v>17</v>
      </c>
      <c r="F162" t="s">
        <v>60</v>
      </c>
      <c r="G162" t="s">
        <v>101</v>
      </c>
      <c r="H162" t="s">
        <v>102</v>
      </c>
      <c r="I162" t="s">
        <v>45</v>
      </c>
      <c r="J162">
        <v>4999</v>
      </c>
      <c r="K162">
        <v>1</v>
      </c>
      <c r="L162">
        <v>4867.34</v>
      </c>
      <c r="M162">
        <v>243.37</v>
      </c>
      <c r="N162">
        <v>4867.34</v>
      </c>
      <c r="O162">
        <v>4623.97</v>
      </c>
      <c r="P162" t="s">
        <v>2111</v>
      </c>
      <c r="Q162" t="s">
        <v>1479</v>
      </c>
    </row>
    <row r="163" spans="1:17" x14ac:dyDescent="0.3">
      <c r="A163" t="s">
        <v>2169</v>
      </c>
      <c r="B163" t="s">
        <v>328</v>
      </c>
      <c r="C163" s="1">
        <v>46070</v>
      </c>
      <c r="D163" t="s">
        <v>16</v>
      </c>
      <c r="E163" t="s">
        <v>17</v>
      </c>
      <c r="F163" t="s">
        <v>22</v>
      </c>
      <c r="G163" t="s">
        <v>18</v>
      </c>
      <c r="H163" t="s">
        <v>19</v>
      </c>
      <c r="I163" t="s">
        <v>20</v>
      </c>
      <c r="J163">
        <v>2799</v>
      </c>
      <c r="K163">
        <v>1</v>
      </c>
      <c r="L163">
        <v>2722.88</v>
      </c>
      <c r="M163">
        <v>408.43</v>
      </c>
      <c r="N163">
        <v>2722.88</v>
      </c>
      <c r="O163">
        <v>2314.4499999999998</v>
      </c>
      <c r="P163" t="s">
        <v>2111</v>
      </c>
      <c r="Q163" t="s">
        <v>498</v>
      </c>
    </row>
    <row r="164" spans="1:17" x14ac:dyDescent="0.3">
      <c r="A164" t="s">
        <v>1469</v>
      </c>
      <c r="B164" t="s">
        <v>1468</v>
      </c>
      <c r="C164" s="1">
        <v>46142</v>
      </c>
      <c r="D164" t="s">
        <v>16</v>
      </c>
      <c r="E164" t="s">
        <v>17</v>
      </c>
      <c r="F164" t="s">
        <v>74</v>
      </c>
      <c r="G164" t="s">
        <v>149</v>
      </c>
      <c r="H164" t="s">
        <v>150</v>
      </c>
      <c r="I164" t="s">
        <v>37</v>
      </c>
      <c r="J164">
        <v>2999</v>
      </c>
      <c r="K164">
        <v>1</v>
      </c>
      <c r="L164">
        <v>3274.57</v>
      </c>
      <c r="M164">
        <v>0</v>
      </c>
      <c r="N164">
        <v>3274.57</v>
      </c>
      <c r="O164">
        <v>3274.57</v>
      </c>
      <c r="P164" t="s">
        <v>2114</v>
      </c>
      <c r="Q164" t="s">
        <v>1170</v>
      </c>
    </row>
    <row r="165" spans="1:17" x14ac:dyDescent="0.3">
      <c r="A165" t="s">
        <v>220</v>
      </c>
      <c r="B165" t="s">
        <v>219</v>
      </c>
      <c r="C165" s="1">
        <v>46032</v>
      </c>
      <c r="D165" t="s">
        <v>41</v>
      </c>
      <c r="E165" t="s">
        <v>42</v>
      </c>
      <c r="F165" t="s">
        <v>47</v>
      </c>
      <c r="G165" t="s">
        <v>35</v>
      </c>
      <c r="H165" t="s">
        <v>36</v>
      </c>
      <c r="I165" t="s">
        <v>37</v>
      </c>
      <c r="J165">
        <v>799</v>
      </c>
      <c r="K165">
        <v>1</v>
      </c>
      <c r="L165">
        <v>790.04</v>
      </c>
      <c r="M165">
        <v>79</v>
      </c>
      <c r="N165">
        <v>790.04</v>
      </c>
      <c r="O165">
        <v>711.04</v>
      </c>
      <c r="P165" t="s">
        <v>2114</v>
      </c>
      <c r="Q165" t="s">
        <v>23</v>
      </c>
    </row>
    <row r="166" spans="1:17" x14ac:dyDescent="0.3">
      <c r="A166" t="s">
        <v>1203</v>
      </c>
      <c r="B166" t="s">
        <v>742</v>
      </c>
      <c r="C166" s="1">
        <v>46117</v>
      </c>
      <c r="D166" t="s">
        <v>26</v>
      </c>
      <c r="E166" t="s">
        <v>17</v>
      </c>
      <c r="F166" t="s">
        <v>47</v>
      </c>
      <c r="G166" t="s">
        <v>101</v>
      </c>
      <c r="H166" t="s">
        <v>102</v>
      </c>
      <c r="I166" t="s">
        <v>45</v>
      </c>
      <c r="J166">
        <v>4999</v>
      </c>
      <c r="K166">
        <v>2</v>
      </c>
      <c r="L166">
        <v>5254.04</v>
      </c>
      <c r="M166">
        <v>2627.02</v>
      </c>
      <c r="N166">
        <v>10508.08</v>
      </c>
      <c r="O166">
        <v>7881.06</v>
      </c>
      <c r="P166" t="s">
        <v>2111</v>
      </c>
      <c r="Q166" t="s">
        <v>1170</v>
      </c>
    </row>
    <row r="167" spans="1:17" x14ac:dyDescent="0.3">
      <c r="A167" t="s">
        <v>2146</v>
      </c>
      <c r="B167" t="s">
        <v>2147</v>
      </c>
      <c r="C167" s="1">
        <v>46084</v>
      </c>
      <c r="D167" t="s">
        <v>34</v>
      </c>
      <c r="E167" t="s">
        <v>17</v>
      </c>
      <c r="F167" t="s">
        <v>60</v>
      </c>
      <c r="G167" t="s">
        <v>126</v>
      </c>
      <c r="H167" t="s">
        <v>127</v>
      </c>
      <c r="I167" t="s">
        <v>45</v>
      </c>
      <c r="J167">
        <v>2499</v>
      </c>
      <c r="K167">
        <v>1</v>
      </c>
      <c r="L167">
        <v>2624.36</v>
      </c>
      <c r="M167">
        <v>262.44</v>
      </c>
      <c r="N167">
        <v>2624.36</v>
      </c>
      <c r="O167">
        <v>2361.92</v>
      </c>
      <c r="P167" t="s">
        <v>2114</v>
      </c>
      <c r="Q167" t="s">
        <v>789</v>
      </c>
    </row>
    <row r="168" spans="1:17" x14ac:dyDescent="0.3">
      <c r="A168" t="s">
        <v>1306</v>
      </c>
      <c r="B168" t="s">
        <v>1305</v>
      </c>
      <c r="C168" s="1">
        <v>46127</v>
      </c>
      <c r="D168" t="s">
        <v>16</v>
      </c>
      <c r="E168" t="s">
        <v>17</v>
      </c>
      <c r="F168" t="s">
        <v>22</v>
      </c>
      <c r="G168" t="s">
        <v>112</v>
      </c>
      <c r="H168" t="s">
        <v>113</v>
      </c>
      <c r="I168" t="s">
        <v>37</v>
      </c>
      <c r="J168">
        <v>1499</v>
      </c>
      <c r="K168">
        <v>1</v>
      </c>
      <c r="L168">
        <v>1428.71</v>
      </c>
      <c r="M168">
        <v>71.44</v>
      </c>
      <c r="N168">
        <v>1428.71</v>
      </c>
      <c r="O168">
        <v>1357.27</v>
      </c>
      <c r="P168" t="s">
        <v>2111</v>
      </c>
      <c r="Q168" t="s">
        <v>1170</v>
      </c>
    </row>
    <row r="169" spans="1:17" x14ac:dyDescent="0.3">
      <c r="A169" t="s">
        <v>762</v>
      </c>
      <c r="B169" t="s">
        <v>761</v>
      </c>
      <c r="C169" s="1">
        <v>46079</v>
      </c>
      <c r="D169" t="s">
        <v>41</v>
      </c>
      <c r="E169" t="s">
        <v>17</v>
      </c>
      <c r="F169" t="s">
        <v>74</v>
      </c>
      <c r="G169" t="s">
        <v>43</v>
      </c>
      <c r="H169" t="s">
        <v>44</v>
      </c>
      <c r="I169" t="s">
        <v>45</v>
      </c>
      <c r="J169">
        <v>3299</v>
      </c>
      <c r="K169">
        <v>1</v>
      </c>
      <c r="L169">
        <v>3346.42</v>
      </c>
      <c r="M169">
        <v>0</v>
      </c>
      <c r="N169">
        <v>3346.42</v>
      </c>
      <c r="O169">
        <v>3346.42</v>
      </c>
      <c r="P169" t="s">
        <v>2114</v>
      </c>
      <c r="Q169" t="s">
        <v>498</v>
      </c>
    </row>
    <row r="170" spans="1:17" x14ac:dyDescent="0.3">
      <c r="A170" t="s">
        <v>2247</v>
      </c>
      <c r="B170" t="s">
        <v>827</v>
      </c>
      <c r="C170" s="1">
        <v>46049</v>
      </c>
      <c r="D170" t="s">
        <v>16</v>
      </c>
      <c r="E170" t="s">
        <v>50</v>
      </c>
      <c r="F170" t="s">
        <v>47</v>
      </c>
      <c r="G170" t="s">
        <v>80</v>
      </c>
      <c r="H170" t="s">
        <v>81</v>
      </c>
      <c r="I170" t="s">
        <v>82</v>
      </c>
      <c r="J170">
        <v>4299</v>
      </c>
      <c r="K170">
        <v>2</v>
      </c>
      <c r="L170">
        <v>4638.0200000000004</v>
      </c>
      <c r="M170">
        <v>1391.41</v>
      </c>
      <c r="N170">
        <v>9276.0400000000009</v>
      </c>
      <c r="O170">
        <v>7884.63</v>
      </c>
      <c r="P170" t="s">
        <v>2111</v>
      </c>
      <c r="Q170" t="s">
        <v>23</v>
      </c>
    </row>
    <row r="171" spans="1:17" x14ac:dyDescent="0.3">
      <c r="A171" t="s">
        <v>2248</v>
      </c>
      <c r="B171" t="s">
        <v>2249</v>
      </c>
      <c r="C171" s="1">
        <v>46173</v>
      </c>
      <c r="D171" t="s">
        <v>16</v>
      </c>
      <c r="E171" t="s">
        <v>17</v>
      </c>
      <c r="F171" t="s">
        <v>31</v>
      </c>
      <c r="G171" t="s">
        <v>165</v>
      </c>
      <c r="H171" t="s">
        <v>166</v>
      </c>
      <c r="I171" t="s">
        <v>29</v>
      </c>
      <c r="J171">
        <v>449</v>
      </c>
      <c r="K171">
        <v>1</v>
      </c>
      <c r="L171">
        <v>446.77</v>
      </c>
      <c r="M171">
        <v>67.02</v>
      </c>
      <c r="N171">
        <v>446.77</v>
      </c>
      <c r="O171">
        <v>379.75</v>
      </c>
      <c r="P171" t="s">
        <v>2111</v>
      </c>
      <c r="Q171" t="s">
        <v>1479</v>
      </c>
    </row>
    <row r="172" spans="1:17" x14ac:dyDescent="0.3">
      <c r="A172" t="s">
        <v>2250</v>
      </c>
      <c r="B172" t="s">
        <v>1352</v>
      </c>
      <c r="C172" s="1">
        <v>46140</v>
      </c>
      <c r="D172" t="s">
        <v>34</v>
      </c>
      <c r="E172" t="s">
        <v>17</v>
      </c>
      <c r="F172" t="s">
        <v>74</v>
      </c>
      <c r="G172" t="s">
        <v>56</v>
      </c>
      <c r="H172" t="s">
        <v>57</v>
      </c>
      <c r="I172" t="s">
        <v>58</v>
      </c>
      <c r="J172">
        <v>8999</v>
      </c>
      <c r="K172">
        <v>1</v>
      </c>
      <c r="L172">
        <v>9800.1200000000008</v>
      </c>
      <c r="M172">
        <v>490.01</v>
      </c>
      <c r="N172">
        <v>9800.1200000000008</v>
      </c>
      <c r="O172">
        <v>9310.11</v>
      </c>
      <c r="P172" t="s">
        <v>2111</v>
      </c>
      <c r="Q172" t="s">
        <v>1170</v>
      </c>
    </row>
    <row r="173" spans="1:17" x14ac:dyDescent="0.3">
      <c r="A173" t="s">
        <v>1962</v>
      </c>
      <c r="B173" t="s">
        <v>557</v>
      </c>
      <c r="C173" s="1">
        <v>46190</v>
      </c>
      <c r="D173" t="s">
        <v>16</v>
      </c>
      <c r="E173" t="s">
        <v>17</v>
      </c>
      <c r="F173" t="s">
        <v>22</v>
      </c>
      <c r="G173" t="s">
        <v>27</v>
      </c>
      <c r="H173" t="s">
        <v>28</v>
      </c>
      <c r="I173" t="s">
        <v>29</v>
      </c>
      <c r="J173">
        <v>1599</v>
      </c>
      <c r="K173">
        <v>1</v>
      </c>
      <c r="L173">
        <v>1507.68</v>
      </c>
      <c r="M173">
        <v>376.92</v>
      </c>
      <c r="N173">
        <v>1507.68</v>
      </c>
      <c r="O173">
        <v>1130.76</v>
      </c>
      <c r="P173" t="s">
        <v>2111</v>
      </c>
      <c r="Q173" t="s">
        <v>1809</v>
      </c>
    </row>
    <row r="174" spans="1:17" x14ac:dyDescent="0.3">
      <c r="A174" t="s">
        <v>2251</v>
      </c>
      <c r="B174" t="s">
        <v>1216</v>
      </c>
      <c r="C174" s="1">
        <v>46084</v>
      </c>
      <c r="D174" t="s">
        <v>26</v>
      </c>
      <c r="E174" t="s">
        <v>17</v>
      </c>
      <c r="F174" t="s">
        <v>60</v>
      </c>
      <c r="G174" t="s">
        <v>18</v>
      </c>
      <c r="H174" t="s">
        <v>19</v>
      </c>
      <c r="I174" t="s">
        <v>20</v>
      </c>
      <c r="J174">
        <v>2799</v>
      </c>
      <c r="K174">
        <v>1</v>
      </c>
      <c r="L174">
        <v>2560.61</v>
      </c>
      <c r="M174">
        <v>0</v>
      </c>
      <c r="N174">
        <v>2560.61</v>
      </c>
      <c r="O174">
        <v>2560.61</v>
      </c>
      <c r="P174" t="s">
        <v>2111</v>
      </c>
      <c r="Q174" t="s">
        <v>789</v>
      </c>
    </row>
    <row r="175" spans="1:17" x14ac:dyDescent="0.3">
      <c r="A175" t="s">
        <v>673</v>
      </c>
      <c r="B175" t="s">
        <v>672</v>
      </c>
      <c r="C175" s="1">
        <v>46071</v>
      </c>
      <c r="D175" t="s">
        <v>63</v>
      </c>
      <c r="E175" t="s">
        <v>50</v>
      </c>
      <c r="F175" t="s">
        <v>31</v>
      </c>
      <c r="G175" t="s">
        <v>51</v>
      </c>
      <c r="H175" t="s">
        <v>52</v>
      </c>
      <c r="I175" t="s">
        <v>20</v>
      </c>
      <c r="J175">
        <v>999</v>
      </c>
      <c r="K175">
        <v>1</v>
      </c>
      <c r="L175">
        <v>1077.21</v>
      </c>
      <c r="M175">
        <v>53.86</v>
      </c>
      <c r="N175">
        <v>1077.21</v>
      </c>
      <c r="O175">
        <v>1023.35</v>
      </c>
      <c r="P175" t="s">
        <v>2114</v>
      </c>
      <c r="Q175" t="s">
        <v>498</v>
      </c>
    </row>
    <row r="176" spans="1:17" x14ac:dyDescent="0.3">
      <c r="A176" t="s">
        <v>2252</v>
      </c>
      <c r="B176" t="s">
        <v>2253</v>
      </c>
      <c r="C176" s="1">
        <v>46136</v>
      </c>
      <c r="D176" t="s">
        <v>26</v>
      </c>
      <c r="E176" t="s">
        <v>42</v>
      </c>
      <c r="F176" t="s">
        <v>22</v>
      </c>
      <c r="G176" t="s">
        <v>126</v>
      </c>
      <c r="H176" t="s">
        <v>127</v>
      </c>
      <c r="I176" t="s">
        <v>45</v>
      </c>
      <c r="J176">
        <v>2499</v>
      </c>
      <c r="K176">
        <v>2</v>
      </c>
      <c r="L176">
        <v>2672.77</v>
      </c>
      <c r="M176">
        <v>1069.1099999999999</v>
      </c>
      <c r="N176">
        <v>5345.54</v>
      </c>
      <c r="O176">
        <v>4276.43</v>
      </c>
      <c r="P176" t="s">
        <v>2111</v>
      </c>
      <c r="Q176" t="s">
        <v>1170</v>
      </c>
    </row>
    <row r="177" spans="1:17" x14ac:dyDescent="0.3">
      <c r="A177" t="s">
        <v>419</v>
      </c>
      <c r="B177" t="s">
        <v>418</v>
      </c>
      <c r="C177" s="1">
        <v>46047</v>
      </c>
      <c r="D177" t="s">
        <v>41</v>
      </c>
      <c r="E177" t="s">
        <v>17</v>
      </c>
      <c r="F177" t="s">
        <v>74</v>
      </c>
      <c r="G177" t="s">
        <v>355</v>
      </c>
      <c r="H177" t="s">
        <v>356</v>
      </c>
      <c r="I177" t="s">
        <v>82</v>
      </c>
      <c r="J177">
        <v>499</v>
      </c>
      <c r="K177">
        <v>2</v>
      </c>
      <c r="L177">
        <v>548.16</v>
      </c>
      <c r="M177">
        <v>54.82</v>
      </c>
      <c r="N177">
        <v>1096.32</v>
      </c>
      <c r="O177">
        <v>1041.5</v>
      </c>
      <c r="P177" t="s">
        <v>2111</v>
      </c>
      <c r="Q177" t="s">
        <v>23</v>
      </c>
    </row>
    <row r="178" spans="1:17" x14ac:dyDescent="0.3">
      <c r="A178" t="s">
        <v>1306</v>
      </c>
      <c r="B178" t="s">
        <v>1305</v>
      </c>
      <c r="C178" s="1">
        <v>46127</v>
      </c>
      <c r="D178" t="s">
        <v>16</v>
      </c>
      <c r="E178" t="s">
        <v>17</v>
      </c>
      <c r="F178" t="s">
        <v>22</v>
      </c>
      <c r="G178" t="s">
        <v>191</v>
      </c>
      <c r="H178" t="s">
        <v>192</v>
      </c>
      <c r="I178" t="s">
        <v>45</v>
      </c>
      <c r="J178">
        <v>699</v>
      </c>
      <c r="K178">
        <v>1</v>
      </c>
      <c r="L178">
        <v>724.08</v>
      </c>
      <c r="M178">
        <v>36.200000000000003</v>
      </c>
      <c r="N178">
        <v>724.08</v>
      </c>
      <c r="O178">
        <v>687.88</v>
      </c>
      <c r="P178" t="s">
        <v>2111</v>
      </c>
      <c r="Q178" t="s">
        <v>1170</v>
      </c>
    </row>
    <row r="179" spans="1:17" x14ac:dyDescent="0.3">
      <c r="A179" t="s">
        <v>2254</v>
      </c>
      <c r="B179" t="s">
        <v>1207</v>
      </c>
      <c r="C179" s="1">
        <v>46126</v>
      </c>
      <c r="D179" t="s">
        <v>26</v>
      </c>
      <c r="E179" t="s">
        <v>17</v>
      </c>
      <c r="F179" t="s">
        <v>74</v>
      </c>
      <c r="G179" t="s">
        <v>355</v>
      </c>
      <c r="H179" t="s">
        <v>356</v>
      </c>
      <c r="I179" t="s">
        <v>82</v>
      </c>
      <c r="J179">
        <v>499</v>
      </c>
      <c r="K179">
        <v>2</v>
      </c>
      <c r="L179">
        <v>542.58000000000004</v>
      </c>
      <c r="M179">
        <v>108.52</v>
      </c>
      <c r="N179">
        <v>1085.1600000000001</v>
      </c>
      <c r="O179">
        <v>976.64</v>
      </c>
      <c r="P179" t="s">
        <v>2111</v>
      </c>
      <c r="Q179" t="s">
        <v>1170</v>
      </c>
    </row>
    <row r="180" spans="1:17" x14ac:dyDescent="0.3">
      <c r="A180" t="s">
        <v>1942</v>
      </c>
      <c r="B180" t="s">
        <v>1340</v>
      </c>
      <c r="C180" s="1">
        <v>46186</v>
      </c>
      <c r="D180" t="s">
        <v>63</v>
      </c>
      <c r="E180" t="s">
        <v>17</v>
      </c>
      <c r="F180" t="s">
        <v>31</v>
      </c>
      <c r="G180" t="s">
        <v>191</v>
      </c>
      <c r="H180" t="s">
        <v>192</v>
      </c>
      <c r="I180" t="s">
        <v>45</v>
      </c>
      <c r="J180">
        <v>699</v>
      </c>
      <c r="K180">
        <v>2</v>
      </c>
      <c r="L180">
        <v>744.71</v>
      </c>
      <c r="M180">
        <v>223.41</v>
      </c>
      <c r="N180">
        <v>1489.42</v>
      </c>
      <c r="O180">
        <v>1266.01</v>
      </c>
      <c r="P180" t="s">
        <v>2111</v>
      </c>
      <c r="Q180" t="s">
        <v>1809</v>
      </c>
    </row>
    <row r="181" spans="1:17" x14ac:dyDescent="0.3">
      <c r="A181" t="s">
        <v>2255</v>
      </c>
      <c r="B181" t="s">
        <v>119</v>
      </c>
      <c r="C181" s="1">
        <v>46146</v>
      </c>
      <c r="D181" t="s">
        <v>63</v>
      </c>
      <c r="E181" t="s">
        <v>17</v>
      </c>
      <c r="F181" t="s">
        <v>22</v>
      </c>
      <c r="G181" t="s">
        <v>27</v>
      </c>
      <c r="H181" t="s">
        <v>28</v>
      </c>
      <c r="I181" t="s">
        <v>29</v>
      </c>
      <c r="J181">
        <v>1599</v>
      </c>
      <c r="K181">
        <v>1</v>
      </c>
      <c r="L181">
        <v>1709.15</v>
      </c>
      <c r="M181">
        <v>0</v>
      </c>
      <c r="N181">
        <v>1709.15</v>
      </c>
      <c r="O181">
        <v>1709.15</v>
      </c>
      <c r="P181" t="s">
        <v>2111</v>
      </c>
      <c r="Q181" t="s">
        <v>1479</v>
      </c>
    </row>
    <row r="182" spans="1:17" x14ac:dyDescent="0.3">
      <c r="A182" t="s">
        <v>1427</v>
      </c>
      <c r="B182" t="s">
        <v>1426</v>
      </c>
      <c r="C182" s="1">
        <v>46138</v>
      </c>
      <c r="D182" t="s">
        <v>34</v>
      </c>
      <c r="E182" t="s">
        <v>17</v>
      </c>
      <c r="F182" t="s">
        <v>47</v>
      </c>
      <c r="G182" t="s">
        <v>18</v>
      </c>
      <c r="H182" t="s">
        <v>19</v>
      </c>
      <c r="I182" t="s">
        <v>20</v>
      </c>
      <c r="J182">
        <v>2799</v>
      </c>
      <c r="K182">
        <v>1</v>
      </c>
      <c r="L182">
        <v>2837.71</v>
      </c>
      <c r="M182">
        <v>567.54</v>
      </c>
      <c r="N182">
        <v>2837.71</v>
      </c>
      <c r="O182">
        <v>2270.17</v>
      </c>
      <c r="P182" t="s">
        <v>2111</v>
      </c>
      <c r="Q182" t="s">
        <v>1170</v>
      </c>
    </row>
    <row r="183" spans="1:17" x14ac:dyDescent="0.3">
      <c r="A183" t="s">
        <v>2256</v>
      </c>
      <c r="B183" t="s">
        <v>2257</v>
      </c>
      <c r="C183" s="1">
        <v>46155</v>
      </c>
      <c r="D183" t="s">
        <v>63</v>
      </c>
      <c r="E183" t="s">
        <v>17</v>
      </c>
      <c r="F183" t="s">
        <v>74</v>
      </c>
      <c r="G183" t="s">
        <v>43</v>
      </c>
      <c r="H183" t="s">
        <v>44</v>
      </c>
      <c r="I183" t="s">
        <v>45</v>
      </c>
      <c r="J183">
        <v>3299</v>
      </c>
      <c r="K183">
        <v>1</v>
      </c>
      <c r="L183">
        <v>3221.38</v>
      </c>
      <c r="M183">
        <v>483.21</v>
      </c>
      <c r="N183">
        <v>3221.38</v>
      </c>
      <c r="O183">
        <v>2738.17</v>
      </c>
      <c r="P183" t="s">
        <v>2111</v>
      </c>
      <c r="Q183" t="s">
        <v>1479</v>
      </c>
    </row>
    <row r="184" spans="1:17" x14ac:dyDescent="0.3">
      <c r="A184" t="s">
        <v>2258</v>
      </c>
      <c r="B184" t="s">
        <v>394</v>
      </c>
      <c r="C184" s="1">
        <v>46056</v>
      </c>
      <c r="D184" t="s">
        <v>34</v>
      </c>
      <c r="E184" t="s">
        <v>50</v>
      </c>
      <c r="F184" t="s">
        <v>31</v>
      </c>
      <c r="G184" t="s">
        <v>101</v>
      </c>
      <c r="H184" t="s">
        <v>102</v>
      </c>
      <c r="I184" t="s">
        <v>45</v>
      </c>
      <c r="J184">
        <v>4999</v>
      </c>
      <c r="K184">
        <v>1</v>
      </c>
      <c r="L184">
        <v>5433.47</v>
      </c>
      <c r="M184">
        <v>0</v>
      </c>
      <c r="N184">
        <v>5433.47</v>
      </c>
      <c r="O184">
        <v>5433.47</v>
      </c>
      <c r="P184" t="s">
        <v>2111</v>
      </c>
      <c r="Q184" t="s">
        <v>498</v>
      </c>
    </row>
    <row r="185" spans="1:17" x14ac:dyDescent="0.3">
      <c r="A185" t="s">
        <v>323</v>
      </c>
      <c r="B185" t="s">
        <v>322</v>
      </c>
      <c r="C185" s="1">
        <v>46039</v>
      </c>
      <c r="D185" t="s">
        <v>16</v>
      </c>
      <c r="E185" t="s">
        <v>17</v>
      </c>
      <c r="F185" t="s">
        <v>31</v>
      </c>
      <c r="G185" t="s">
        <v>165</v>
      </c>
      <c r="H185" t="s">
        <v>166</v>
      </c>
      <c r="I185" t="s">
        <v>29</v>
      </c>
      <c r="J185">
        <v>449</v>
      </c>
      <c r="K185">
        <v>2</v>
      </c>
      <c r="L185">
        <v>442.9</v>
      </c>
      <c r="M185">
        <v>132.87</v>
      </c>
      <c r="N185">
        <v>885.8</v>
      </c>
      <c r="O185">
        <v>752.93</v>
      </c>
      <c r="P185" t="s">
        <v>2111</v>
      </c>
      <c r="Q185" t="s">
        <v>23</v>
      </c>
    </row>
    <row r="186" spans="1:17" x14ac:dyDescent="0.3">
      <c r="A186" t="s">
        <v>2229</v>
      </c>
      <c r="B186" t="s">
        <v>1414</v>
      </c>
      <c r="C186" s="1">
        <v>46067</v>
      </c>
      <c r="D186" t="s">
        <v>26</v>
      </c>
      <c r="E186" t="s">
        <v>17</v>
      </c>
      <c r="F186" t="s">
        <v>47</v>
      </c>
      <c r="G186" t="s">
        <v>27</v>
      </c>
      <c r="H186" t="s">
        <v>28</v>
      </c>
      <c r="I186" t="s">
        <v>29</v>
      </c>
      <c r="J186">
        <v>1599</v>
      </c>
      <c r="K186">
        <v>2</v>
      </c>
      <c r="L186">
        <v>1611.41</v>
      </c>
      <c r="M186">
        <v>322.27999999999997</v>
      </c>
      <c r="N186">
        <v>3222.82</v>
      </c>
      <c r="O186">
        <v>2900.54</v>
      </c>
      <c r="P186" t="s">
        <v>2111</v>
      </c>
      <c r="Q186" t="s">
        <v>498</v>
      </c>
    </row>
    <row r="187" spans="1:17" x14ac:dyDescent="0.3">
      <c r="A187" t="s">
        <v>831</v>
      </c>
      <c r="B187" t="s">
        <v>830</v>
      </c>
      <c r="C187" s="1">
        <v>46084</v>
      </c>
      <c r="D187" t="s">
        <v>16</v>
      </c>
      <c r="E187" t="s">
        <v>50</v>
      </c>
      <c r="F187" t="s">
        <v>60</v>
      </c>
      <c r="G187" t="s">
        <v>51</v>
      </c>
      <c r="H187" t="s">
        <v>52</v>
      </c>
      <c r="I187" t="s">
        <v>20</v>
      </c>
      <c r="J187">
        <v>999</v>
      </c>
      <c r="K187">
        <v>4</v>
      </c>
      <c r="L187">
        <v>988.23</v>
      </c>
      <c r="M187">
        <v>395.29</v>
      </c>
      <c r="N187">
        <v>3952.92</v>
      </c>
      <c r="O187">
        <v>3557.63</v>
      </c>
      <c r="P187" t="s">
        <v>2111</v>
      </c>
      <c r="Q187" t="s">
        <v>789</v>
      </c>
    </row>
    <row r="188" spans="1:17" x14ac:dyDescent="0.3">
      <c r="A188" t="s">
        <v>2258</v>
      </c>
      <c r="B188" t="s">
        <v>394</v>
      </c>
      <c r="C188" s="1">
        <v>46056</v>
      </c>
      <c r="D188" t="s">
        <v>34</v>
      </c>
      <c r="E188" t="s">
        <v>50</v>
      </c>
      <c r="F188" t="s">
        <v>31</v>
      </c>
      <c r="G188" t="s">
        <v>106</v>
      </c>
      <c r="H188" t="s">
        <v>107</v>
      </c>
      <c r="I188" t="s">
        <v>108</v>
      </c>
      <c r="J188">
        <v>599</v>
      </c>
      <c r="K188">
        <v>2</v>
      </c>
      <c r="L188">
        <v>606.77</v>
      </c>
      <c r="M188">
        <v>182.03</v>
      </c>
      <c r="N188">
        <v>1213.54</v>
      </c>
      <c r="O188">
        <v>1031.51</v>
      </c>
      <c r="P188" t="s">
        <v>2111</v>
      </c>
      <c r="Q188" t="s">
        <v>498</v>
      </c>
    </row>
    <row r="189" spans="1:17" x14ac:dyDescent="0.3">
      <c r="A189" t="s">
        <v>807</v>
      </c>
      <c r="B189" t="s">
        <v>806</v>
      </c>
      <c r="C189" s="1">
        <v>46083</v>
      </c>
      <c r="D189" t="s">
        <v>34</v>
      </c>
      <c r="E189" t="s">
        <v>17</v>
      </c>
      <c r="F189" t="s">
        <v>47</v>
      </c>
      <c r="G189" t="s">
        <v>35</v>
      </c>
      <c r="H189" t="s">
        <v>36</v>
      </c>
      <c r="I189" t="s">
        <v>37</v>
      </c>
      <c r="J189">
        <v>799</v>
      </c>
      <c r="K189">
        <v>1</v>
      </c>
      <c r="L189">
        <v>794.29</v>
      </c>
      <c r="M189">
        <v>198.57</v>
      </c>
      <c r="N189">
        <v>794.29</v>
      </c>
      <c r="O189">
        <v>595.72</v>
      </c>
      <c r="P189" t="s">
        <v>2111</v>
      </c>
      <c r="Q189" t="s">
        <v>789</v>
      </c>
    </row>
    <row r="190" spans="1:17" x14ac:dyDescent="0.3">
      <c r="A190" t="s">
        <v>1388</v>
      </c>
      <c r="B190" t="s">
        <v>1387</v>
      </c>
      <c r="C190" s="1">
        <v>46135</v>
      </c>
      <c r="D190" t="s">
        <v>63</v>
      </c>
      <c r="E190" t="s">
        <v>17</v>
      </c>
      <c r="F190" t="s">
        <v>47</v>
      </c>
      <c r="G190" t="s">
        <v>160</v>
      </c>
      <c r="H190" t="s">
        <v>161</v>
      </c>
      <c r="I190" t="s">
        <v>82</v>
      </c>
      <c r="J190">
        <v>799</v>
      </c>
      <c r="K190">
        <v>1</v>
      </c>
      <c r="L190">
        <v>726.77</v>
      </c>
      <c r="M190">
        <v>0</v>
      </c>
      <c r="N190">
        <v>726.77</v>
      </c>
      <c r="O190">
        <v>726.77</v>
      </c>
      <c r="P190" t="s">
        <v>2111</v>
      </c>
      <c r="Q190" t="s">
        <v>1170</v>
      </c>
    </row>
    <row r="191" spans="1:17" x14ac:dyDescent="0.3">
      <c r="A191" t="s">
        <v>486</v>
      </c>
      <c r="B191" t="s">
        <v>485</v>
      </c>
      <c r="C191" s="1">
        <v>46053</v>
      </c>
      <c r="D191" t="s">
        <v>16</v>
      </c>
      <c r="E191" t="s">
        <v>17</v>
      </c>
      <c r="F191" t="s">
        <v>74</v>
      </c>
      <c r="G191" t="s">
        <v>43</v>
      </c>
      <c r="H191" t="s">
        <v>44</v>
      </c>
      <c r="I191" t="s">
        <v>45</v>
      </c>
      <c r="J191">
        <v>3299</v>
      </c>
      <c r="K191">
        <v>2</v>
      </c>
      <c r="L191">
        <v>3551.08</v>
      </c>
      <c r="M191">
        <v>710.22</v>
      </c>
      <c r="N191">
        <v>7102.16</v>
      </c>
      <c r="O191">
        <v>6391.94</v>
      </c>
      <c r="P191" t="s">
        <v>2111</v>
      </c>
      <c r="Q191" t="s">
        <v>23</v>
      </c>
    </row>
    <row r="192" spans="1:17" x14ac:dyDescent="0.3">
      <c r="A192" t="s">
        <v>810</v>
      </c>
      <c r="B192" t="s">
        <v>809</v>
      </c>
      <c r="C192" s="1">
        <v>46083</v>
      </c>
      <c r="D192" t="s">
        <v>16</v>
      </c>
      <c r="E192" t="s">
        <v>50</v>
      </c>
      <c r="F192" t="s">
        <v>47</v>
      </c>
      <c r="G192" t="s">
        <v>51</v>
      </c>
      <c r="H192" t="s">
        <v>52</v>
      </c>
      <c r="I192" t="s">
        <v>20</v>
      </c>
      <c r="J192">
        <v>999</v>
      </c>
      <c r="K192">
        <v>1</v>
      </c>
      <c r="L192">
        <v>987.89</v>
      </c>
      <c r="M192">
        <v>98.79</v>
      </c>
      <c r="N192">
        <v>987.89</v>
      </c>
      <c r="O192">
        <v>889.1</v>
      </c>
      <c r="P192" t="s">
        <v>2111</v>
      </c>
      <c r="Q192" t="s">
        <v>789</v>
      </c>
    </row>
    <row r="193" spans="1:17" x14ac:dyDescent="0.3">
      <c r="A193" t="s">
        <v>2259</v>
      </c>
      <c r="B193" t="s">
        <v>2260</v>
      </c>
      <c r="C193" s="1">
        <v>46200</v>
      </c>
      <c r="D193" t="s">
        <v>16</v>
      </c>
      <c r="E193" t="s">
        <v>17</v>
      </c>
      <c r="F193" t="s">
        <v>47</v>
      </c>
      <c r="G193" t="s">
        <v>27</v>
      </c>
      <c r="H193" t="s">
        <v>28</v>
      </c>
      <c r="I193" t="s">
        <v>29</v>
      </c>
      <c r="J193">
        <v>1599</v>
      </c>
      <c r="K193">
        <v>1</v>
      </c>
      <c r="L193">
        <v>1627.44</v>
      </c>
      <c r="M193">
        <v>81.37</v>
      </c>
      <c r="N193">
        <v>1627.44</v>
      </c>
      <c r="O193">
        <v>1546.07</v>
      </c>
      <c r="P193" t="s">
        <v>2111</v>
      </c>
      <c r="Q193" t="s">
        <v>1809</v>
      </c>
    </row>
    <row r="194" spans="1:17" x14ac:dyDescent="0.3">
      <c r="A194" t="s">
        <v>2261</v>
      </c>
      <c r="B194" t="s">
        <v>175</v>
      </c>
      <c r="C194" s="1">
        <v>46149</v>
      </c>
      <c r="D194" t="s">
        <v>34</v>
      </c>
      <c r="E194" t="s">
        <v>50</v>
      </c>
      <c r="F194" t="s">
        <v>47</v>
      </c>
      <c r="G194" t="s">
        <v>51</v>
      </c>
      <c r="H194" t="s">
        <v>52</v>
      </c>
      <c r="I194" t="s">
        <v>20</v>
      </c>
      <c r="J194">
        <v>999</v>
      </c>
      <c r="K194">
        <v>2</v>
      </c>
      <c r="L194">
        <v>926.91</v>
      </c>
      <c r="M194">
        <v>92.69</v>
      </c>
      <c r="N194">
        <v>1853.82</v>
      </c>
      <c r="O194">
        <v>1761.13</v>
      </c>
      <c r="P194" t="s">
        <v>2111</v>
      </c>
      <c r="Q194" t="s">
        <v>1479</v>
      </c>
    </row>
    <row r="195" spans="1:17" x14ac:dyDescent="0.3">
      <c r="A195" t="s">
        <v>2262</v>
      </c>
      <c r="B195" t="s">
        <v>2263</v>
      </c>
      <c r="C195" s="1">
        <v>46166</v>
      </c>
      <c r="D195" t="s">
        <v>34</v>
      </c>
      <c r="E195" t="s">
        <v>50</v>
      </c>
      <c r="F195" t="s">
        <v>47</v>
      </c>
      <c r="G195" t="s">
        <v>35</v>
      </c>
      <c r="H195" t="s">
        <v>36</v>
      </c>
      <c r="I195" t="s">
        <v>37</v>
      </c>
      <c r="J195">
        <v>799</v>
      </c>
      <c r="K195">
        <v>2</v>
      </c>
      <c r="L195">
        <v>719.64</v>
      </c>
      <c r="M195">
        <v>0</v>
      </c>
      <c r="N195">
        <v>1439.28</v>
      </c>
      <c r="O195">
        <v>1439.28</v>
      </c>
      <c r="P195" t="s">
        <v>2111</v>
      </c>
      <c r="Q195" t="s">
        <v>1479</v>
      </c>
    </row>
    <row r="196" spans="1:17" x14ac:dyDescent="0.3">
      <c r="A196" t="s">
        <v>326</v>
      </c>
      <c r="B196" t="s">
        <v>325</v>
      </c>
      <c r="C196" s="1">
        <v>46039</v>
      </c>
      <c r="D196" t="s">
        <v>16</v>
      </c>
      <c r="E196" t="s">
        <v>50</v>
      </c>
      <c r="F196" t="s">
        <v>60</v>
      </c>
      <c r="G196" t="s">
        <v>35</v>
      </c>
      <c r="H196" t="s">
        <v>36</v>
      </c>
      <c r="I196" t="s">
        <v>37</v>
      </c>
      <c r="J196">
        <v>799</v>
      </c>
      <c r="K196">
        <v>2</v>
      </c>
      <c r="L196">
        <v>758.3</v>
      </c>
      <c r="M196">
        <v>227.49</v>
      </c>
      <c r="N196">
        <v>1516.6</v>
      </c>
      <c r="O196">
        <v>1289.1099999999999</v>
      </c>
      <c r="P196" t="s">
        <v>2111</v>
      </c>
      <c r="Q196" t="s">
        <v>23</v>
      </c>
    </row>
    <row r="197" spans="1:17" x14ac:dyDescent="0.3">
      <c r="A197" t="s">
        <v>1306</v>
      </c>
      <c r="B197" t="s">
        <v>1305</v>
      </c>
      <c r="C197" s="1">
        <v>46127</v>
      </c>
      <c r="D197" t="s">
        <v>16</v>
      </c>
      <c r="E197" t="s">
        <v>17</v>
      </c>
      <c r="F197" t="s">
        <v>22</v>
      </c>
      <c r="G197" t="s">
        <v>126</v>
      </c>
      <c r="H197" t="s">
        <v>127</v>
      </c>
      <c r="I197" t="s">
        <v>45</v>
      </c>
      <c r="J197">
        <v>2499</v>
      </c>
      <c r="K197">
        <v>1</v>
      </c>
      <c r="L197">
        <v>2601.25</v>
      </c>
      <c r="M197">
        <v>260.12</v>
      </c>
      <c r="N197">
        <v>2601.25</v>
      </c>
      <c r="O197">
        <v>2341.13</v>
      </c>
      <c r="P197" t="s">
        <v>2111</v>
      </c>
      <c r="Q197" t="s">
        <v>1170</v>
      </c>
    </row>
    <row r="198" spans="1:17" x14ac:dyDescent="0.3">
      <c r="A198" t="s">
        <v>140</v>
      </c>
      <c r="B198" t="s">
        <v>139</v>
      </c>
      <c r="C198" s="1">
        <v>46028</v>
      </c>
      <c r="D198" t="s">
        <v>26</v>
      </c>
      <c r="E198" t="s">
        <v>17</v>
      </c>
      <c r="F198" t="s">
        <v>47</v>
      </c>
      <c r="G198" t="s">
        <v>191</v>
      </c>
      <c r="H198" t="s">
        <v>192</v>
      </c>
      <c r="I198" t="s">
        <v>45</v>
      </c>
      <c r="J198">
        <v>699</v>
      </c>
      <c r="K198">
        <v>2</v>
      </c>
      <c r="L198">
        <v>642.97</v>
      </c>
      <c r="M198">
        <v>0</v>
      </c>
      <c r="N198">
        <v>1285.94</v>
      </c>
      <c r="O198">
        <v>1285.94</v>
      </c>
      <c r="P198" t="s">
        <v>2111</v>
      </c>
      <c r="Q198" t="s">
        <v>23</v>
      </c>
    </row>
    <row r="199" spans="1:17" x14ac:dyDescent="0.3">
      <c r="A199" t="s">
        <v>1195</v>
      </c>
      <c r="B199" t="s">
        <v>514</v>
      </c>
      <c r="C199" s="1">
        <v>46116</v>
      </c>
      <c r="D199" t="s">
        <v>34</v>
      </c>
      <c r="E199" t="s">
        <v>50</v>
      </c>
      <c r="F199" t="s">
        <v>31</v>
      </c>
      <c r="G199" t="s">
        <v>91</v>
      </c>
      <c r="H199" t="s">
        <v>92</v>
      </c>
      <c r="I199" t="s">
        <v>37</v>
      </c>
      <c r="J199">
        <v>1899</v>
      </c>
      <c r="K199">
        <v>2</v>
      </c>
      <c r="L199">
        <v>2054.3000000000002</v>
      </c>
      <c r="M199">
        <v>616.29</v>
      </c>
      <c r="N199">
        <v>4108.6000000000004</v>
      </c>
      <c r="O199">
        <v>3492.31</v>
      </c>
      <c r="P199" t="s">
        <v>2111</v>
      </c>
      <c r="Q199" t="s">
        <v>1170</v>
      </c>
    </row>
    <row r="200" spans="1:17" x14ac:dyDescent="0.3">
      <c r="A200" t="s">
        <v>2187</v>
      </c>
      <c r="B200" t="s">
        <v>750</v>
      </c>
      <c r="C200" s="1">
        <v>46186</v>
      </c>
      <c r="D200" t="s">
        <v>34</v>
      </c>
      <c r="E200" t="s">
        <v>17</v>
      </c>
      <c r="F200" t="s">
        <v>22</v>
      </c>
      <c r="G200" t="s">
        <v>35</v>
      </c>
      <c r="H200" t="s">
        <v>36</v>
      </c>
      <c r="I200" t="s">
        <v>37</v>
      </c>
      <c r="J200">
        <v>799</v>
      </c>
      <c r="K200">
        <v>1</v>
      </c>
      <c r="L200">
        <v>753.46</v>
      </c>
      <c r="M200">
        <v>113.02</v>
      </c>
      <c r="N200">
        <v>753.46</v>
      </c>
      <c r="O200">
        <v>640.44000000000005</v>
      </c>
      <c r="P200" t="s">
        <v>2111</v>
      </c>
      <c r="Q200" t="s">
        <v>1809</v>
      </c>
    </row>
    <row r="201" spans="1:17" x14ac:dyDescent="0.3">
      <c r="A201" t="s">
        <v>2176</v>
      </c>
      <c r="B201" t="s">
        <v>2177</v>
      </c>
      <c r="C201" s="1">
        <v>46081</v>
      </c>
      <c r="D201" t="s">
        <v>26</v>
      </c>
      <c r="E201" t="s">
        <v>17</v>
      </c>
      <c r="F201" t="s">
        <v>60</v>
      </c>
      <c r="G201" t="s">
        <v>56</v>
      </c>
      <c r="H201" t="s">
        <v>57</v>
      </c>
      <c r="I201" t="s">
        <v>58</v>
      </c>
      <c r="J201">
        <v>8999</v>
      </c>
      <c r="K201">
        <v>2</v>
      </c>
      <c r="L201">
        <v>8467.33</v>
      </c>
      <c r="M201">
        <v>1693.47</v>
      </c>
      <c r="N201">
        <v>16934.66</v>
      </c>
      <c r="O201">
        <v>15241.19</v>
      </c>
      <c r="P201" t="s">
        <v>2111</v>
      </c>
      <c r="Q201" t="s">
        <v>498</v>
      </c>
    </row>
    <row r="202" spans="1:17" x14ac:dyDescent="0.3">
      <c r="A202" t="s">
        <v>2264</v>
      </c>
      <c r="B202" t="s">
        <v>2265</v>
      </c>
      <c r="C202" s="1">
        <v>46164</v>
      </c>
      <c r="D202" t="s">
        <v>41</v>
      </c>
      <c r="E202" t="s">
        <v>17</v>
      </c>
      <c r="F202" t="s">
        <v>74</v>
      </c>
      <c r="G202" t="s">
        <v>96</v>
      </c>
      <c r="H202" t="s">
        <v>97</v>
      </c>
      <c r="I202" t="s">
        <v>58</v>
      </c>
      <c r="J202">
        <v>7499</v>
      </c>
      <c r="K202">
        <v>1</v>
      </c>
      <c r="L202">
        <v>7021.33</v>
      </c>
      <c r="M202">
        <v>351.07</v>
      </c>
      <c r="N202">
        <v>7021.33</v>
      </c>
      <c r="O202">
        <v>6670.26</v>
      </c>
      <c r="P202" t="s">
        <v>2111</v>
      </c>
      <c r="Q202" t="s">
        <v>1479</v>
      </c>
    </row>
    <row r="203" spans="1:17" x14ac:dyDescent="0.3">
      <c r="A203" t="s">
        <v>765</v>
      </c>
      <c r="B203" t="s">
        <v>764</v>
      </c>
      <c r="C203" s="1">
        <v>46080</v>
      </c>
      <c r="D203" t="s">
        <v>63</v>
      </c>
      <c r="E203" t="s">
        <v>50</v>
      </c>
      <c r="F203" t="s">
        <v>47</v>
      </c>
      <c r="G203" t="s">
        <v>43</v>
      </c>
      <c r="H203" t="s">
        <v>44</v>
      </c>
      <c r="I203" t="s">
        <v>45</v>
      </c>
      <c r="J203">
        <v>3299</v>
      </c>
      <c r="K203">
        <v>3</v>
      </c>
      <c r="L203">
        <v>2978.33</v>
      </c>
      <c r="M203">
        <v>1340.25</v>
      </c>
      <c r="N203">
        <v>8934.99</v>
      </c>
      <c r="O203">
        <v>7594.74</v>
      </c>
      <c r="P203" t="s">
        <v>2111</v>
      </c>
      <c r="Q203" t="s">
        <v>498</v>
      </c>
    </row>
    <row r="204" spans="1:17" x14ac:dyDescent="0.3">
      <c r="A204" t="s">
        <v>2266</v>
      </c>
      <c r="B204" t="s">
        <v>1332</v>
      </c>
      <c r="C204" s="1">
        <v>46104</v>
      </c>
      <c r="D204" t="s">
        <v>26</v>
      </c>
      <c r="E204" t="s">
        <v>50</v>
      </c>
      <c r="F204" t="s">
        <v>74</v>
      </c>
      <c r="G204" t="s">
        <v>126</v>
      </c>
      <c r="H204" t="s">
        <v>127</v>
      </c>
      <c r="I204" t="s">
        <v>45</v>
      </c>
      <c r="J204">
        <v>2499</v>
      </c>
      <c r="K204">
        <v>1</v>
      </c>
      <c r="L204">
        <v>2634.85</v>
      </c>
      <c r="M204">
        <v>131.74</v>
      </c>
      <c r="N204">
        <v>2634.85</v>
      </c>
      <c r="O204">
        <v>2503.11</v>
      </c>
      <c r="P204" t="s">
        <v>2111</v>
      </c>
      <c r="Q204" t="s">
        <v>789</v>
      </c>
    </row>
    <row r="205" spans="1:17" x14ac:dyDescent="0.3">
      <c r="A205" t="s">
        <v>1798</v>
      </c>
      <c r="B205" t="s">
        <v>1797</v>
      </c>
      <c r="C205" s="1">
        <v>46173</v>
      </c>
      <c r="D205" t="s">
        <v>34</v>
      </c>
      <c r="E205" t="s">
        <v>50</v>
      </c>
      <c r="F205" t="s">
        <v>47</v>
      </c>
      <c r="G205" t="s">
        <v>96</v>
      </c>
      <c r="H205" t="s">
        <v>97</v>
      </c>
      <c r="I205" t="s">
        <v>58</v>
      </c>
      <c r="J205">
        <v>7499</v>
      </c>
      <c r="K205">
        <v>1</v>
      </c>
      <c r="L205">
        <v>8061.48</v>
      </c>
      <c r="M205">
        <v>403.07</v>
      </c>
      <c r="N205">
        <v>8061.48</v>
      </c>
      <c r="O205">
        <v>7658.41</v>
      </c>
      <c r="P205" t="s">
        <v>2111</v>
      </c>
      <c r="Q205" t="s">
        <v>1479</v>
      </c>
    </row>
    <row r="206" spans="1:17" x14ac:dyDescent="0.3">
      <c r="A206" t="s">
        <v>1560</v>
      </c>
      <c r="B206" t="s">
        <v>1559</v>
      </c>
      <c r="C206" s="1">
        <v>46150</v>
      </c>
      <c r="D206" t="s">
        <v>34</v>
      </c>
      <c r="E206" t="s">
        <v>50</v>
      </c>
      <c r="F206" t="s">
        <v>60</v>
      </c>
      <c r="G206" t="s">
        <v>250</v>
      </c>
      <c r="H206" t="s">
        <v>251</v>
      </c>
      <c r="I206" t="s">
        <v>108</v>
      </c>
      <c r="J206">
        <v>899</v>
      </c>
      <c r="K206">
        <v>1</v>
      </c>
      <c r="L206">
        <v>919.53</v>
      </c>
      <c r="M206">
        <v>137.93</v>
      </c>
      <c r="N206">
        <v>919.53</v>
      </c>
      <c r="O206">
        <v>781.6</v>
      </c>
      <c r="P206" t="s">
        <v>2111</v>
      </c>
      <c r="Q206" t="s">
        <v>1479</v>
      </c>
    </row>
    <row r="207" spans="1:17" x14ac:dyDescent="0.3">
      <c r="A207" t="s">
        <v>2267</v>
      </c>
      <c r="B207" t="s">
        <v>2268</v>
      </c>
      <c r="C207" s="1">
        <v>46177</v>
      </c>
      <c r="D207" t="s">
        <v>16</v>
      </c>
      <c r="E207" t="s">
        <v>50</v>
      </c>
      <c r="F207" t="s">
        <v>31</v>
      </c>
      <c r="G207" t="s">
        <v>165</v>
      </c>
      <c r="H207" t="s">
        <v>166</v>
      </c>
      <c r="I207" t="s">
        <v>29</v>
      </c>
      <c r="J207">
        <v>449</v>
      </c>
      <c r="K207">
        <v>2</v>
      </c>
      <c r="L207">
        <v>421</v>
      </c>
      <c r="M207">
        <v>0</v>
      </c>
      <c r="N207">
        <v>842</v>
      </c>
      <c r="O207">
        <v>842</v>
      </c>
      <c r="P207" t="s">
        <v>2111</v>
      </c>
      <c r="Q207" t="s">
        <v>1809</v>
      </c>
    </row>
    <row r="208" spans="1:17" x14ac:dyDescent="0.3">
      <c r="A208" t="s">
        <v>2225</v>
      </c>
      <c r="B208" t="s">
        <v>984</v>
      </c>
      <c r="C208" s="1">
        <v>46064</v>
      </c>
      <c r="D208" t="s">
        <v>63</v>
      </c>
      <c r="E208" t="s">
        <v>17</v>
      </c>
      <c r="F208" t="s">
        <v>31</v>
      </c>
      <c r="G208" t="s">
        <v>80</v>
      </c>
      <c r="H208" t="s">
        <v>81</v>
      </c>
      <c r="I208" t="s">
        <v>82</v>
      </c>
      <c r="J208">
        <v>4299</v>
      </c>
      <c r="K208">
        <v>1</v>
      </c>
      <c r="L208">
        <v>4114.38</v>
      </c>
      <c r="M208">
        <v>0</v>
      </c>
      <c r="N208">
        <v>4114.38</v>
      </c>
      <c r="O208">
        <v>4114.38</v>
      </c>
      <c r="P208" t="s">
        <v>2111</v>
      </c>
      <c r="Q208" t="s">
        <v>498</v>
      </c>
    </row>
    <row r="209" spans="1:17" x14ac:dyDescent="0.3">
      <c r="A209" t="s">
        <v>850</v>
      </c>
      <c r="B209" t="s">
        <v>849</v>
      </c>
      <c r="C209" s="1">
        <v>46086</v>
      </c>
      <c r="D209" t="s">
        <v>26</v>
      </c>
      <c r="E209" t="s">
        <v>50</v>
      </c>
      <c r="F209" t="s">
        <v>47</v>
      </c>
      <c r="G209" t="s">
        <v>106</v>
      </c>
      <c r="H209" t="s">
        <v>107</v>
      </c>
      <c r="I209" t="s">
        <v>108</v>
      </c>
      <c r="J209">
        <v>599</v>
      </c>
      <c r="K209">
        <v>1</v>
      </c>
      <c r="L209">
        <v>596.12</v>
      </c>
      <c r="M209">
        <v>0</v>
      </c>
      <c r="N209">
        <v>596.12</v>
      </c>
      <c r="O209">
        <v>596.12</v>
      </c>
      <c r="P209" t="s">
        <v>2111</v>
      </c>
      <c r="Q209" t="s">
        <v>789</v>
      </c>
    </row>
    <row r="210" spans="1:17" x14ac:dyDescent="0.3">
      <c r="A210" t="s">
        <v>2269</v>
      </c>
      <c r="B210" t="s">
        <v>2270</v>
      </c>
      <c r="C210" s="1">
        <v>46156</v>
      </c>
      <c r="D210" t="s">
        <v>16</v>
      </c>
      <c r="E210" t="s">
        <v>50</v>
      </c>
      <c r="F210" t="s">
        <v>22</v>
      </c>
      <c r="G210" t="s">
        <v>355</v>
      </c>
      <c r="H210" t="s">
        <v>356</v>
      </c>
      <c r="I210" t="s">
        <v>82</v>
      </c>
      <c r="J210">
        <v>499</v>
      </c>
      <c r="K210">
        <v>1</v>
      </c>
      <c r="L210">
        <v>544.34</v>
      </c>
      <c r="M210">
        <v>0</v>
      </c>
      <c r="N210">
        <v>544.34</v>
      </c>
      <c r="O210">
        <v>544.34</v>
      </c>
      <c r="P210" t="s">
        <v>2111</v>
      </c>
      <c r="Q210" t="s">
        <v>1479</v>
      </c>
    </row>
    <row r="211" spans="1:17" x14ac:dyDescent="0.3">
      <c r="A211" t="s">
        <v>2271</v>
      </c>
      <c r="B211" t="s">
        <v>1540</v>
      </c>
      <c r="C211" s="1">
        <v>46080</v>
      </c>
      <c r="D211" t="s">
        <v>16</v>
      </c>
      <c r="E211" t="s">
        <v>50</v>
      </c>
      <c r="F211" t="s">
        <v>74</v>
      </c>
      <c r="G211" t="s">
        <v>191</v>
      </c>
      <c r="H211" t="s">
        <v>192</v>
      </c>
      <c r="I211" t="s">
        <v>45</v>
      </c>
      <c r="J211">
        <v>699</v>
      </c>
      <c r="K211">
        <v>3</v>
      </c>
      <c r="L211">
        <v>663.68</v>
      </c>
      <c r="M211">
        <v>0</v>
      </c>
      <c r="N211">
        <v>1991.04</v>
      </c>
      <c r="O211">
        <v>1991.04</v>
      </c>
      <c r="P211" t="s">
        <v>2111</v>
      </c>
      <c r="Q211" t="s">
        <v>498</v>
      </c>
    </row>
    <row r="212" spans="1:17" x14ac:dyDescent="0.3">
      <c r="A212" t="s">
        <v>1593</v>
      </c>
      <c r="B212" t="s">
        <v>1592</v>
      </c>
      <c r="C212" s="1">
        <v>46152</v>
      </c>
      <c r="D212" t="s">
        <v>41</v>
      </c>
      <c r="E212" t="s">
        <v>50</v>
      </c>
      <c r="F212" t="s">
        <v>60</v>
      </c>
      <c r="G212" t="s">
        <v>355</v>
      </c>
      <c r="H212" t="s">
        <v>356</v>
      </c>
      <c r="I212" t="s">
        <v>82</v>
      </c>
      <c r="J212">
        <v>499</v>
      </c>
      <c r="K212">
        <v>1</v>
      </c>
      <c r="L212">
        <v>522.12</v>
      </c>
      <c r="M212">
        <v>130.53</v>
      </c>
      <c r="N212">
        <v>522.12</v>
      </c>
      <c r="O212">
        <v>391.59</v>
      </c>
      <c r="P212" t="s">
        <v>2111</v>
      </c>
      <c r="Q212" t="s">
        <v>1479</v>
      </c>
    </row>
    <row r="213" spans="1:17" x14ac:dyDescent="0.3">
      <c r="A213" t="s">
        <v>706</v>
      </c>
      <c r="B213" t="s">
        <v>705</v>
      </c>
      <c r="C213" s="1">
        <v>46074</v>
      </c>
      <c r="D213" t="s">
        <v>63</v>
      </c>
      <c r="E213" t="s">
        <v>17</v>
      </c>
      <c r="F213" t="s">
        <v>74</v>
      </c>
      <c r="G213" t="s">
        <v>35</v>
      </c>
      <c r="H213" t="s">
        <v>36</v>
      </c>
      <c r="I213" t="s">
        <v>37</v>
      </c>
      <c r="J213">
        <v>799</v>
      </c>
      <c r="K213">
        <v>1</v>
      </c>
      <c r="L213">
        <v>789.32</v>
      </c>
      <c r="M213">
        <v>39.47</v>
      </c>
      <c r="N213">
        <v>789.32</v>
      </c>
      <c r="O213">
        <v>749.85</v>
      </c>
      <c r="P213" t="s">
        <v>2111</v>
      </c>
      <c r="Q213" t="s">
        <v>498</v>
      </c>
    </row>
    <row r="214" spans="1:17" x14ac:dyDescent="0.3">
      <c r="A214" t="s">
        <v>416</v>
      </c>
      <c r="B214" t="s">
        <v>415</v>
      </c>
      <c r="C214" s="1">
        <v>46046</v>
      </c>
      <c r="D214" t="s">
        <v>26</v>
      </c>
      <c r="E214" t="s">
        <v>50</v>
      </c>
      <c r="F214" t="s">
        <v>74</v>
      </c>
      <c r="G214" t="s">
        <v>191</v>
      </c>
      <c r="H214" t="s">
        <v>192</v>
      </c>
      <c r="I214" t="s">
        <v>45</v>
      </c>
      <c r="J214">
        <v>699</v>
      </c>
      <c r="K214">
        <v>2</v>
      </c>
      <c r="L214">
        <v>670.74</v>
      </c>
      <c r="M214">
        <v>0</v>
      </c>
      <c r="N214">
        <v>1341.48</v>
      </c>
      <c r="O214">
        <v>1341.48</v>
      </c>
      <c r="P214" t="s">
        <v>2111</v>
      </c>
      <c r="Q214" t="s">
        <v>23</v>
      </c>
    </row>
    <row r="215" spans="1:17" x14ac:dyDescent="0.3">
      <c r="A215" t="s">
        <v>428</v>
      </c>
      <c r="B215" t="s">
        <v>427</v>
      </c>
      <c r="C215" s="1">
        <v>46047</v>
      </c>
      <c r="D215" t="s">
        <v>41</v>
      </c>
      <c r="E215" t="s">
        <v>50</v>
      </c>
      <c r="F215" t="s">
        <v>31</v>
      </c>
      <c r="G215" t="s">
        <v>149</v>
      </c>
      <c r="H215" t="s">
        <v>150</v>
      </c>
      <c r="I215" t="s">
        <v>37</v>
      </c>
      <c r="J215">
        <v>2999</v>
      </c>
      <c r="K215">
        <v>1</v>
      </c>
      <c r="L215">
        <v>2972.56</v>
      </c>
      <c r="M215">
        <v>148.63</v>
      </c>
      <c r="N215">
        <v>2972.56</v>
      </c>
      <c r="O215">
        <v>2823.93</v>
      </c>
      <c r="P215" t="s">
        <v>2111</v>
      </c>
      <c r="Q215" t="s">
        <v>23</v>
      </c>
    </row>
    <row r="216" spans="1:17" x14ac:dyDescent="0.3">
      <c r="A216" t="s">
        <v>2272</v>
      </c>
      <c r="B216" t="s">
        <v>2273</v>
      </c>
      <c r="C216" s="1">
        <v>46076</v>
      </c>
      <c r="D216" t="s">
        <v>41</v>
      </c>
      <c r="E216" t="s">
        <v>50</v>
      </c>
      <c r="F216" t="s">
        <v>22</v>
      </c>
      <c r="G216" t="s">
        <v>191</v>
      </c>
      <c r="H216" t="s">
        <v>192</v>
      </c>
      <c r="I216" t="s">
        <v>45</v>
      </c>
      <c r="J216">
        <v>699</v>
      </c>
      <c r="K216">
        <v>3</v>
      </c>
      <c r="L216">
        <v>639.04999999999995</v>
      </c>
      <c r="M216">
        <v>383.43</v>
      </c>
      <c r="N216">
        <v>1917.15</v>
      </c>
      <c r="O216">
        <v>1533.72</v>
      </c>
      <c r="P216" t="s">
        <v>2114</v>
      </c>
      <c r="Q216" t="s">
        <v>498</v>
      </c>
    </row>
    <row r="217" spans="1:17" x14ac:dyDescent="0.3">
      <c r="A217" t="s">
        <v>2274</v>
      </c>
      <c r="B217" t="s">
        <v>2275</v>
      </c>
      <c r="C217" s="1">
        <v>46046</v>
      </c>
      <c r="D217" t="s">
        <v>34</v>
      </c>
      <c r="E217" t="s">
        <v>17</v>
      </c>
      <c r="F217" t="s">
        <v>22</v>
      </c>
      <c r="G217" t="s">
        <v>101</v>
      </c>
      <c r="H217" t="s">
        <v>102</v>
      </c>
      <c r="I217" t="s">
        <v>45</v>
      </c>
      <c r="J217">
        <v>4999</v>
      </c>
      <c r="K217">
        <v>1</v>
      </c>
      <c r="L217">
        <v>5297.63</v>
      </c>
      <c r="M217">
        <v>529.76</v>
      </c>
      <c r="N217">
        <v>5297.63</v>
      </c>
      <c r="O217">
        <v>4767.87</v>
      </c>
      <c r="P217" t="s">
        <v>2114</v>
      </c>
      <c r="Q217" t="s">
        <v>23</v>
      </c>
    </row>
    <row r="218" spans="1:17" x14ac:dyDescent="0.3">
      <c r="A218" t="s">
        <v>2276</v>
      </c>
      <c r="B218" t="s">
        <v>2277</v>
      </c>
      <c r="C218" s="1">
        <v>46078</v>
      </c>
      <c r="D218" t="s">
        <v>41</v>
      </c>
      <c r="E218" t="s">
        <v>50</v>
      </c>
      <c r="F218" t="s">
        <v>74</v>
      </c>
      <c r="G218" t="s">
        <v>96</v>
      </c>
      <c r="H218" t="s">
        <v>97</v>
      </c>
      <c r="I218" t="s">
        <v>58</v>
      </c>
      <c r="J218">
        <v>7499</v>
      </c>
      <c r="K218">
        <v>2</v>
      </c>
      <c r="L218">
        <v>7114</v>
      </c>
      <c r="M218">
        <v>711.4</v>
      </c>
      <c r="N218">
        <v>14228</v>
      </c>
      <c r="O218">
        <v>13516.6</v>
      </c>
      <c r="P218" t="s">
        <v>2114</v>
      </c>
      <c r="Q218" t="s">
        <v>498</v>
      </c>
    </row>
    <row r="219" spans="1:17" x14ac:dyDescent="0.3">
      <c r="A219" t="s">
        <v>1478</v>
      </c>
      <c r="B219" t="s">
        <v>1477</v>
      </c>
      <c r="C219" s="1">
        <v>46143</v>
      </c>
      <c r="D219" t="s">
        <v>26</v>
      </c>
      <c r="E219" t="s">
        <v>17</v>
      </c>
      <c r="F219" t="s">
        <v>31</v>
      </c>
      <c r="G219" t="s">
        <v>355</v>
      </c>
      <c r="H219" t="s">
        <v>356</v>
      </c>
      <c r="I219" t="s">
        <v>82</v>
      </c>
      <c r="J219">
        <v>499</v>
      </c>
      <c r="K219">
        <v>1</v>
      </c>
      <c r="L219">
        <v>521.5</v>
      </c>
      <c r="M219">
        <v>104.3</v>
      </c>
      <c r="N219">
        <v>521.5</v>
      </c>
      <c r="O219">
        <v>417.2</v>
      </c>
      <c r="P219" t="s">
        <v>2111</v>
      </c>
      <c r="Q219" t="s">
        <v>1479</v>
      </c>
    </row>
    <row r="220" spans="1:17" x14ac:dyDescent="0.3">
      <c r="A220" t="s">
        <v>2278</v>
      </c>
      <c r="B220" t="s">
        <v>2279</v>
      </c>
      <c r="C220" s="1">
        <v>46121</v>
      </c>
      <c r="D220" t="s">
        <v>63</v>
      </c>
      <c r="E220" t="s">
        <v>17</v>
      </c>
      <c r="F220" t="s">
        <v>31</v>
      </c>
      <c r="G220" t="s">
        <v>27</v>
      </c>
      <c r="H220" t="s">
        <v>28</v>
      </c>
      <c r="I220" t="s">
        <v>29</v>
      </c>
      <c r="J220">
        <v>1599</v>
      </c>
      <c r="K220">
        <v>1</v>
      </c>
      <c r="L220">
        <v>1460.96</v>
      </c>
      <c r="M220">
        <v>146.1</v>
      </c>
      <c r="N220">
        <v>1460.96</v>
      </c>
      <c r="O220">
        <v>1314.86</v>
      </c>
      <c r="P220" t="s">
        <v>2111</v>
      </c>
      <c r="Q220" t="s">
        <v>1170</v>
      </c>
    </row>
    <row r="221" spans="1:17" x14ac:dyDescent="0.3">
      <c r="A221" t="s">
        <v>1466</v>
      </c>
      <c r="B221" t="s">
        <v>125</v>
      </c>
      <c r="C221" s="1">
        <v>46142</v>
      </c>
      <c r="D221" t="s">
        <v>34</v>
      </c>
      <c r="E221" t="s">
        <v>50</v>
      </c>
      <c r="F221" t="s">
        <v>47</v>
      </c>
      <c r="G221" t="s">
        <v>101</v>
      </c>
      <c r="H221" t="s">
        <v>102</v>
      </c>
      <c r="I221" t="s">
        <v>45</v>
      </c>
      <c r="J221">
        <v>4999</v>
      </c>
      <c r="K221">
        <v>2</v>
      </c>
      <c r="L221">
        <v>5454.01</v>
      </c>
      <c r="M221">
        <v>545.4</v>
      </c>
      <c r="N221">
        <v>10908.02</v>
      </c>
      <c r="O221">
        <v>10362.620000000001</v>
      </c>
      <c r="P221" t="s">
        <v>2111</v>
      </c>
      <c r="Q221" t="s">
        <v>1170</v>
      </c>
    </row>
    <row r="222" spans="1:17" x14ac:dyDescent="0.3">
      <c r="A222" t="s">
        <v>1669</v>
      </c>
      <c r="B222" t="s">
        <v>1668</v>
      </c>
      <c r="C222" s="1">
        <v>46158</v>
      </c>
      <c r="D222" t="s">
        <v>16</v>
      </c>
      <c r="E222" t="s">
        <v>17</v>
      </c>
      <c r="F222" t="s">
        <v>74</v>
      </c>
      <c r="G222" t="s">
        <v>101</v>
      </c>
      <c r="H222" t="s">
        <v>102</v>
      </c>
      <c r="I222" t="s">
        <v>45</v>
      </c>
      <c r="J222">
        <v>4999</v>
      </c>
      <c r="K222">
        <v>1</v>
      </c>
      <c r="L222">
        <v>4692.08</v>
      </c>
      <c r="M222">
        <v>234.6</v>
      </c>
      <c r="N222">
        <v>4692.08</v>
      </c>
      <c r="O222">
        <v>4457.4799999999996</v>
      </c>
      <c r="P222" t="s">
        <v>2111</v>
      </c>
      <c r="Q222" t="s">
        <v>1479</v>
      </c>
    </row>
    <row r="223" spans="1:17" x14ac:dyDescent="0.3">
      <c r="A223" t="s">
        <v>2280</v>
      </c>
      <c r="B223" t="s">
        <v>2110</v>
      </c>
      <c r="C223" s="1">
        <v>46041</v>
      </c>
      <c r="D223" t="s">
        <v>63</v>
      </c>
      <c r="E223" t="s">
        <v>17</v>
      </c>
      <c r="F223" t="s">
        <v>47</v>
      </c>
      <c r="G223" t="s">
        <v>91</v>
      </c>
      <c r="H223" t="s">
        <v>92</v>
      </c>
      <c r="I223" t="s">
        <v>37</v>
      </c>
      <c r="J223">
        <v>1899</v>
      </c>
      <c r="K223">
        <v>2</v>
      </c>
      <c r="L223">
        <v>2044.37</v>
      </c>
      <c r="M223">
        <v>204.44</v>
      </c>
      <c r="N223">
        <v>4088.74</v>
      </c>
      <c r="O223">
        <v>3884.3</v>
      </c>
      <c r="P223" t="s">
        <v>2111</v>
      </c>
      <c r="Q223" t="s">
        <v>23</v>
      </c>
    </row>
    <row r="224" spans="1:17" x14ac:dyDescent="0.3">
      <c r="A224" t="s">
        <v>2188</v>
      </c>
      <c r="B224" t="s">
        <v>2189</v>
      </c>
      <c r="C224" s="1">
        <v>46094</v>
      </c>
      <c r="D224" t="s">
        <v>34</v>
      </c>
      <c r="E224" t="s">
        <v>17</v>
      </c>
      <c r="F224" t="s">
        <v>74</v>
      </c>
      <c r="G224" t="s">
        <v>91</v>
      </c>
      <c r="H224" t="s">
        <v>92</v>
      </c>
      <c r="I224" t="s">
        <v>37</v>
      </c>
      <c r="J224">
        <v>1899</v>
      </c>
      <c r="K224">
        <v>1</v>
      </c>
      <c r="L224">
        <v>2016.54</v>
      </c>
      <c r="M224">
        <v>100.83</v>
      </c>
      <c r="N224">
        <v>2016.54</v>
      </c>
      <c r="O224">
        <v>1915.71</v>
      </c>
      <c r="P224" t="s">
        <v>2111</v>
      </c>
      <c r="Q224" t="s">
        <v>789</v>
      </c>
    </row>
    <row r="225" spans="1:17" x14ac:dyDescent="0.3">
      <c r="A225" t="s">
        <v>1828</v>
      </c>
      <c r="B225" t="s">
        <v>1403</v>
      </c>
      <c r="C225" s="1">
        <v>46174</v>
      </c>
      <c r="D225" t="s">
        <v>26</v>
      </c>
      <c r="E225" t="s">
        <v>17</v>
      </c>
      <c r="F225" t="s">
        <v>22</v>
      </c>
      <c r="G225" t="s">
        <v>355</v>
      </c>
      <c r="H225" t="s">
        <v>356</v>
      </c>
      <c r="I225" t="s">
        <v>82</v>
      </c>
      <c r="J225">
        <v>499</v>
      </c>
      <c r="K225">
        <v>1</v>
      </c>
      <c r="L225">
        <v>545.69000000000005</v>
      </c>
      <c r="M225">
        <v>81.849999999999994</v>
      </c>
      <c r="N225">
        <v>545.69000000000005</v>
      </c>
      <c r="O225">
        <v>463.84</v>
      </c>
      <c r="P225" t="s">
        <v>2114</v>
      </c>
      <c r="Q225" t="s">
        <v>1809</v>
      </c>
    </row>
    <row r="226" spans="1:17" x14ac:dyDescent="0.3">
      <c r="A226" t="s">
        <v>1385</v>
      </c>
      <c r="B226" t="s">
        <v>624</v>
      </c>
      <c r="C226" s="1">
        <v>46135</v>
      </c>
      <c r="D226" t="s">
        <v>16</v>
      </c>
      <c r="E226" t="s">
        <v>50</v>
      </c>
      <c r="F226" t="s">
        <v>60</v>
      </c>
      <c r="G226" t="s">
        <v>51</v>
      </c>
      <c r="H226" t="s">
        <v>52</v>
      </c>
      <c r="I226" t="s">
        <v>20</v>
      </c>
      <c r="J226">
        <v>999</v>
      </c>
      <c r="K226">
        <v>1</v>
      </c>
      <c r="L226">
        <v>994.58</v>
      </c>
      <c r="M226">
        <v>49.73</v>
      </c>
      <c r="N226">
        <v>994.58</v>
      </c>
      <c r="O226">
        <v>944.85</v>
      </c>
      <c r="P226" t="s">
        <v>2111</v>
      </c>
      <c r="Q226" t="s">
        <v>1170</v>
      </c>
    </row>
    <row r="227" spans="1:17" x14ac:dyDescent="0.3">
      <c r="A227" t="s">
        <v>2167</v>
      </c>
      <c r="B227" t="s">
        <v>2168</v>
      </c>
      <c r="C227" s="1">
        <v>46113</v>
      </c>
      <c r="D227" t="s">
        <v>34</v>
      </c>
      <c r="E227" t="s">
        <v>17</v>
      </c>
      <c r="F227" t="s">
        <v>74</v>
      </c>
      <c r="G227" t="s">
        <v>250</v>
      </c>
      <c r="H227" t="s">
        <v>251</v>
      </c>
      <c r="I227" t="s">
        <v>108</v>
      </c>
      <c r="J227">
        <v>899</v>
      </c>
      <c r="K227">
        <v>4</v>
      </c>
      <c r="L227">
        <v>939.89</v>
      </c>
      <c r="M227">
        <v>375.96</v>
      </c>
      <c r="N227">
        <v>3759.56</v>
      </c>
      <c r="O227">
        <v>3383.6</v>
      </c>
      <c r="P227" t="s">
        <v>2111</v>
      </c>
      <c r="Q227" t="s">
        <v>1170</v>
      </c>
    </row>
    <row r="228" spans="1:17" x14ac:dyDescent="0.3">
      <c r="A228" t="s">
        <v>1614</v>
      </c>
      <c r="B228" t="s">
        <v>1613</v>
      </c>
      <c r="C228" s="1">
        <v>46154</v>
      </c>
      <c r="D228" t="s">
        <v>26</v>
      </c>
      <c r="E228" t="s">
        <v>17</v>
      </c>
      <c r="F228" t="s">
        <v>47</v>
      </c>
      <c r="G228" t="s">
        <v>43</v>
      </c>
      <c r="H228" t="s">
        <v>44</v>
      </c>
      <c r="I228" t="s">
        <v>45</v>
      </c>
      <c r="J228">
        <v>3299</v>
      </c>
      <c r="K228">
        <v>1</v>
      </c>
      <c r="L228">
        <v>3213.69</v>
      </c>
      <c r="M228">
        <v>0</v>
      </c>
      <c r="N228">
        <v>3213.69</v>
      </c>
      <c r="O228">
        <v>3213.69</v>
      </c>
      <c r="P228" t="s">
        <v>2111</v>
      </c>
      <c r="Q228" t="s">
        <v>1479</v>
      </c>
    </row>
    <row r="229" spans="1:17" x14ac:dyDescent="0.3">
      <c r="A229" t="s">
        <v>1472</v>
      </c>
      <c r="B229" t="s">
        <v>1471</v>
      </c>
      <c r="C229" s="1">
        <v>46142</v>
      </c>
      <c r="D229" t="s">
        <v>41</v>
      </c>
      <c r="E229" t="s">
        <v>50</v>
      </c>
      <c r="F229" t="s">
        <v>47</v>
      </c>
      <c r="G229" t="s">
        <v>112</v>
      </c>
      <c r="H229" t="s">
        <v>113</v>
      </c>
      <c r="I229" t="s">
        <v>37</v>
      </c>
      <c r="J229">
        <v>1499</v>
      </c>
      <c r="K229">
        <v>1</v>
      </c>
      <c r="L229">
        <v>1404.37</v>
      </c>
      <c r="M229">
        <v>0</v>
      </c>
      <c r="N229">
        <v>1404.37</v>
      </c>
      <c r="O229">
        <v>1404.37</v>
      </c>
      <c r="P229" t="s">
        <v>2111</v>
      </c>
      <c r="Q229" t="s">
        <v>1170</v>
      </c>
    </row>
    <row r="230" spans="1:17" x14ac:dyDescent="0.3">
      <c r="A230" t="s">
        <v>780</v>
      </c>
      <c r="B230" t="s">
        <v>779</v>
      </c>
      <c r="C230" s="1">
        <v>46080</v>
      </c>
      <c r="D230" t="s">
        <v>16</v>
      </c>
      <c r="E230" t="s">
        <v>42</v>
      </c>
      <c r="F230" t="s">
        <v>22</v>
      </c>
      <c r="G230" t="s">
        <v>165</v>
      </c>
      <c r="H230" t="s">
        <v>166</v>
      </c>
      <c r="I230" t="s">
        <v>29</v>
      </c>
      <c r="J230">
        <v>449</v>
      </c>
      <c r="K230">
        <v>1</v>
      </c>
      <c r="L230">
        <v>443.89</v>
      </c>
      <c r="M230">
        <v>44.39</v>
      </c>
      <c r="N230">
        <v>443.89</v>
      </c>
      <c r="O230">
        <v>399.5</v>
      </c>
      <c r="P230" t="s">
        <v>2111</v>
      </c>
      <c r="Q230" t="s">
        <v>498</v>
      </c>
    </row>
    <row r="231" spans="1:17" x14ac:dyDescent="0.3">
      <c r="A231" t="s">
        <v>2281</v>
      </c>
      <c r="B231" t="s">
        <v>2282</v>
      </c>
      <c r="C231" s="1">
        <v>46116</v>
      </c>
      <c r="D231" t="s">
        <v>41</v>
      </c>
      <c r="E231" t="s">
        <v>50</v>
      </c>
      <c r="F231" t="s">
        <v>60</v>
      </c>
      <c r="G231" t="s">
        <v>101</v>
      </c>
      <c r="H231" t="s">
        <v>102</v>
      </c>
      <c r="I231" t="s">
        <v>45</v>
      </c>
      <c r="J231">
        <v>4999</v>
      </c>
      <c r="K231">
        <v>1</v>
      </c>
      <c r="L231">
        <v>4664.82</v>
      </c>
      <c r="M231">
        <v>932.96</v>
      </c>
      <c r="N231">
        <v>4664.82</v>
      </c>
      <c r="O231">
        <v>3731.86</v>
      </c>
      <c r="P231" t="s">
        <v>2111</v>
      </c>
      <c r="Q231" t="s">
        <v>1170</v>
      </c>
    </row>
    <row r="232" spans="1:17" x14ac:dyDescent="0.3">
      <c r="A232" t="s">
        <v>2283</v>
      </c>
      <c r="B232" t="s">
        <v>2284</v>
      </c>
      <c r="C232" s="1">
        <v>46114</v>
      </c>
      <c r="D232" t="s">
        <v>34</v>
      </c>
      <c r="E232" t="s">
        <v>50</v>
      </c>
      <c r="F232" t="s">
        <v>31</v>
      </c>
      <c r="G232" t="s">
        <v>27</v>
      </c>
      <c r="H232" t="s">
        <v>28</v>
      </c>
      <c r="I232" t="s">
        <v>29</v>
      </c>
      <c r="J232">
        <v>1599</v>
      </c>
      <c r="K232">
        <v>1</v>
      </c>
      <c r="L232">
        <v>1753.16</v>
      </c>
      <c r="M232">
        <v>87.66</v>
      </c>
      <c r="N232">
        <v>1753.16</v>
      </c>
      <c r="O232">
        <v>1665.5</v>
      </c>
      <c r="P232" t="s">
        <v>2111</v>
      </c>
      <c r="Q232" t="s">
        <v>1170</v>
      </c>
    </row>
    <row r="233" spans="1:17" x14ac:dyDescent="0.3">
      <c r="A233" t="s">
        <v>602</v>
      </c>
      <c r="B233" t="s">
        <v>601</v>
      </c>
      <c r="C233" s="1">
        <v>46063</v>
      </c>
      <c r="D233" t="s">
        <v>16</v>
      </c>
      <c r="E233" t="s">
        <v>50</v>
      </c>
      <c r="F233" t="s">
        <v>22</v>
      </c>
      <c r="G233" t="s">
        <v>112</v>
      </c>
      <c r="H233" t="s">
        <v>113</v>
      </c>
      <c r="I233" t="s">
        <v>37</v>
      </c>
      <c r="J233">
        <v>1499</v>
      </c>
      <c r="K233">
        <v>3</v>
      </c>
      <c r="L233">
        <v>1377.95</v>
      </c>
      <c r="M233">
        <v>620.08000000000004</v>
      </c>
      <c r="N233">
        <v>4133.8500000000004</v>
      </c>
      <c r="O233">
        <v>3513.77</v>
      </c>
      <c r="P233" t="s">
        <v>2111</v>
      </c>
      <c r="Q233" t="s">
        <v>498</v>
      </c>
    </row>
    <row r="234" spans="1:17" x14ac:dyDescent="0.3">
      <c r="A234" t="s">
        <v>1874</v>
      </c>
      <c r="B234" t="s">
        <v>1873</v>
      </c>
      <c r="C234" s="1">
        <v>46178</v>
      </c>
      <c r="D234" t="s">
        <v>41</v>
      </c>
      <c r="E234" t="s">
        <v>50</v>
      </c>
      <c r="F234" t="s">
        <v>31</v>
      </c>
      <c r="G234" t="s">
        <v>165</v>
      </c>
      <c r="H234" t="s">
        <v>166</v>
      </c>
      <c r="I234" t="s">
        <v>29</v>
      </c>
      <c r="J234">
        <v>449</v>
      </c>
      <c r="K234">
        <v>1</v>
      </c>
      <c r="L234">
        <v>457.01</v>
      </c>
      <c r="M234">
        <v>22.85</v>
      </c>
      <c r="N234">
        <v>457.01</v>
      </c>
      <c r="O234">
        <v>434.16</v>
      </c>
      <c r="P234" t="s">
        <v>2111</v>
      </c>
      <c r="Q234" t="s">
        <v>1809</v>
      </c>
    </row>
    <row r="235" spans="1:17" x14ac:dyDescent="0.3">
      <c r="A235" t="s">
        <v>895</v>
      </c>
      <c r="B235" t="s">
        <v>894</v>
      </c>
      <c r="C235" s="1">
        <v>46089</v>
      </c>
      <c r="D235" t="s">
        <v>26</v>
      </c>
      <c r="E235" t="s">
        <v>50</v>
      </c>
      <c r="F235" t="s">
        <v>74</v>
      </c>
      <c r="G235" t="s">
        <v>86</v>
      </c>
      <c r="H235" t="s">
        <v>87</v>
      </c>
      <c r="I235" t="s">
        <v>82</v>
      </c>
      <c r="J235">
        <v>3499</v>
      </c>
      <c r="K235">
        <v>3</v>
      </c>
      <c r="L235">
        <v>3587.5</v>
      </c>
      <c r="M235">
        <v>0</v>
      </c>
      <c r="N235">
        <v>10762.5</v>
      </c>
      <c r="O235">
        <v>10762.5</v>
      </c>
      <c r="P235" t="s">
        <v>2111</v>
      </c>
      <c r="Q235" t="s">
        <v>789</v>
      </c>
    </row>
    <row r="236" spans="1:17" x14ac:dyDescent="0.3">
      <c r="A236" t="s">
        <v>2285</v>
      </c>
      <c r="B236" t="s">
        <v>2286</v>
      </c>
      <c r="C236" s="1">
        <v>46063</v>
      </c>
      <c r="D236" t="s">
        <v>63</v>
      </c>
      <c r="E236" t="s">
        <v>50</v>
      </c>
      <c r="F236" t="s">
        <v>74</v>
      </c>
      <c r="G236" t="s">
        <v>250</v>
      </c>
      <c r="H236" t="s">
        <v>251</v>
      </c>
      <c r="I236" t="s">
        <v>108</v>
      </c>
      <c r="J236">
        <v>899</v>
      </c>
      <c r="K236">
        <v>1</v>
      </c>
      <c r="L236">
        <v>905.85</v>
      </c>
      <c r="M236">
        <v>0</v>
      </c>
      <c r="N236">
        <v>905.85</v>
      </c>
      <c r="O236">
        <v>905.85</v>
      </c>
      <c r="P236" t="s">
        <v>2111</v>
      </c>
      <c r="Q236" t="s">
        <v>498</v>
      </c>
    </row>
    <row r="237" spans="1:17" x14ac:dyDescent="0.3">
      <c r="A237" t="s">
        <v>2287</v>
      </c>
      <c r="B237" t="s">
        <v>2189</v>
      </c>
      <c r="C237" s="1">
        <v>46136</v>
      </c>
      <c r="D237" t="s">
        <v>63</v>
      </c>
      <c r="E237" t="s">
        <v>50</v>
      </c>
      <c r="F237" t="s">
        <v>60</v>
      </c>
      <c r="G237" t="s">
        <v>91</v>
      </c>
      <c r="H237" t="s">
        <v>92</v>
      </c>
      <c r="I237" t="s">
        <v>37</v>
      </c>
      <c r="J237">
        <v>1899</v>
      </c>
      <c r="K237">
        <v>2</v>
      </c>
      <c r="L237">
        <v>1960.6</v>
      </c>
      <c r="M237">
        <v>196.06</v>
      </c>
      <c r="N237">
        <v>3921.2</v>
      </c>
      <c r="O237">
        <v>3725.14</v>
      </c>
      <c r="P237" t="s">
        <v>2111</v>
      </c>
      <c r="Q237" t="s">
        <v>1170</v>
      </c>
    </row>
    <row r="238" spans="1:17" x14ac:dyDescent="0.3">
      <c r="A238" t="s">
        <v>2288</v>
      </c>
      <c r="B238" t="s">
        <v>2289</v>
      </c>
      <c r="C238" s="1">
        <v>46132</v>
      </c>
      <c r="D238" t="s">
        <v>41</v>
      </c>
      <c r="E238" t="s">
        <v>17</v>
      </c>
      <c r="F238" t="s">
        <v>60</v>
      </c>
      <c r="G238" t="s">
        <v>80</v>
      </c>
      <c r="H238" t="s">
        <v>81</v>
      </c>
      <c r="I238" t="s">
        <v>82</v>
      </c>
      <c r="J238">
        <v>4299</v>
      </c>
      <c r="K238">
        <v>3</v>
      </c>
      <c r="L238">
        <v>3968.99</v>
      </c>
      <c r="M238">
        <v>0</v>
      </c>
      <c r="N238">
        <v>11906.97</v>
      </c>
      <c r="O238">
        <v>11906.97</v>
      </c>
      <c r="P238" t="s">
        <v>2111</v>
      </c>
      <c r="Q238" t="s">
        <v>1170</v>
      </c>
    </row>
    <row r="239" spans="1:17" x14ac:dyDescent="0.3">
      <c r="A239" t="s">
        <v>1481</v>
      </c>
      <c r="B239" t="s">
        <v>1449</v>
      </c>
      <c r="C239" s="1">
        <v>46143</v>
      </c>
      <c r="D239" t="s">
        <v>63</v>
      </c>
      <c r="E239" t="s">
        <v>17</v>
      </c>
      <c r="F239" t="s">
        <v>31</v>
      </c>
      <c r="G239" t="s">
        <v>355</v>
      </c>
      <c r="H239" t="s">
        <v>356</v>
      </c>
      <c r="I239" t="s">
        <v>82</v>
      </c>
      <c r="J239">
        <v>499</v>
      </c>
      <c r="K239">
        <v>1</v>
      </c>
      <c r="L239">
        <v>504.49</v>
      </c>
      <c r="M239">
        <v>0</v>
      </c>
      <c r="N239">
        <v>504.49</v>
      </c>
      <c r="O239">
        <v>504.49</v>
      </c>
      <c r="P239" t="s">
        <v>2111</v>
      </c>
      <c r="Q239" t="s">
        <v>1479</v>
      </c>
    </row>
    <row r="240" spans="1:17" x14ac:dyDescent="0.3">
      <c r="A240" t="s">
        <v>1464</v>
      </c>
      <c r="B240" t="s">
        <v>1463</v>
      </c>
      <c r="C240" s="1">
        <v>46141</v>
      </c>
      <c r="D240" t="s">
        <v>16</v>
      </c>
      <c r="E240" t="s">
        <v>17</v>
      </c>
      <c r="F240" t="s">
        <v>22</v>
      </c>
      <c r="G240" t="s">
        <v>106</v>
      </c>
      <c r="H240" t="s">
        <v>107</v>
      </c>
      <c r="I240" t="s">
        <v>108</v>
      </c>
      <c r="J240">
        <v>599</v>
      </c>
      <c r="K240">
        <v>4</v>
      </c>
      <c r="L240">
        <v>573.51</v>
      </c>
      <c r="M240">
        <v>344.11</v>
      </c>
      <c r="N240">
        <v>2294.04</v>
      </c>
      <c r="O240">
        <v>1949.93</v>
      </c>
      <c r="P240" t="s">
        <v>2111</v>
      </c>
      <c r="Q240" t="s">
        <v>1170</v>
      </c>
    </row>
    <row r="241" spans="1:17" x14ac:dyDescent="0.3">
      <c r="A241" t="s">
        <v>428</v>
      </c>
      <c r="B241" t="s">
        <v>427</v>
      </c>
      <c r="C241" s="1">
        <v>46047</v>
      </c>
      <c r="D241" t="s">
        <v>41</v>
      </c>
      <c r="E241" t="s">
        <v>50</v>
      </c>
      <c r="F241" t="s">
        <v>31</v>
      </c>
      <c r="G241" t="s">
        <v>250</v>
      </c>
      <c r="H241" t="s">
        <v>251</v>
      </c>
      <c r="I241" t="s">
        <v>108</v>
      </c>
      <c r="J241">
        <v>899</v>
      </c>
      <c r="K241">
        <v>1</v>
      </c>
      <c r="L241">
        <v>978.14</v>
      </c>
      <c r="M241">
        <v>0</v>
      </c>
      <c r="N241">
        <v>978.14</v>
      </c>
      <c r="O241">
        <v>978.14</v>
      </c>
      <c r="P241" t="s">
        <v>2111</v>
      </c>
      <c r="Q241" t="s">
        <v>23</v>
      </c>
    </row>
    <row r="242" spans="1:17" x14ac:dyDescent="0.3">
      <c r="A242" t="s">
        <v>2290</v>
      </c>
      <c r="B242" t="s">
        <v>2291</v>
      </c>
      <c r="C242" s="1">
        <v>46141</v>
      </c>
      <c r="D242" t="s">
        <v>41</v>
      </c>
      <c r="E242" t="s">
        <v>50</v>
      </c>
      <c r="F242" t="s">
        <v>60</v>
      </c>
      <c r="G242" t="s">
        <v>355</v>
      </c>
      <c r="H242" t="s">
        <v>356</v>
      </c>
      <c r="I242" t="s">
        <v>82</v>
      </c>
      <c r="J242">
        <v>499</v>
      </c>
      <c r="K242">
        <v>3</v>
      </c>
      <c r="L242">
        <v>525.15</v>
      </c>
      <c r="M242">
        <v>157.54</v>
      </c>
      <c r="N242">
        <v>1575.45</v>
      </c>
      <c r="O242">
        <v>1417.91</v>
      </c>
      <c r="P242" t="s">
        <v>2111</v>
      </c>
      <c r="Q242" t="s">
        <v>1170</v>
      </c>
    </row>
    <row r="243" spans="1:17" x14ac:dyDescent="0.3">
      <c r="A243" t="s">
        <v>1632</v>
      </c>
      <c r="B243" t="s">
        <v>1631</v>
      </c>
      <c r="C243" s="1">
        <v>46155</v>
      </c>
      <c r="D243" t="s">
        <v>16</v>
      </c>
      <c r="E243" t="s">
        <v>17</v>
      </c>
      <c r="F243" t="s">
        <v>22</v>
      </c>
      <c r="G243" t="s">
        <v>106</v>
      </c>
      <c r="H243" t="s">
        <v>107</v>
      </c>
      <c r="I243" t="s">
        <v>108</v>
      </c>
      <c r="J243">
        <v>599</v>
      </c>
      <c r="K243">
        <v>2</v>
      </c>
      <c r="L243">
        <v>655.61</v>
      </c>
      <c r="M243">
        <v>65.56</v>
      </c>
      <c r="N243">
        <v>1311.22</v>
      </c>
      <c r="O243">
        <v>1245.6600000000001</v>
      </c>
      <c r="P243" t="s">
        <v>2111</v>
      </c>
      <c r="Q243" t="s">
        <v>1479</v>
      </c>
    </row>
    <row r="244" spans="1:17" x14ac:dyDescent="0.3">
      <c r="A244" t="s">
        <v>2185</v>
      </c>
      <c r="B244" t="s">
        <v>2186</v>
      </c>
      <c r="C244" s="1">
        <v>46174</v>
      </c>
      <c r="D244" t="s">
        <v>16</v>
      </c>
      <c r="E244" t="s">
        <v>17</v>
      </c>
      <c r="F244" t="s">
        <v>22</v>
      </c>
      <c r="G244" t="s">
        <v>43</v>
      </c>
      <c r="H244" t="s">
        <v>44</v>
      </c>
      <c r="I244" t="s">
        <v>45</v>
      </c>
      <c r="J244">
        <v>3299</v>
      </c>
      <c r="K244">
        <v>1</v>
      </c>
      <c r="L244">
        <v>2993.88</v>
      </c>
      <c r="M244">
        <v>299.39</v>
      </c>
      <c r="N244">
        <v>2993.88</v>
      </c>
      <c r="O244">
        <v>2694.49</v>
      </c>
      <c r="P244" t="s">
        <v>2111</v>
      </c>
      <c r="Q244" t="s">
        <v>1809</v>
      </c>
    </row>
    <row r="245" spans="1:17" x14ac:dyDescent="0.3">
      <c r="A245" t="s">
        <v>2292</v>
      </c>
      <c r="B245" t="s">
        <v>1282</v>
      </c>
      <c r="C245" s="1">
        <v>46040</v>
      </c>
      <c r="D245" t="s">
        <v>26</v>
      </c>
      <c r="E245" t="s">
        <v>17</v>
      </c>
      <c r="F245" t="s">
        <v>47</v>
      </c>
      <c r="G245" t="s">
        <v>250</v>
      </c>
      <c r="H245" t="s">
        <v>251</v>
      </c>
      <c r="I245" t="s">
        <v>108</v>
      </c>
      <c r="J245">
        <v>899</v>
      </c>
      <c r="K245">
        <v>1</v>
      </c>
      <c r="L245">
        <v>860.37</v>
      </c>
      <c r="M245">
        <v>86.04</v>
      </c>
      <c r="N245">
        <v>860.37</v>
      </c>
      <c r="O245">
        <v>774.33</v>
      </c>
      <c r="P245" t="s">
        <v>2111</v>
      </c>
      <c r="Q245" t="s">
        <v>23</v>
      </c>
    </row>
    <row r="246" spans="1:17" x14ac:dyDescent="0.3">
      <c r="A246" t="s">
        <v>2259</v>
      </c>
      <c r="B246" t="s">
        <v>2260</v>
      </c>
      <c r="C246" s="1">
        <v>46200</v>
      </c>
      <c r="D246" t="s">
        <v>16</v>
      </c>
      <c r="E246" t="s">
        <v>17</v>
      </c>
      <c r="F246" t="s">
        <v>47</v>
      </c>
      <c r="G246" t="s">
        <v>355</v>
      </c>
      <c r="H246" t="s">
        <v>356</v>
      </c>
      <c r="I246" t="s">
        <v>82</v>
      </c>
      <c r="J246">
        <v>499</v>
      </c>
      <c r="K246">
        <v>1</v>
      </c>
      <c r="L246">
        <v>468.6</v>
      </c>
      <c r="M246">
        <v>23.43</v>
      </c>
      <c r="N246">
        <v>468.6</v>
      </c>
      <c r="O246">
        <v>445.17</v>
      </c>
      <c r="P246" t="s">
        <v>2111</v>
      </c>
      <c r="Q246" t="s">
        <v>1809</v>
      </c>
    </row>
    <row r="247" spans="1:17" x14ac:dyDescent="0.3">
      <c r="A247" t="s">
        <v>948</v>
      </c>
      <c r="B247" t="s">
        <v>947</v>
      </c>
      <c r="C247" s="1">
        <v>46093</v>
      </c>
      <c r="D247" t="s">
        <v>41</v>
      </c>
      <c r="E247" t="s">
        <v>50</v>
      </c>
      <c r="F247" t="s">
        <v>60</v>
      </c>
      <c r="G247" t="s">
        <v>149</v>
      </c>
      <c r="H247" t="s">
        <v>150</v>
      </c>
      <c r="I247" t="s">
        <v>37</v>
      </c>
      <c r="J247">
        <v>2999</v>
      </c>
      <c r="K247">
        <v>1</v>
      </c>
      <c r="L247">
        <v>2705.79</v>
      </c>
      <c r="M247">
        <v>135.29</v>
      </c>
      <c r="N247">
        <v>2705.79</v>
      </c>
      <c r="O247">
        <v>2570.5</v>
      </c>
      <c r="P247" t="s">
        <v>2111</v>
      </c>
      <c r="Q247" t="s">
        <v>789</v>
      </c>
    </row>
    <row r="248" spans="1:17" x14ac:dyDescent="0.3">
      <c r="A248" t="s">
        <v>2293</v>
      </c>
      <c r="B248" t="s">
        <v>2294</v>
      </c>
      <c r="C248" s="1">
        <v>46106</v>
      </c>
      <c r="D248" t="s">
        <v>34</v>
      </c>
      <c r="E248" t="s">
        <v>50</v>
      </c>
      <c r="F248" t="s">
        <v>47</v>
      </c>
      <c r="G248" t="s">
        <v>106</v>
      </c>
      <c r="H248" t="s">
        <v>107</v>
      </c>
      <c r="I248" t="s">
        <v>108</v>
      </c>
      <c r="J248">
        <v>599</v>
      </c>
      <c r="K248">
        <v>1</v>
      </c>
      <c r="L248">
        <v>568.13</v>
      </c>
      <c r="M248">
        <v>85.22</v>
      </c>
      <c r="N248">
        <v>568.13</v>
      </c>
      <c r="O248">
        <v>482.91</v>
      </c>
      <c r="P248" t="s">
        <v>2111</v>
      </c>
      <c r="Q248" t="s">
        <v>789</v>
      </c>
    </row>
    <row r="249" spans="1:17" x14ac:dyDescent="0.3">
      <c r="A249" t="s">
        <v>2295</v>
      </c>
      <c r="B249" t="s">
        <v>2296</v>
      </c>
      <c r="C249" s="1">
        <v>46119</v>
      </c>
      <c r="D249" t="s">
        <v>26</v>
      </c>
      <c r="E249" t="s">
        <v>17</v>
      </c>
      <c r="F249" t="s">
        <v>60</v>
      </c>
      <c r="G249" t="s">
        <v>80</v>
      </c>
      <c r="H249" t="s">
        <v>81</v>
      </c>
      <c r="I249" t="s">
        <v>82</v>
      </c>
      <c r="J249">
        <v>4299</v>
      </c>
      <c r="K249">
        <v>1</v>
      </c>
      <c r="L249">
        <v>4452.71</v>
      </c>
      <c r="M249">
        <v>890.54</v>
      </c>
      <c r="N249">
        <v>4452.71</v>
      </c>
      <c r="O249">
        <v>3562.17</v>
      </c>
      <c r="P249" t="s">
        <v>2111</v>
      </c>
      <c r="Q249" t="s">
        <v>1170</v>
      </c>
    </row>
    <row r="250" spans="1:17" x14ac:dyDescent="0.3">
      <c r="A250" t="s">
        <v>1452</v>
      </c>
      <c r="B250" t="s">
        <v>978</v>
      </c>
      <c r="C250" s="1">
        <v>46140</v>
      </c>
      <c r="D250" t="s">
        <v>16</v>
      </c>
      <c r="E250" t="s">
        <v>50</v>
      </c>
      <c r="F250" t="s">
        <v>31</v>
      </c>
      <c r="G250" t="s">
        <v>149</v>
      </c>
      <c r="H250" t="s">
        <v>150</v>
      </c>
      <c r="I250" t="s">
        <v>37</v>
      </c>
      <c r="J250">
        <v>2999</v>
      </c>
      <c r="K250">
        <v>1</v>
      </c>
      <c r="L250">
        <v>2837.71</v>
      </c>
      <c r="M250">
        <v>0</v>
      </c>
      <c r="N250">
        <v>2837.71</v>
      </c>
      <c r="O250">
        <v>2837.71</v>
      </c>
      <c r="P250" t="s">
        <v>2114</v>
      </c>
      <c r="Q250" t="s">
        <v>1170</v>
      </c>
    </row>
    <row r="251" spans="1:17" x14ac:dyDescent="0.3">
      <c r="A251" t="s">
        <v>2297</v>
      </c>
      <c r="B251" t="s">
        <v>2298</v>
      </c>
      <c r="C251" s="1">
        <v>46135</v>
      </c>
      <c r="D251" t="s">
        <v>34</v>
      </c>
      <c r="E251" t="s">
        <v>50</v>
      </c>
      <c r="F251" t="s">
        <v>31</v>
      </c>
      <c r="G251" t="s">
        <v>250</v>
      </c>
      <c r="H251" t="s">
        <v>251</v>
      </c>
      <c r="I251" t="s">
        <v>108</v>
      </c>
      <c r="J251">
        <v>899</v>
      </c>
      <c r="K251">
        <v>2</v>
      </c>
      <c r="L251">
        <v>900.62</v>
      </c>
      <c r="M251">
        <v>0</v>
      </c>
      <c r="N251">
        <v>1801.24</v>
      </c>
      <c r="O251">
        <v>1801.24</v>
      </c>
      <c r="P251" t="s">
        <v>2111</v>
      </c>
      <c r="Q251" t="s">
        <v>1170</v>
      </c>
    </row>
    <row r="252" spans="1:17" x14ac:dyDescent="0.3">
      <c r="A252" t="s">
        <v>2238</v>
      </c>
      <c r="B252" t="s">
        <v>2239</v>
      </c>
      <c r="C252" s="1">
        <v>46153</v>
      </c>
      <c r="D252" t="s">
        <v>34</v>
      </c>
      <c r="E252" t="s">
        <v>17</v>
      </c>
      <c r="F252" t="s">
        <v>47</v>
      </c>
      <c r="G252" t="s">
        <v>51</v>
      </c>
      <c r="H252" t="s">
        <v>52</v>
      </c>
      <c r="I252" t="s">
        <v>20</v>
      </c>
      <c r="J252">
        <v>999</v>
      </c>
      <c r="K252">
        <v>1</v>
      </c>
      <c r="L252">
        <v>1076.49</v>
      </c>
      <c r="M252">
        <v>215.3</v>
      </c>
      <c r="N252">
        <v>1076.49</v>
      </c>
      <c r="O252">
        <v>861.19</v>
      </c>
      <c r="P252" t="s">
        <v>2111</v>
      </c>
      <c r="Q252" t="s">
        <v>1479</v>
      </c>
    </row>
    <row r="253" spans="1:17" x14ac:dyDescent="0.3">
      <c r="A253" t="s">
        <v>83</v>
      </c>
      <c r="B253" t="s">
        <v>79</v>
      </c>
      <c r="C253" s="1">
        <v>46024</v>
      </c>
      <c r="D253" t="s">
        <v>34</v>
      </c>
      <c r="E253" t="s">
        <v>42</v>
      </c>
      <c r="F253" t="s">
        <v>22</v>
      </c>
      <c r="G253" t="s">
        <v>112</v>
      </c>
      <c r="H253" t="s">
        <v>113</v>
      </c>
      <c r="I253" t="s">
        <v>37</v>
      </c>
      <c r="J253">
        <v>1499</v>
      </c>
      <c r="K253">
        <v>1</v>
      </c>
      <c r="L253">
        <v>1557.09</v>
      </c>
      <c r="M253">
        <v>77.849999999999994</v>
      </c>
      <c r="N253">
        <v>1557.09</v>
      </c>
      <c r="O253">
        <v>1479.24</v>
      </c>
      <c r="P253" t="s">
        <v>2111</v>
      </c>
      <c r="Q253" t="s">
        <v>23</v>
      </c>
    </row>
    <row r="254" spans="1:17" x14ac:dyDescent="0.3">
      <c r="A254" t="s">
        <v>2299</v>
      </c>
      <c r="B254" t="s">
        <v>2300</v>
      </c>
      <c r="C254" s="1">
        <v>46138</v>
      </c>
      <c r="D254" t="s">
        <v>26</v>
      </c>
      <c r="E254" t="s">
        <v>17</v>
      </c>
      <c r="F254" t="s">
        <v>47</v>
      </c>
      <c r="G254" t="s">
        <v>250</v>
      </c>
      <c r="H254" t="s">
        <v>251</v>
      </c>
      <c r="I254" t="s">
        <v>108</v>
      </c>
      <c r="J254">
        <v>899</v>
      </c>
      <c r="K254">
        <v>2</v>
      </c>
      <c r="L254">
        <v>880.05</v>
      </c>
      <c r="M254">
        <v>176.01</v>
      </c>
      <c r="N254">
        <v>1760.1</v>
      </c>
      <c r="O254">
        <v>1584.09</v>
      </c>
      <c r="P254" t="s">
        <v>2111</v>
      </c>
      <c r="Q254" t="s">
        <v>1170</v>
      </c>
    </row>
    <row r="255" spans="1:17" x14ac:dyDescent="0.3">
      <c r="A255" t="s">
        <v>2256</v>
      </c>
      <c r="B255" t="s">
        <v>2257</v>
      </c>
      <c r="C255" s="1">
        <v>46155</v>
      </c>
      <c r="D255" t="s">
        <v>63</v>
      </c>
      <c r="E255" t="s">
        <v>17</v>
      </c>
      <c r="F255" t="s">
        <v>74</v>
      </c>
      <c r="G255" t="s">
        <v>355</v>
      </c>
      <c r="H255" t="s">
        <v>356</v>
      </c>
      <c r="I255" t="s">
        <v>82</v>
      </c>
      <c r="J255">
        <v>499</v>
      </c>
      <c r="K255">
        <v>1</v>
      </c>
      <c r="L255">
        <v>486.27</v>
      </c>
      <c r="M255">
        <v>24.31</v>
      </c>
      <c r="N255">
        <v>486.27</v>
      </c>
      <c r="O255">
        <v>461.96</v>
      </c>
      <c r="P255" t="s">
        <v>2111</v>
      </c>
      <c r="Q255" t="s">
        <v>1479</v>
      </c>
    </row>
    <row r="256" spans="1:17" x14ac:dyDescent="0.3">
      <c r="A256" t="s">
        <v>2301</v>
      </c>
      <c r="B256" t="s">
        <v>2302</v>
      </c>
      <c r="C256" s="1">
        <v>46114</v>
      </c>
      <c r="D256" t="s">
        <v>34</v>
      </c>
      <c r="E256" t="s">
        <v>50</v>
      </c>
      <c r="F256" t="s">
        <v>74</v>
      </c>
      <c r="G256" t="s">
        <v>80</v>
      </c>
      <c r="H256" t="s">
        <v>81</v>
      </c>
      <c r="I256" t="s">
        <v>82</v>
      </c>
      <c r="J256">
        <v>4299</v>
      </c>
      <c r="K256">
        <v>1</v>
      </c>
      <c r="L256">
        <v>4260.9399999999996</v>
      </c>
      <c r="M256">
        <v>0</v>
      </c>
      <c r="N256">
        <v>4260.9399999999996</v>
      </c>
      <c r="O256">
        <v>4260.9399999999996</v>
      </c>
      <c r="P256" t="s">
        <v>2111</v>
      </c>
      <c r="Q256" t="s">
        <v>1170</v>
      </c>
    </row>
    <row r="257" spans="1:17" x14ac:dyDescent="0.3">
      <c r="A257" t="s">
        <v>1860</v>
      </c>
      <c r="B257" t="s">
        <v>1859</v>
      </c>
      <c r="C257" s="1">
        <v>46177</v>
      </c>
      <c r="D257" t="s">
        <v>26</v>
      </c>
      <c r="E257" t="s">
        <v>42</v>
      </c>
      <c r="F257" t="s">
        <v>47</v>
      </c>
      <c r="G257" t="s">
        <v>18</v>
      </c>
      <c r="H257" t="s">
        <v>19</v>
      </c>
      <c r="I257" t="s">
        <v>20</v>
      </c>
      <c r="J257">
        <v>2799</v>
      </c>
      <c r="K257">
        <v>1</v>
      </c>
      <c r="L257">
        <v>2618.21</v>
      </c>
      <c r="M257">
        <v>261.82</v>
      </c>
      <c r="N257">
        <v>2618.21</v>
      </c>
      <c r="O257">
        <v>2356.39</v>
      </c>
      <c r="P257" t="s">
        <v>2111</v>
      </c>
      <c r="Q257" t="s">
        <v>1809</v>
      </c>
    </row>
    <row r="258" spans="1:17" x14ac:dyDescent="0.3">
      <c r="A258" t="s">
        <v>2303</v>
      </c>
      <c r="B258" t="s">
        <v>2304</v>
      </c>
      <c r="C258" s="1">
        <v>46057</v>
      </c>
      <c r="D258" t="s">
        <v>16</v>
      </c>
      <c r="E258" t="s">
        <v>50</v>
      </c>
      <c r="F258" t="s">
        <v>74</v>
      </c>
      <c r="G258" t="s">
        <v>355</v>
      </c>
      <c r="H258" t="s">
        <v>356</v>
      </c>
      <c r="I258" t="s">
        <v>82</v>
      </c>
      <c r="J258">
        <v>499</v>
      </c>
      <c r="K258">
        <v>3</v>
      </c>
      <c r="L258">
        <v>512.37</v>
      </c>
      <c r="M258">
        <v>153.71</v>
      </c>
      <c r="N258">
        <v>1537.11</v>
      </c>
      <c r="O258">
        <v>1383.4</v>
      </c>
      <c r="P258" t="s">
        <v>2111</v>
      </c>
      <c r="Q258" t="s">
        <v>498</v>
      </c>
    </row>
    <row r="259" spans="1:17" x14ac:dyDescent="0.3">
      <c r="A259" t="s">
        <v>2152</v>
      </c>
      <c r="B259" t="s">
        <v>2153</v>
      </c>
      <c r="C259" s="1">
        <v>46138</v>
      </c>
      <c r="D259" t="s">
        <v>16</v>
      </c>
      <c r="E259" t="s">
        <v>17</v>
      </c>
      <c r="F259" t="s">
        <v>47</v>
      </c>
      <c r="G259" t="s">
        <v>250</v>
      </c>
      <c r="H259" t="s">
        <v>251</v>
      </c>
      <c r="I259" t="s">
        <v>108</v>
      </c>
      <c r="J259">
        <v>899</v>
      </c>
      <c r="K259">
        <v>2</v>
      </c>
      <c r="L259">
        <v>874.57</v>
      </c>
      <c r="M259">
        <v>87.46</v>
      </c>
      <c r="N259">
        <v>1749.14</v>
      </c>
      <c r="O259">
        <v>1661.68</v>
      </c>
      <c r="P259" t="s">
        <v>2111</v>
      </c>
      <c r="Q259" t="s">
        <v>1170</v>
      </c>
    </row>
    <row r="260" spans="1:17" x14ac:dyDescent="0.3">
      <c r="A260" t="s">
        <v>1066</v>
      </c>
      <c r="B260" t="s">
        <v>1065</v>
      </c>
      <c r="C260" s="1">
        <v>46103</v>
      </c>
      <c r="D260" t="s">
        <v>41</v>
      </c>
      <c r="E260" t="s">
        <v>50</v>
      </c>
      <c r="F260" t="s">
        <v>22</v>
      </c>
      <c r="G260" t="s">
        <v>106</v>
      </c>
      <c r="H260" t="s">
        <v>107</v>
      </c>
      <c r="I260" t="s">
        <v>108</v>
      </c>
      <c r="J260">
        <v>599</v>
      </c>
      <c r="K260">
        <v>1</v>
      </c>
      <c r="L260">
        <v>641.21</v>
      </c>
      <c r="M260">
        <v>64.12</v>
      </c>
      <c r="N260">
        <v>641.21</v>
      </c>
      <c r="O260">
        <v>577.09</v>
      </c>
      <c r="P260" t="s">
        <v>2111</v>
      </c>
      <c r="Q260" t="s">
        <v>789</v>
      </c>
    </row>
    <row r="261" spans="1:17" x14ac:dyDescent="0.3">
      <c r="A261" t="s">
        <v>2305</v>
      </c>
      <c r="B261" t="s">
        <v>2306</v>
      </c>
      <c r="C261" s="1">
        <v>46034</v>
      </c>
      <c r="D261" t="s">
        <v>16</v>
      </c>
      <c r="E261" t="s">
        <v>50</v>
      </c>
      <c r="F261" t="s">
        <v>22</v>
      </c>
      <c r="G261" t="s">
        <v>27</v>
      </c>
      <c r="H261" t="s">
        <v>28</v>
      </c>
      <c r="I261" t="s">
        <v>29</v>
      </c>
      <c r="J261">
        <v>1599</v>
      </c>
      <c r="K261">
        <v>2</v>
      </c>
      <c r="L261">
        <v>1681.05</v>
      </c>
      <c r="M261">
        <v>504.31</v>
      </c>
      <c r="N261">
        <v>3362.1</v>
      </c>
      <c r="O261">
        <v>2857.79</v>
      </c>
      <c r="P261" t="s">
        <v>2111</v>
      </c>
      <c r="Q261" t="s">
        <v>23</v>
      </c>
    </row>
    <row r="262" spans="1:17" x14ac:dyDescent="0.3">
      <c r="A262" t="s">
        <v>2026</v>
      </c>
      <c r="B262" t="s">
        <v>2025</v>
      </c>
      <c r="C262" s="1">
        <v>46196</v>
      </c>
      <c r="D262" t="s">
        <v>26</v>
      </c>
      <c r="E262" t="s">
        <v>17</v>
      </c>
      <c r="F262" t="s">
        <v>31</v>
      </c>
      <c r="G262" t="s">
        <v>18</v>
      </c>
      <c r="H262" t="s">
        <v>19</v>
      </c>
      <c r="I262" t="s">
        <v>20</v>
      </c>
      <c r="J262">
        <v>2799</v>
      </c>
      <c r="K262">
        <v>1</v>
      </c>
      <c r="L262">
        <v>2860.87</v>
      </c>
      <c r="M262">
        <v>286.08999999999997</v>
      </c>
      <c r="N262">
        <v>2860.87</v>
      </c>
      <c r="O262">
        <v>2574.7800000000002</v>
      </c>
      <c r="P262" t="s">
        <v>2111</v>
      </c>
      <c r="Q262" t="s">
        <v>1809</v>
      </c>
    </row>
    <row r="263" spans="1:17" x14ac:dyDescent="0.3">
      <c r="A263" t="s">
        <v>1399</v>
      </c>
      <c r="B263" t="s">
        <v>1039</v>
      </c>
      <c r="C263" s="1">
        <v>46136</v>
      </c>
      <c r="D263" t="s">
        <v>41</v>
      </c>
      <c r="E263" t="s">
        <v>50</v>
      </c>
      <c r="F263" t="s">
        <v>74</v>
      </c>
      <c r="G263" t="s">
        <v>18</v>
      </c>
      <c r="H263" t="s">
        <v>19</v>
      </c>
      <c r="I263" t="s">
        <v>20</v>
      </c>
      <c r="J263">
        <v>2799</v>
      </c>
      <c r="K263">
        <v>2</v>
      </c>
      <c r="L263">
        <v>2722.98</v>
      </c>
      <c r="M263">
        <v>0</v>
      </c>
      <c r="N263">
        <v>5445.96</v>
      </c>
      <c r="O263">
        <v>5445.96</v>
      </c>
      <c r="P263" t="s">
        <v>2111</v>
      </c>
      <c r="Q263" t="s">
        <v>1170</v>
      </c>
    </row>
    <row r="264" spans="1:17" x14ac:dyDescent="0.3">
      <c r="A264" t="s">
        <v>2248</v>
      </c>
      <c r="B264" t="s">
        <v>2249</v>
      </c>
      <c r="C264" s="1">
        <v>46173</v>
      </c>
      <c r="D264" t="s">
        <v>16</v>
      </c>
      <c r="E264" t="s">
        <v>17</v>
      </c>
      <c r="F264" t="s">
        <v>31</v>
      </c>
      <c r="G264" t="s">
        <v>51</v>
      </c>
      <c r="H264" t="s">
        <v>52</v>
      </c>
      <c r="I264" t="s">
        <v>20</v>
      </c>
      <c r="J264">
        <v>999</v>
      </c>
      <c r="K264">
        <v>2</v>
      </c>
      <c r="L264">
        <v>941.04</v>
      </c>
      <c r="M264">
        <v>188.21</v>
      </c>
      <c r="N264">
        <v>1882.08</v>
      </c>
      <c r="O264">
        <v>1693.87</v>
      </c>
      <c r="P264" t="s">
        <v>2111</v>
      </c>
      <c r="Q264" t="s">
        <v>1479</v>
      </c>
    </row>
    <row r="265" spans="1:17" x14ac:dyDescent="0.3">
      <c r="A265" t="s">
        <v>2307</v>
      </c>
      <c r="B265" t="s">
        <v>1321</v>
      </c>
      <c r="C265" s="1">
        <v>46108</v>
      </c>
      <c r="D265" t="s">
        <v>16</v>
      </c>
      <c r="E265" t="s">
        <v>50</v>
      </c>
      <c r="F265" t="s">
        <v>47</v>
      </c>
      <c r="G265" t="s">
        <v>80</v>
      </c>
      <c r="H265" t="s">
        <v>81</v>
      </c>
      <c r="I265" t="s">
        <v>82</v>
      </c>
      <c r="J265">
        <v>4299</v>
      </c>
      <c r="K265">
        <v>2</v>
      </c>
      <c r="L265">
        <v>4536.4399999999996</v>
      </c>
      <c r="M265">
        <v>1360.93</v>
      </c>
      <c r="N265">
        <v>9072.8799999999992</v>
      </c>
      <c r="O265">
        <v>7711.95</v>
      </c>
      <c r="P265" t="s">
        <v>2111</v>
      </c>
      <c r="Q265" t="s">
        <v>789</v>
      </c>
    </row>
    <row r="266" spans="1:17" x14ac:dyDescent="0.3">
      <c r="A266" t="s">
        <v>2308</v>
      </c>
      <c r="B266" t="s">
        <v>2309</v>
      </c>
      <c r="C266" s="1">
        <v>46150</v>
      </c>
      <c r="D266" t="s">
        <v>26</v>
      </c>
      <c r="E266" t="s">
        <v>50</v>
      </c>
      <c r="F266" t="s">
        <v>31</v>
      </c>
      <c r="G266" t="s">
        <v>35</v>
      </c>
      <c r="H266" t="s">
        <v>36</v>
      </c>
      <c r="I266" t="s">
        <v>37</v>
      </c>
      <c r="J266">
        <v>799</v>
      </c>
      <c r="K266">
        <v>1</v>
      </c>
      <c r="L266">
        <v>796.83</v>
      </c>
      <c r="M266">
        <v>119.52</v>
      </c>
      <c r="N266">
        <v>796.83</v>
      </c>
      <c r="O266">
        <v>677.31</v>
      </c>
      <c r="P266" t="s">
        <v>2111</v>
      </c>
      <c r="Q266" t="s">
        <v>1479</v>
      </c>
    </row>
    <row r="267" spans="1:17" x14ac:dyDescent="0.3">
      <c r="A267" t="s">
        <v>2295</v>
      </c>
      <c r="B267" t="s">
        <v>2296</v>
      </c>
      <c r="C267" s="1">
        <v>46119</v>
      </c>
      <c r="D267" t="s">
        <v>26</v>
      </c>
      <c r="E267" t="s">
        <v>17</v>
      </c>
      <c r="F267" t="s">
        <v>60</v>
      </c>
      <c r="G267" t="s">
        <v>86</v>
      </c>
      <c r="H267" t="s">
        <v>87</v>
      </c>
      <c r="I267" t="s">
        <v>82</v>
      </c>
      <c r="J267">
        <v>3499</v>
      </c>
      <c r="K267">
        <v>1</v>
      </c>
      <c r="L267">
        <v>3306.38</v>
      </c>
      <c r="M267">
        <v>330.64</v>
      </c>
      <c r="N267">
        <v>3306.38</v>
      </c>
      <c r="O267">
        <v>2975.74</v>
      </c>
      <c r="P267" t="s">
        <v>2114</v>
      </c>
      <c r="Q267" t="s">
        <v>1170</v>
      </c>
    </row>
    <row r="268" spans="1:17" x14ac:dyDescent="0.3">
      <c r="A268" t="s">
        <v>734</v>
      </c>
      <c r="B268" t="s">
        <v>733</v>
      </c>
      <c r="C268" s="1">
        <v>46076</v>
      </c>
      <c r="D268" t="s">
        <v>41</v>
      </c>
      <c r="E268" t="s">
        <v>50</v>
      </c>
      <c r="F268" t="s">
        <v>47</v>
      </c>
      <c r="G268" t="s">
        <v>51</v>
      </c>
      <c r="H268" t="s">
        <v>52</v>
      </c>
      <c r="I268" t="s">
        <v>20</v>
      </c>
      <c r="J268">
        <v>999</v>
      </c>
      <c r="K268">
        <v>1</v>
      </c>
      <c r="L268">
        <v>938.1</v>
      </c>
      <c r="M268">
        <v>0</v>
      </c>
      <c r="N268">
        <v>938.1</v>
      </c>
      <c r="O268">
        <v>938.1</v>
      </c>
      <c r="P268" t="s">
        <v>2114</v>
      </c>
      <c r="Q268" t="s">
        <v>498</v>
      </c>
    </row>
    <row r="269" spans="1:17" x14ac:dyDescent="0.3">
      <c r="A269" t="s">
        <v>1552</v>
      </c>
      <c r="B269" t="s">
        <v>1551</v>
      </c>
      <c r="C269" s="1">
        <v>46149</v>
      </c>
      <c r="D269" t="s">
        <v>41</v>
      </c>
      <c r="E269" t="s">
        <v>17</v>
      </c>
      <c r="F269" t="s">
        <v>22</v>
      </c>
      <c r="G269" t="s">
        <v>106</v>
      </c>
      <c r="H269" t="s">
        <v>107</v>
      </c>
      <c r="I269" t="s">
        <v>108</v>
      </c>
      <c r="J269">
        <v>599</v>
      </c>
      <c r="K269">
        <v>3</v>
      </c>
      <c r="L269">
        <v>558.91999999999996</v>
      </c>
      <c r="M269">
        <v>251.51</v>
      </c>
      <c r="N269">
        <v>1676.76</v>
      </c>
      <c r="O269">
        <v>1425.25</v>
      </c>
      <c r="P269" t="s">
        <v>2111</v>
      </c>
      <c r="Q269" t="s">
        <v>1479</v>
      </c>
    </row>
    <row r="270" spans="1:17" x14ac:dyDescent="0.3">
      <c r="A270" t="s">
        <v>2310</v>
      </c>
      <c r="B270" t="s">
        <v>2311</v>
      </c>
      <c r="C270" s="1">
        <v>46113</v>
      </c>
      <c r="D270" t="s">
        <v>41</v>
      </c>
      <c r="E270" t="s">
        <v>42</v>
      </c>
      <c r="F270" t="s">
        <v>22</v>
      </c>
      <c r="G270" t="s">
        <v>56</v>
      </c>
      <c r="H270" t="s">
        <v>57</v>
      </c>
      <c r="I270" t="s">
        <v>58</v>
      </c>
      <c r="J270">
        <v>8999</v>
      </c>
      <c r="K270">
        <v>1</v>
      </c>
      <c r="L270">
        <v>9497.83</v>
      </c>
      <c r="M270">
        <v>1424.67</v>
      </c>
      <c r="N270">
        <v>9497.83</v>
      </c>
      <c r="O270">
        <v>8073.16</v>
      </c>
      <c r="P270" t="s">
        <v>2111</v>
      </c>
      <c r="Q270" t="s">
        <v>1170</v>
      </c>
    </row>
    <row r="271" spans="1:17" x14ac:dyDescent="0.3">
      <c r="A271" t="s">
        <v>2217</v>
      </c>
      <c r="B271" t="s">
        <v>2218</v>
      </c>
      <c r="C271" s="1">
        <v>46037</v>
      </c>
      <c r="D271" t="s">
        <v>34</v>
      </c>
      <c r="E271" t="s">
        <v>17</v>
      </c>
      <c r="F271" t="s">
        <v>31</v>
      </c>
      <c r="G271" t="s">
        <v>86</v>
      </c>
      <c r="H271" t="s">
        <v>87</v>
      </c>
      <c r="I271" t="s">
        <v>82</v>
      </c>
      <c r="J271">
        <v>3499</v>
      </c>
      <c r="K271">
        <v>2</v>
      </c>
      <c r="L271">
        <v>3309.35</v>
      </c>
      <c r="M271">
        <v>0</v>
      </c>
      <c r="N271">
        <v>6618.7</v>
      </c>
      <c r="O271">
        <v>6618.7</v>
      </c>
      <c r="P271" t="s">
        <v>2111</v>
      </c>
      <c r="Q271" t="s">
        <v>23</v>
      </c>
    </row>
    <row r="272" spans="1:17" x14ac:dyDescent="0.3">
      <c r="A272" t="s">
        <v>2312</v>
      </c>
      <c r="B272" t="s">
        <v>2054</v>
      </c>
      <c r="C272" s="1">
        <v>46160</v>
      </c>
      <c r="D272" t="s">
        <v>34</v>
      </c>
      <c r="E272" t="s">
        <v>17</v>
      </c>
      <c r="F272" t="s">
        <v>60</v>
      </c>
      <c r="G272" t="s">
        <v>101</v>
      </c>
      <c r="H272" t="s">
        <v>102</v>
      </c>
      <c r="I272" t="s">
        <v>45</v>
      </c>
      <c r="J272">
        <v>4999</v>
      </c>
      <c r="K272">
        <v>4</v>
      </c>
      <c r="L272">
        <v>5025.6400000000003</v>
      </c>
      <c r="M272">
        <v>2010.26</v>
      </c>
      <c r="N272">
        <v>20102.560000000001</v>
      </c>
      <c r="O272">
        <v>18092.3</v>
      </c>
      <c r="P272" t="s">
        <v>2111</v>
      </c>
      <c r="Q272" t="s">
        <v>1479</v>
      </c>
    </row>
    <row r="273" spans="1:17" x14ac:dyDescent="0.3">
      <c r="A273" t="s">
        <v>2313</v>
      </c>
      <c r="B273" t="s">
        <v>2314</v>
      </c>
      <c r="C273" s="1">
        <v>46203</v>
      </c>
      <c r="D273" t="s">
        <v>26</v>
      </c>
      <c r="E273" t="s">
        <v>50</v>
      </c>
      <c r="F273" t="s">
        <v>47</v>
      </c>
      <c r="G273" t="s">
        <v>27</v>
      </c>
      <c r="H273" t="s">
        <v>28</v>
      </c>
      <c r="I273" t="s">
        <v>29</v>
      </c>
      <c r="J273">
        <v>1599</v>
      </c>
      <c r="K273">
        <v>1</v>
      </c>
      <c r="L273">
        <v>1583.5</v>
      </c>
      <c r="M273">
        <v>79.180000000000007</v>
      </c>
      <c r="N273">
        <v>1583.5</v>
      </c>
      <c r="O273">
        <v>1504.32</v>
      </c>
      <c r="P273" t="s">
        <v>2111</v>
      </c>
      <c r="Q273" t="s">
        <v>1809</v>
      </c>
    </row>
    <row r="274" spans="1:17" x14ac:dyDescent="0.3">
      <c r="A274" t="s">
        <v>2315</v>
      </c>
      <c r="B274" t="s">
        <v>2316</v>
      </c>
      <c r="C274" s="1">
        <v>46141</v>
      </c>
      <c r="D274" t="s">
        <v>26</v>
      </c>
      <c r="E274" t="s">
        <v>17</v>
      </c>
      <c r="F274" t="s">
        <v>31</v>
      </c>
      <c r="G274" t="s">
        <v>101</v>
      </c>
      <c r="H274" t="s">
        <v>102</v>
      </c>
      <c r="I274" t="s">
        <v>45</v>
      </c>
      <c r="J274">
        <v>4999</v>
      </c>
      <c r="K274">
        <v>2</v>
      </c>
      <c r="L274">
        <v>5078.59</v>
      </c>
      <c r="M274">
        <v>1523.58</v>
      </c>
      <c r="N274">
        <v>10157.18</v>
      </c>
      <c r="O274">
        <v>8633.6</v>
      </c>
      <c r="P274" t="s">
        <v>2111</v>
      </c>
      <c r="Q274" t="s">
        <v>1170</v>
      </c>
    </row>
    <row r="275" spans="1:17" x14ac:dyDescent="0.3">
      <c r="A275" t="s">
        <v>1874</v>
      </c>
      <c r="B275" t="s">
        <v>1873</v>
      </c>
      <c r="C275" s="1">
        <v>46178</v>
      </c>
      <c r="D275" t="s">
        <v>41</v>
      </c>
      <c r="E275" t="s">
        <v>50</v>
      </c>
      <c r="F275" t="s">
        <v>31</v>
      </c>
      <c r="G275" t="s">
        <v>27</v>
      </c>
      <c r="H275" t="s">
        <v>28</v>
      </c>
      <c r="I275" t="s">
        <v>29</v>
      </c>
      <c r="J275">
        <v>1599</v>
      </c>
      <c r="K275">
        <v>2</v>
      </c>
      <c r="L275">
        <v>1719.61</v>
      </c>
      <c r="M275">
        <v>171.96</v>
      </c>
      <c r="N275">
        <v>3439.22</v>
      </c>
      <c r="O275">
        <v>3267.26</v>
      </c>
      <c r="P275" t="s">
        <v>2111</v>
      </c>
      <c r="Q275" t="s">
        <v>1809</v>
      </c>
    </row>
    <row r="276" spans="1:17" x14ac:dyDescent="0.3">
      <c r="A276" t="s">
        <v>1391</v>
      </c>
      <c r="B276" t="s">
        <v>1390</v>
      </c>
      <c r="C276" s="1">
        <v>46135</v>
      </c>
      <c r="D276" t="s">
        <v>16</v>
      </c>
      <c r="E276" t="s">
        <v>17</v>
      </c>
      <c r="F276" t="s">
        <v>31</v>
      </c>
      <c r="G276" t="s">
        <v>86</v>
      </c>
      <c r="H276" t="s">
        <v>87</v>
      </c>
      <c r="I276" t="s">
        <v>82</v>
      </c>
      <c r="J276">
        <v>3499</v>
      </c>
      <c r="K276">
        <v>4</v>
      </c>
      <c r="L276">
        <v>3756.35</v>
      </c>
      <c r="M276">
        <v>1502.54</v>
      </c>
      <c r="N276">
        <v>15025.4</v>
      </c>
      <c r="O276">
        <v>13522.86</v>
      </c>
      <c r="P276" t="s">
        <v>2111</v>
      </c>
      <c r="Q276" t="s">
        <v>1170</v>
      </c>
    </row>
    <row r="277" spans="1:17" x14ac:dyDescent="0.3">
      <c r="A277" t="s">
        <v>2086</v>
      </c>
      <c r="B277" t="s">
        <v>2085</v>
      </c>
      <c r="C277" s="1">
        <v>46202</v>
      </c>
      <c r="D277" t="s">
        <v>34</v>
      </c>
      <c r="E277" t="s">
        <v>17</v>
      </c>
      <c r="F277" t="s">
        <v>47</v>
      </c>
      <c r="G277" t="s">
        <v>18</v>
      </c>
      <c r="H277" t="s">
        <v>19</v>
      </c>
      <c r="I277" t="s">
        <v>20</v>
      </c>
      <c r="J277">
        <v>2799</v>
      </c>
      <c r="K277">
        <v>4</v>
      </c>
      <c r="L277">
        <v>2771.61</v>
      </c>
      <c r="M277">
        <v>2217.29</v>
      </c>
      <c r="N277">
        <v>11086.44</v>
      </c>
      <c r="O277">
        <v>8869.15</v>
      </c>
      <c r="P277" t="s">
        <v>2111</v>
      </c>
      <c r="Q277" t="s">
        <v>1809</v>
      </c>
    </row>
    <row r="278" spans="1:17" x14ac:dyDescent="0.3">
      <c r="A278" t="s">
        <v>2317</v>
      </c>
      <c r="B278" t="s">
        <v>830</v>
      </c>
      <c r="C278" s="1">
        <v>46161</v>
      </c>
      <c r="D278" t="s">
        <v>16</v>
      </c>
      <c r="E278" t="s">
        <v>17</v>
      </c>
      <c r="F278" t="s">
        <v>31</v>
      </c>
      <c r="G278" t="s">
        <v>35</v>
      </c>
      <c r="H278" t="s">
        <v>36</v>
      </c>
      <c r="I278" t="s">
        <v>37</v>
      </c>
      <c r="J278">
        <v>799</v>
      </c>
      <c r="K278">
        <v>2</v>
      </c>
      <c r="L278">
        <v>721.56</v>
      </c>
      <c r="M278">
        <v>216.47</v>
      </c>
      <c r="N278">
        <v>1443.12</v>
      </c>
      <c r="O278">
        <v>1226.6500000000001</v>
      </c>
      <c r="P278" t="s">
        <v>2111</v>
      </c>
      <c r="Q278" t="s">
        <v>1479</v>
      </c>
    </row>
    <row r="279" spans="1:17" x14ac:dyDescent="0.3">
      <c r="A279" t="s">
        <v>2318</v>
      </c>
      <c r="B279" t="s">
        <v>1551</v>
      </c>
      <c r="C279" s="1">
        <v>46174</v>
      </c>
      <c r="D279" t="s">
        <v>26</v>
      </c>
      <c r="E279" t="s">
        <v>17</v>
      </c>
      <c r="F279" t="s">
        <v>31</v>
      </c>
      <c r="G279" t="s">
        <v>126</v>
      </c>
      <c r="H279" t="s">
        <v>127</v>
      </c>
      <c r="I279" t="s">
        <v>45</v>
      </c>
      <c r="J279">
        <v>2499</v>
      </c>
      <c r="K279">
        <v>1</v>
      </c>
      <c r="L279">
        <v>2462.2399999999998</v>
      </c>
      <c r="M279">
        <v>492.45</v>
      </c>
      <c r="N279">
        <v>2462.2399999999998</v>
      </c>
      <c r="O279">
        <v>1969.79</v>
      </c>
      <c r="P279" t="s">
        <v>2111</v>
      </c>
      <c r="Q279" t="s">
        <v>1809</v>
      </c>
    </row>
    <row r="280" spans="1:17" x14ac:dyDescent="0.3">
      <c r="A280" t="s">
        <v>1657</v>
      </c>
      <c r="B280" t="s">
        <v>1656</v>
      </c>
      <c r="C280" s="1">
        <v>46157</v>
      </c>
      <c r="D280" t="s">
        <v>34</v>
      </c>
      <c r="E280" t="s">
        <v>17</v>
      </c>
      <c r="F280" t="s">
        <v>60</v>
      </c>
      <c r="G280" t="s">
        <v>149</v>
      </c>
      <c r="H280" t="s">
        <v>150</v>
      </c>
      <c r="I280" t="s">
        <v>37</v>
      </c>
      <c r="J280">
        <v>2999</v>
      </c>
      <c r="K280">
        <v>2</v>
      </c>
      <c r="L280">
        <v>3062.69</v>
      </c>
      <c r="M280">
        <v>1531.34</v>
      </c>
      <c r="N280">
        <v>6125.38</v>
      </c>
      <c r="O280">
        <v>4594.04</v>
      </c>
      <c r="P280" t="s">
        <v>2111</v>
      </c>
      <c r="Q280" t="s">
        <v>1479</v>
      </c>
    </row>
    <row r="281" spans="1:17" x14ac:dyDescent="0.3">
      <c r="A281" t="s">
        <v>1190</v>
      </c>
      <c r="B281" t="s">
        <v>1189</v>
      </c>
      <c r="C281" s="1">
        <v>46115</v>
      </c>
      <c r="D281" t="s">
        <v>26</v>
      </c>
      <c r="E281" t="s">
        <v>17</v>
      </c>
      <c r="F281" t="s">
        <v>31</v>
      </c>
      <c r="G281" t="s">
        <v>191</v>
      </c>
      <c r="H281" t="s">
        <v>192</v>
      </c>
      <c r="I281" t="s">
        <v>45</v>
      </c>
      <c r="J281">
        <v>699</v>
      </c>
      <c r="K281">
        <v>1</v>
      </c>
      <c r="L281">
        <v>707.08</v>
      </c>
      <c r="M281">
        <v>0</v>
      </c>
      <c r="N281">
        <v>707.08</v>
      </c>
      <c r="O281">
        <v>707.08</v>
      </c>
      <c r="P281" t="s">
        <v>2111</v>
      </c>
      <c r="Q281" t="s">
        <v>1170</v>
      </c>
    </row>
    <row r="282" spans="1:17" x14ac:dyDescent="0.3">
      <c r="A282" t="s">
        <v>329</v>
      </c>
      <c r="B282" t="s">
        <v>328</v>
      </c>
      <c r="C282" s="1">
        <v>46039</v>
      </c>
      <c r="D282" t="s">
        <v>26</v>
      </c>
      <c r="E282" t="s">
        <v>17</v>
      </c>
      <c r="F282" t="s">
        <v>22</v>
      </c>
      <c r="G282" t="s">
        <v>355</v>
      </c>
      <c r="H282" t="s">
        <v>356</v>
      </c>
      <c r="I282" t="s">
        <v>82</v>
      </c>
      <c r="J282">
        <v>499</v>
      </c>
      <c r="K282">
        <v>2</v>
      </c>
      <c r="L282">
        <v>514.1</v>
      </c>
      <c r="M282">
        <v>102.82</v>
      </c>
      <c r="N282">
        <v>1028.2</v>
      </c>
      <c r="O282">
        <v>925.38</v>
      </c>
      <c r="P282" t="s">
        <v>2111</v>
      </c>
      <c r="Q282" t="s">
        <v>23</v>
      </c>
    </row>
    <row r="283" spans="1:17" x14ac:dyDescent="0.3">
      <c r="A283" t="s">
        <v>1860</v>
      </c>
      <c r="B283" t="s">
        <v>1859</v>
      </c>
      <c r="C283" s="1">
        <v>46177</v>
      </c>
      <c r="D283" t="s">
        <v>26</v>
      </c>
      <c r="E283" t="s">
        <v>42</v>
      </c>
      <c r="F283" t="s">
        <v>47</v>
      </c>
      <c r="G283" t="s">
        <v>43</v>
      </c>
      <c r="H283" t="s">
        <v>44</v>
      </c>
      <c r="I283" t="s">
        <v>45</v>
      </c>
      <c r="J283">
        <v>3299</v>
      </c>
      <c r="K283">
        <v>3</v>
      </c>
      <c r="L283">
        <v>3070.76</v>
      </c>
      <c r="M283">
        <v>921.23</v>
      </c>
      <c r="N283">
        <v>9212.2800000000007</v>
      </c>
      <c r="O283">
        <v>8291.0499999999993</v>
      </c>
      <c r="P283" t="s">
        <v>2111</v>
      </c>
      <c r="Q283" t="s">
        <v>1809</v>
      </c>
    </row>
    <row r="284" spans="1:17" x14ac:dyDescent="0.3">
      <c r="A284" t="s">
        <v>2319</v>
      </c>
      <c r="B284" t="s">
        <v>2320</v>
      </c>
      <c r="C284" s="1">
        <v>46030</v>
      </c>
      <c r="D284" t="s">
        <v>26</v>
      </c>
      <c r="E284" t="s">
        <v>50</v>
      </c>
      <c r="F284" t="s">
        <v>31</v>
      </c>
      <c r="G284" t="s">
        <v>35</v>
      </c>
      <c r="H284" t="s">
        <v>36</v>
      </c>
      <c r="I284" t="s">
        <v>37</v>
      </c>
      <c r="J284">
        <v>799</v>
      </c>
      <c r="K284">
        <v>1</v>
      </c>
      <c r="L284">
        <v>822.42</v>
      </c>
      <c r="M284">
        <v>164.48</v>
      </c>
      <c r="N284">
        <v>822.42</v>
      </c>
      <c r="O284">
        <v>657.94</v>
      </c>
      <c r="P284" t="s">
        <v>2111</v>
      </c>
      <c r="Q284" t="s">
        <v>23</v>
      </c>
    </row>
    <row r="285" spans="1:17" x14ac:dyDescent="0.3">
      <c r="A285" t="s">
        <v>1577</v>
      </c>
      <c r="B285" t="s">
        <v>1576</v>
      </c>
      <c r="C285" s="1">
        <v>46151</v>
      </c>
      <c r="D285" t="s">
        <v>26</v>
      </c>
      <c r="E285" t="s">
        <v>17</v>
      </c>
      <c r="F285" t="s">
        <v>22</v>
      </c>
      <c r="G285" t="s">
        <v>86</v>
      </c>
      <c r="H285" t="s">
        <v>87</v>
      </c>
      <c r="I285" t="s">
        <v>82</v>
      </c>
      <c r="J285">
        <v>3499</v>
      </c>
      <c r="K285">
        <v>2</v>
      </c>
      <c r="L285">
        <v>3276.92</v>
      </c>
      <c r="M285">
        <v>327.69</v>
      </c>
      <c r="N285">
        <v>6553.84</v>
      </c>
      <c r="O285">
        <v>6226.15</v>
      </c>
      <c r="P285" t="s">
        <v>2111</v>
      </c>
      <c r="Q285" t="s">
        <v>1479</v>
      </c>
    </row>
    <row r="286" spans="1:17" x14ac:dyDescent="0.3">
      <c r="A286" t="s">
        <v>2267</v>
      </c>
      <c r="B286" t="s">
        <v>2268</v>
      </c>
      <c r="C286" s="1">
        <v>46177</v>
      </c>
      <c r="D286" t="s">
        <v>16</v>
      </c>
      <c r="E286" t="s">
        <v>50</v>
      </c>
      <c r="F286" t="s">
        <v>31</v>
      </c>
      <c r="G286" t="s">
        <v>101</v>
      </c>
      <c r="H286" t="s">
        <v>102</v>
      </c>
      <c r="I286" t="s">
        <v>45</v>
      </c>
      <c r="J286">
        <v>4999</v>
      </c>
      <c r="K286">
        <v>1</v>
      </c>
      <c r="L286">
        <v>5249.47</v>
      </c>
      <c r="M286">
        <v>1312.37</v>
      </c>
      <c r="N286">
        <v>5249.47</v>
      </c>
      <c r="O286">
        <v>3937.1</v>
      </c>
      <c r="P286" t="s">
        <v>2111</v>
      </c>
      <c r="Q286" t="s">
        <v>1809</v>
      </c>
    </row>
    <row r="287" spans="1:17" x14ac:dyDescent="0.3">
      <c r="A287" t="s">
        <v>1361</v>
      </c>
      <c r="B287" t="s">
        <v>1360</v>
      </c>
      <c r="C287" s="1">
        <v>46133</v>
      </c>
      <c r="D287" t="s">
        <v>16</v>
      </c>
      <c r="E287" t="s">
        <v>50</v>
      </c>
      <c r="F287" t="s">
        <v>60</v>
      </c>
      <c r="G287" t="s">
        <v>51</v>
      </c>
      <c r="H287" t="s">
        <v>52</v>
      </c>
      <c r="I287" t="s">
        <v>20</v>
      </c>
      <c r="J287">
        <v>999</v>
      </c>
      <c r="K287">
        <v>1</v>
      </c>
      <c r="L287">
        <v>966.85</v>
      </c>
      <c r="M287">
        <v>96.68</v>
      </c>
      <c r="N287">
        <v>966.85</v>
      </c>
      <c r="O287">
        <v>870.17</v>
      </c>
      <c r="P287" t="s">
        <v>2111</v>
      </c>
      <c r="Q287" t="s">
        <v>1170</v>
      </c>
    </row>
    <row r="288" spans="1:17" x14ac:dyDescent="0.3">
      <c r="A288" t="s">
        <v>768</v>
      </c>
      <c r="B288" t="s">
        <v>767</v>
      </c>
      <c r="C288" s="1">
        <v>46080</v>
      </c>
      <c r="D288" t="s">
        <v>41</v>
      </c>
      <c r="E288" t="s">
        <v>17</v>
      </c>
      <c r="F288" t="s">
        <v>31</v>
      </c>
      <c r="G288" t="s">
        <v>18</v>
      </c>
      <c r="H288" t="s">
        <v>19</v>
      </c>
      <c r="I288" t="s">
        <v>20</v>
      </c>
      <c r="J288">
        <v>2799</v>
      </c>
      <c r="K288">
        <v>1</v>
      </c>
      <c r="L288">
        <v>2916.5</v>
      </c>
      <c r="M288">
        <v>437.48</v>
      </c>
      <c r="N288">
        <v>2916.5</v>
      </c>
      <c r="O288">
        <v>2479.02</v>
      </c>
      <c r="P288" t="s">
        <v>2111</v>
      </c>
      <c r="Q288" t="s">
        <v>498</v>
      </c>
    </row>
    <row r="289" spans="1:17" x14ac:dyDescent="0.3">
      <c r="A289" t="s">
        <v>1789</v>
      </c>
      <c r="B289" t="s">
        <v>1788</v>
      </c>
      <c r="C289" s="1">
        <v>46172</v>
      </c>
      <c r="D289" t="s">
        <v>63</v>
      </c>
      <c r="E289" t="s">
        <v>42</v>
      </c>
      <c r="F289" t="s">
        <v>22</v>
      </c>
      <c r="G289" t="s">
        <v>126</v>
      </c>
      <c r="H289" t="s">
        <v>127</v>
      </c>
      <c r="I289" t="s">
        <v>45</v>
      </c>
      <c r="J289">
        <v>2499</v>
      </c>
      <c r="K289">
        <v>2</v>
      </c>
      <c r="L289">
        <v>2273.02</v>
      </c>
      <c r="M289">
        <v>0</v>
      </c>
      <c r="N289">
        <v>4546.04</v>
      </c>
      <c r="O289">
        <v>4546.04</v>
      </c>
      <c r="P289" t="s">
        <v>2111</v>
      </c>
      <c r="Q289" t="s">
        <v>1479</v>
      </c>
    </row>
    <row r="290" spans="1:17" x14ac:dyDescent="0.3">
      <c r="A290" t="s">
        <v>2134</v>
      </c>
      <c r="B290" t="s">
        <v>2135</v>
      </c>
      <c r="C290" s="1">
        <v>46170</v>
      </c>
      <c r="D290" t="s">
        <v>16</v>
      </c>
      <c r="E290" t="s">
        <v>17</v>
      </c>
      <c r="F290" t="s">
        <v>22</v>
      </c>
      <c r="G290" t="s">
        <v>86</v>
      </c>
      <c r="H290" t="s">
        <v>87</v>
      </c>
      <c r="I290" t="s">
        <v>82</v>
      </c>
      <c r="J290">
        <v>3499</v>
      </c>
      <c r="K290">
        <v>3</v>
      </c>
      <c r="L290">
        <v>3434.52</v>
      </c>
      <c r="M290">
        <v>0</v>
      </c>
      <c r="N290">
        <v>10303.56</v>
      </c>
      <c r="O290">
        <v>10303.56</v>
      </c>
      <c r="P290" t="s">
        <v>2111</v>
      </c>
      <c r="Q290" t="s">
        <v>1479</v>
      </c>
    </row>
    <row r="291" spans="1:17" x14ac:dyDescent="0.3">
      <c r="A291" t="s">
        <v>1828</v>
      </c>
      <c r="B291" t="s">
        <v>1403</v>
      </c>
      <c r="C291" s="1">
        <v>46174</v>
      </c>
      <c r="D291" t="s">
        <v>26</v>
      </c>
      <c r="E291" t="s">
        <v>17</v>
      </c>
      <c r="F291" t="s">
        <v>22</v>
      </c>
      <c r="G291" t="s">
        <v>86</v>
      </c>
      <c r="H291" t="s">
        <v>87</v>
      </c>
      <c r="I291" t="s">
        <v>82</v>
      </c>
      <c r="J291">
        <v>3499</v>
      </c>
      <c r="K291">
        <v>3</v>
      </c>
      <c r="L291">
        <v>3642.48</v>
      </c>
      <c r="M291">
        <v>1639.12</v>
      </c>
      <c r="N291">
        <v>10927.44</v>
      </c>
      <c r="O291">
        <v>9288.32</v>
      </c>
      <c r="P291" t="s">
        <v>2111</v>
      </c>
      <c r="Q291" t="s">
        <v>1809</v>
      </c>
    </row>
    <row r="292" spans="1:17" x14ac:dyDescent="0.3">
      <c r="A292" t="s">
        <v>2321</v>
      </c>
      <c r="B292" t="s">
        <v>2322</v>
      </c>
      <c r="C292" s="1">
        <v>46079</v>
      </c>
      <c r="D292" t="s">
        <v>41</v>
      </c>
      <c r="E292" t="s">
        <v>17</v>
      </c>
      <c r="F292" t="s">
        <v>31</v>
      </c>
      <c r="G292" t="s">
        <v>355</v>
      </c>
      <c r="H292" t="s">
        <v>356</v>
      </c>
      <c r="I292" t="s">
        <v>82</v>
      </c>
      <c r="J292">
        <v>499</v>
      </c>
      <c r="K292">
        <v>1</v>
      </c>
      <c r="L292">
        <v>471.74</v>
      </c>
      <c r="M292">
        <v>0</v>
      </c>
      <c r="N292">
        <v>471.74</v>
      </c>
      <c r="O292">
        <v>471.74</v>
      </c>
      <c r="P292" t="s">
        <v>2111</v>
      </c>
      <c r="Q292" t="s">
        <v>498</v>
      </c>
    </row>
    <row r="293" spans="1:17" x14ac:dyDescent="0.3">
      <c r="A293" t="s">
        <v>2323</v>
      </c>
      <c r="B293" t="s">
        <v>696</v>
      </c>
      <c r="C293" s="1">
        <v>46061</v>
      </c>
      <c r="D293" t="s">
        <v>16</v>
      </c>
      <c r="E293" t="s">
        <v>17</v>
      </c>
      <c r="F293" t="s">
        <v>60</v>
      </c>
      <c r="G293" t="s">
        <v>106</v>
      </c>
      <c r="H293" t="s">
        <v>107</v>
      </c>
      <c r="I293" t="s">
        <v>108</v>
      </c>
      <c r="J293">
        <v>599</v>
      </c>
      <c r="K293">
        <v>3</v>
      </c>
      <c r="L293">
        <v>634.38</v>
      </c>
      <c r="M293">
        <v>285.47000000000003</v>
      </c>
      <c r="N293">
        <v>1903.14</v>
      </c>
      <c r="O293">
        <v>1617.67</v>
      </c>
      <c r="P293" t="s">
        <v>2111</v>
      </c>
      <c r="Q293" t="s">
        <v>498</v>
      </c>
    </row>
    <row r="294" spans="1:17" x14ac:dyDescent="0.3">
      <c r="A294" t="s">
        <v>2324</v>
      </c>
      <c r="B294" t="s">
        <v>1114</v>
      </c>
      <c r="C294" s="1">
        <v>46040</v>
      </c>
      <c r="D294" t="s">
        <v>63</v>
      </c>
      <c r="E294" t="s">
        <v>50</v>
      </c>
      <c r="F294" t="s">
        <v>60</v>
      </c>
      <c r="G294" t="s">
        <v>106</v>
      </c>
      <c r="H294" t="s">
        <v>107</v>
      </c>
      <c r="I294" t="s">
        <v>108</v>
      </c>
      <c r="J294">
        <v>599</v>
      </c>
      <c r="K294">
        <v>2</v>
      </c>
      <c r="L294">
        <v>614.66999999999996</v>
      </c>
      <c r="M294">
        <v>0</v>
      </c>
      <c r="N294">
        <v>1229.3399999999999</v>
      </c>
      <c r="O294">
        <v>1229.3399999999999</v>
      </c>
      <c r="P294" t="s">
        <v>2114</v>
      </c>
      <c r="Q294" t="s">
        <v>23</v>
      </c>
    </row>
    <row r="295" spans="1:17" x14ac:dyDescent="0.3">
      <c r="A295" t="s">
        <v>2325</v>
      </c>
      <c r="B295" t="s">
        <v>2326</v>
      </c>
      <c r="C295" s="1">
        <v>46175</v>
      </c>
      <c r="D295" t="s">
        <v>16</v>
      </c>
      <c r="E295" t="s">
        <v>50</v>
      </c>
      <c r="F295" t="s">
        <v>47</v>
      </c>
      <c r="G295" t="s">
        <v>191</v>
      </c>
      <c r="H295" t="s">
        <v>192</v>
      </c>
      <c r="I295" t="s">
        <v>45</v>
      </c>
      <c r="J295">
        <v>699</v>
      </c>
      <c r="K295">
        <v>1</v>
      </c>
      <c r="L295">
        <v>711.24</v>
      </c>
      <c r="M295">
        <v>106.69</v>
      </c>
      <c r="N295">
        <v>711.24</v>
      </c>
      <c r="O295">
        <v>604.54999999999995</v>
      </c>
      <c r="P295" t="s">
        <v>2111</v>
      </c>
      <c r="Q295" t="s">
        <v>1809</v>
      </c>
    </row>
    <row r="296" spans="1:17" x14ac:dyDescent="0.3">
      <c r="A296" t="s">
        <v>958</v>
      </c>
      <c r="B296" t="s">
        <v>957</v>
      </c>
      <c r="C296" s="1">
        <v>46093</v>
      </c>
      <c r="D296" t="s">
        <v>34</v>
      </c>
      <c r="E296" t="s">
        <v>17</v>
      </c>
      <c r="F296" t="s">
        <v>22</v>
      </c>
      <c r="G296" t="s">
        <v>165</v>
      </c>
      <c r="H296" t="s">
        <v>166</v>
      </c>
      <c r="I296" t="s">
        <v>29</v>
      </c>
      <c r="J296">
        <v>449</v>
      </c>
      <c r="K296">
        <v>1</v>
      </c>
      <c r="L296">
        <v>435.85</v>
      </c>
      <c r="M296">
        <v>21.79</v>
      </c>
      <c r="N296">
        <v>435.85</v>
      </c>
      <c r="O296">
        <v>414.06</v>
      </c>
      <c r="P296" t="s">
        <v>2111</v>
      </c>
      <c r="Q296" t="s">
        <v>789</v>
      </c>
    </row>
    <row r="297" spans="1:17" x14ac:dyDescent="0.3">
      <c r="A297" t="s">
        <v>1045</v>
      </c>
      <c r="B297" t="s">
        <v>583</v>
      </c>
      <c r="C297" s="1">
        <v>46100</v>
      </c>
      <c r="D297" t="s">
        <v>16</v>
      </c>
      <c r="E297" t="s">
        <v>50</v>
      </c>
      <c r="F297" t="s">
        <v>31</v>
      </c>
      <c r="G297" t="s">
        <v>112</v>
      </c>
      <c r="H297" t="s">
        <v>113</v>
      </c>
      <c r="I297" t="s">
        <v>37</v>
      </c>
      <c r="J297">
        <v>1499</v>
      </c>
      <c r="K297">
        <v>1</v>
      </c>
      <c r="L297">
        <v>1493.74</v>
      </c>
      <c r="M297">
        <v>149.37</v>
      </c>
      <c r="N297">
        <v>1493.74</v>
      </c>
      <c r="O297">
        <v>1344.37</v>
      </c>
      <c r="P297" t="s">
        <v>2114</v>
      </c>
      <c r="Q297" t="s">
        <v>789</v>
      </c>
    </row>
    <row r="298" spans="1:17" x14ac:dyDescent="0.3">
      <c r="A298" t="s">
        <v>731</v>
      </c>
      <c r="B298" t="s">
        <v>730</v>
      </c>
      <c r="C298" s="1">
        <v>46076</v>
      </c>
      <c r="D298" t="s">
        <v>16</v>
      </c>
      <c r="E298" t="s">
        <v>17</v>
      </c>
      <c r="F298" t="s">
        <v>60</v>
      </c>
      <c r="G298" t="s">
        <v>160</v>
      </c>
      <c r="H298" t="s">
        <v>161</v>
      </c>
      <c r="I298" t="s">
        <v>82</v>
      </c>
      <c r="J298">
        <v>799</v>
      </c>
      <c r="K298">
        <v>3</v>
      </c>
      <c r="L298">
        <v>814.56</v>
      </c>
      <c r="M298">
        <v>366.55</v>
      </c>
      <c r="N298">
        <v>2443.6799999999998</v>
      </c>
      <c r="O298">
        <v>2077.13</v>
      </c>
      <c r="P298" t="s">
        <v>2111</v>
      </c>
      <c r="Q298" t="s">
        <v>498</v>
      </c>
    </row>
    <row r="299" spans="1:17" x14ac:dyDescent="0.3">
      <c r="A299" t="s">
        <v>1344</v>
      </c>
      <c r="B299" t="s">
        <v>1343</v>
      </c>
      <c r="C299" s="1">
        <v>46131</v>
      </c>
      <c r="D299" t="s">
        <v>16</v>
      </c>
      <c r="E299" t="s">
        <v>17</v>
      </c>
      <c r="F299" t="s">
        <v>74</v>
      </c>
      <c r="G299" t="s">
        <v>91</v>
      </c>
      <c r="H299" t="s">
        <v>92</v>
      </c>
      <c r="I299" t="s">
        <v>37</v>
      </c>
      <c r="J299">
        <v>1899</v>
      </c>
      <c r="K299">
        <v>2</v>
      </c>
      <c r="L299">
        <v>1888.54</v>
      </c>
      <c r="M299">
        <v>188.85</v>
      </c>
      <c r="N299">
        <v>3777.08</v>
      </c>
      <c r="O299">
        <v>3588.23</v>
      </c>
      <c r="P299" t="s">
        <v>2111</v>
      </c>
      <c r="Q299" t="s">
        <v>1170</v>
      </c>
    </row>
    <row r="300" spans="1:17" x14ac:dyDescent="0.3">
      <c r="A300" t="s">
        <v>1611</v>
      </c>
      <c r="B300" t="s">
        <v>1610</v>
      </c>
      <c r="C300" s="1">
        <v>46154</v>
      </c>
      <c r="D300" t="s">
        <v>63</v>
      </c>
      <c r="E300" t="s">
        <v>50</v>
      </c>
      <c r="F300" t="s">
        <v>31</v>
      </c>
      <c r="G300" t="s">
        <v>160</v>
      </c>
      <c r="H300" t="s">
        <v>161</v>
      </c>
      <c r="I300" t="s">
        <v>82</v>
      </c>
      <c r="J300">
        <v>799</v>
      </c>
      <c r="K300">
        <v>2</v>
      </c>
      <c r="L300">
        <v>830.69</v>
      </c>
      <c r="M300">
        <v>0</v>
      </c>
      <c r="N300">
        <v>1661.38</v>
      </c>
      <c r="O300">
        <v>1661.38</v>
      </c>
      <c r="P300" t="s">
        <v>2111</v>
      </c>
      <c r="Q300" t="s">
        <v>1479</v>
      </c>
    </row>
    <row r="301" spans="1:17" x14ac:dyDescent="0.3">
      <c r="A301" t="s">
        <v>762</v>
      </c>
      <c r="B301" t="s">
        <v>761</v>
      </c>
      <c r="C301" s="1">
        <v>46079</v>
      </c>
      <c r="D301" t="s">
        <v>41</v>
      </c>
      <c r="E301" t="s">
        <v>17</v>
      </c>
      <c r="F301" t="s">
        <v>74</v>
      </c>
      <c r="G301" t="s">
        <v>149</v>
      </c>
      <c r="H301" t="s">
        <v>150</v>
      </c>
      <c r="I301" t="s">
        <v>37</v>
      </c>
      <c r="J301">
        <v>2999</v>
      </c>
      <c r="K301">
        <v>1</v>
      </c>
      <c r="L301">
        <v>2959.23</v>
      </c>
      <c r="M301">
        <v>0</v>
      </c>
      <c r="N301">
        <v>2959.23</v>
      </c>
      <c r="O301">
        <v>2959.23</v>
      </c>
      <c r="P301" t="s">
        <v>2111</v>
      </c>
      <c r="Q301" t="s">
        <v>498</v>
      </c>
    </row>
    <row r="302" spans="1:17" x14ac:dyDescent="0.3">
      <c r="A302" t="s">
        <v>2327</v>
      </c>
      <c r="B302" t="s">
        <v>2328</v>
      </c>
      <c r="C302" s="1">
        <v>46024</v>
      </c>
      <c r="D302" t="s">
        <v>16</v>
      </c>
      <c r="E302" t="s">
        <v>50</v>
      </c>
      <c r="F302" t="s">
        <v>22</v>
      </c>
      <c r="G302" t="s">
        <v>43</v>
      </c>
      <c r="H302" t="s">
        <v>44</v>
      </c>
      <c r="I302" t="s">
        <v>45</v>
      </c>
      <c r="J302">
        <v>3299</v>
      </c>
      <c r="K302">
        <v>2</v>
      </c>
      <c r="L302">
        <v>3102.56</v>
      </c>
      <c r="M302">
        <v>620.51</v>
      </c>
      <c r="N302">
        <v>6205.12</v>
      </c>
      <c r="O302">
        <v>5584.61</v>
      </c>
      <c r="P302" t="s">
        <v>2111</v>
      </c>
      <c r="Q302" t="s">
        <v>23</v>
      </c>
    </row>
    <row r="303" spans="1:17" x14ac:dyDescent="0.3">
      <c r="A303" t="s">
        <v>288</v>
      </c>
      <c r="B303" t="s">
        <v>287</v>
      </c>
      <c r="C303" s="1">
        <v>46036</v>
      </c>
      <c r="D303" t="s">
        <v>34</v>
      </c>
      <c r="E303" t="s">
        <v>50</v>
      </c>
      <c r="F303" t="s">
        <v>47</v>
      </c>
      <c r="G303" t="s">
        <v>56</v>
      </c>
      <c r="H303" t="s">
        <v>57</v>
      </c>
      <c r="I303" t="s">
        <v>58</v>
      </c>
      <c r="J303">
        <v>8999</v>
      </c>
      <c r="K303">
        <v>1</v>
      </c>
      <c r="L303">
        <v>8484.14</v>
      </c>
      <c r="M303">
        <v>848.41</v>
      </c>
      <c r="N303">
        <v>8484.14</v>
      </c>
      <c r="O303">
        <v>7635.73</v>
      </c>
      <c r="P303" t="s">
        <v>2111</v>
      </c>
      <c r="Q303" t="s">
        <v>23</v>
      </c>
    </row>
    <row r="304" spans="1:17" x14ac:dyDescent="0.3">
      <c r="A304" t="s">
        <v>329</v>
      </c>
      <c r="B304" t="s">
        <v>328</v>
      </c>
      <c r="C304" s="1">
        <v>46039</v>
      </c>
      <c r="D304" t="s">
        <v>26</v>
      </c>
      <c r="E304" t="s">
        <v>17</v>
      </c>
      <c r="F304" t="s">
        <v>22</v>
      </c>
      <c r="G304" t="s">
        <v>101</v>
      </c>
      <c r="H304" t="s">
        <v>102</v>
      </c>
      <c r="I304" t="s">
        <v>45</v>
      </c>
      <c r="J304">
        <v>4999</v>
      </c>
      <c r="K304">
        <v>1</v>
      </c>
      <c r="L304">
        <v>4504.8999999999996</v>
      </c>
      <c r="M304">
        <v>675.73</v>
      </c>
      <c r="N304">
        <v>4504.8999999999996</v>
      </c>
      <c r="O304">
        <v>3829.17</v>
      </c>
      <c r="P304" t="s">
        <v>2111</v>
      </c>
      <c r="Q304" t="s">
        <v>23</v>
      </c>
    </row>
    <row r="305" spans="1:17" x14ac:dyDescent="0.3">
      <c r="A305" t="s">
        <v>2329</v>
      </c>
      <c r="B305" t="s">
        <v>2330</v>
      </c>
      <c r="C305" s="1">
        <v>46071</v>
      </c>
      <c r="D305" t="s">
        <v>34</v>
      </c>
      <c r="E305" t="s">
        <v>17</v>
      </c>
      <c r="F305" t="s">
        <v>60</v>
      </c>
      <c r="G305" t="s">
        <v>165</v>
      </c>
      <c r="H305" t="s">
        <v>166</v>
      </c>
      <c r="I305" t="s">
        <v>29</v>
      </c>
      <c r="J305">
        <v>449</v>
      </c>
      <c r="K305">
        <v>2</v>
      </c>
      <c r="L305">
        <v>431.13</v>
      </c>
      <c r="M305">
        <v>86.23</v>
      </c>
      <c r="N305">
        <v>862.26</v>
      </c>
      <c r="O305">
        <v>776.03</v>
      </c>
      <c r="P305" t="s">
        <v>2111</v>
      </c>
      <c r="Q305" t="s">
        <v>498</v>
      </c>
    </row>
    <row r="306" spans="1:17" x14ac:dyDescent="0.3">
      <c r="A306" t="s">
        <v>2331</v>
      </c>
      <c r="B306" t="s">
        <v>1805</v>
      </c>
      <c r="C306" s="1">
        <v>46087</v>
      </c>
      <c r="D306" t="s">
        <v>63</v>
      </c>
      <c r="E306" t="s">
        <v>17</v>
      </c>
      <c r="F306" t="s">
        <v>74</v>
      </c>
      <c r="G306" t="s">
        <v>106</v>
      </c>
      <c r="H306" t="s">
        <v>107</v>
      </c>
      <c r="I306" t="s">
        <v>108</v>
      </c>
      <c r="J306">
        <v>599</v>
      </c>
      <c r="K306">
        <v>1</v>
      </c>
      <c r="L306">
        <v>628.82000000000005</v>
      </c>
      <c r="M306">
        <v>62.88</v>
      </c>
      <c r="N306">
        <v>628.82000000000005</v>
      </c>
      <c r="O306">
        <v>565.94000000000005</v>
      </c>
      <c r="P306" t="s">
        <v>2111</v>
      </c>
      <c r="Q306" t="s">
        <v>789</v>
      </c>
    </row>
    <row r="307" spans="1:17" x14ac:dyDescent="0.3">
      <c r="A307" t="s">
        <v>446</v>
      </c>
      <c r="B307" t="s">
        <v>445</v>
      </c>
      <c r="C307" s="1">
        <v>46048</v>
      </c>
      <c r="D307" t="s">
        <v>26</v>
      </c>
      <c r="E307" t="s">
        <v>50</v>
      </c>
      <c r="F307" t="s">
        <v>74</v>
      </c>
      <c r="G307" t="s">
        <v>51</v>
      </c>
      <c r="H307" t="s">
        <v>52</v>
      </c>
      <c r="I307" t="s">
        <v>20</v>
      </c>
      <c r="J307">
        <v>999</v>
      </c>
      <c r="K307">
        <v>2</v>
      </c>
      <c r="L307">
        <v>1057.77</v>
      </c>
      <c r="M307">
        <v>211.55</v>
      </c>
      <c r="N307">
        <v>2115.54</v>
      </c>
      <c r="O307">
        <v>1903.99</v>
      </c>
      <c r="P307" t="s">
        <v>2111</v>
      </c>
      <c r="Q307" t="s">
        <v>23</v>
      </c>
    </row>
    <row r="308" spans="1:17" x14ac:dyDescent="0.3">
      <c r="A308" t="s">
        <v>2332</v>
      </c>
      <c r="B308" t="s">
        <v>2333</v>
      </c>
      <c r="C308" s="1">
        <v>46061</v>
      </c>
      <c r="D308" t="s">
        <v>16</v>
      </c>
      <c r="E308" t="s">
        <v>17</v>
      </c>
      <c r="F308" t="s">
        <v>31</v>
      </c>
      <c r="G308" t="s">
        <v>191</v>
      </c>
      <c r="H308" t="s">
        <v>192</v>
      </c>
      <c r="I308" t="s">
        <v>45</v>
      </c>
      <c r="J308">
        <v>699</v>
      </c>
      <c r="K308">
        <v>1</v>
      </c>
      <c r="L308">
        <v>657.4</v>
      </c>
      <c r="M308">
        <v>0</v>
      </c>
      <c r="N308">
        <v>657.4</v>
      </c>
      <c r="O308">
        <v>657.4</v>
      </c>
      <c r="P308" t="s">
        <v>2111</v>
      </c>
      <c r="Q308" t="s">
        <v>498</v>
      </c>
    </row>
    <row r="309" spans="1:17" x14ac:dyDescent="0.3">
      <c r="A309" t="s">
        <v>1452</v>
      </c>
      <c r="B309" t="s">
        <v>978</v>
      </c>
      <c r="C309" s="1">
        <v>46140</v>
      </c>
      <c r="D309" t="s">
        <v>16</v>
      </c>
      <c r="E309" t="s">
        <v>50</v>
      </c>
      <c r="F309" t="s">
        <v>31</v>
      </c>
      <c r="G309" t="s">
        <v>112</v>
      </c>
      <c r="H309" t="s">
        <v>113</v>
      </c>
      <c r="I309" t="s">
        <v>37</v>
      </c>
      <c r="J309">
        <v>1499</v>
      </c>
      <c r="K309">
        <v>2</v>
      </c>
      <c r="L309">
        <v>1636.62</v>
      </c>
      <c r="M309">
        <v>163.66</v>
      </c>
      <c r="N309">
        <v>3273.24</v>
      </c>
      <c r="O309">
        <v>3109.58</v>
      </c>
      <c r="P309" t="s">
        <v>2111</v>
      </c>
      <c r="Q309" t="s">
        <v>1170</v>
      </c>
    </row>
    <row r="310" spans="1:17" x14ac:dyDescent="0.3">
      <c r="A310" t="s">
        <v>2089</v>
      </c>
      <c r="B310" t="s">
        <v>2088</v>
      </c>
      <c r="C310" s="1">
        <v>46202</v>
      </c>
      <c r="D310" t="s">
        <v>16</v>
      </c>
      <c r="E310" t="s">
        <v>17</v>
      </c>
      <c r="F310" t="s">
        <v>74</v>
      </c>
      <c r="G310" t="s">
        <v>149</v>
      </c>
      <c r="H310" t="s">
        <v>150</v>
      </c>
      <c r="I310" t="s">
        <v>37</v>
      </c>
      <c r="J310">
        <v>2999</v>
      </c>
      <c r="K310">
        <v>1</v>
      </c>
      <c r="L310">
        <v>3000.44</v>
      </c>
      <c r="M310">
        <v>750.11</v>
      </c>
      <c r="N310">
        <v>3000.44</v>
      </c>
      <c r="O310">
        <v>2250.33</v>
      </c>
      <c r="P310" t="s">
        <v>2111</v>
      </c>
      <c r="Q310" t="s">
        <v>1809</v>
      </c>
    </row>
    <row r="311" spans="1:17" x14ac:dyDescent="0.3">
      <c r="A311" t="s">
        <v>1860</v>
      </c>
      <c r="B311" t="s">
        <v>1859</v>
      </c>
      <c r="C311" s="1">
        <v>46177</v>
      </c>
      <c r="D311" t="s">
        <v>26</v>
      </c>
      <c r="E311" t="s">
        <v>42</v>
      </c>
      <c r="F311" t="s">
        <v>47</v>
      </c>
      <c r="G311" t="s">
        <v>96</v>
      </c>
      <c r="H311" t="s">
        <v>97</v>
      </c>
      <c r="I311" t="s">
        <v>58</v>
      </c>
      <c r="J311">
        <v>7499</v>
      </c>
      <c r="K311">
        <v>1</v>
      </c>
      <c r="L311">
        <v>8124.38</v>
      </c>
      <c r="M311">
        <v>1624.88</v>
      </c>
      <c r="N311">
        <v>8124.38</v>
      </c>
      <c r="O311">
        <v>6499.5</v>
      </c>
      <c r="P311" t="s">
        <v>2111</v>
      </c>
      <c r="Q311" t="s">
        <v>1809</v>
      </c>
    </row>
    <row r="312" spans="1:17" x14ac:dyDescent="0.3">
      <c r="A312" t="s">
        <v>1497</v>
      </c>
      <c r="B312" t="s">
        <v>1496</v>
      </c>
      <c r="C312" s="1">
        <v>46144</v>
      </c>
      <c r="D312" t="s">
        <v>34</v>
      </c>
      <c r="E312" t="s">
        <v>50</v>
      </c>
      <c r="F312" t="s">
        <v>22</v>
      </c>
      <c r="G312" t="s">
        <v>250</v>
      </c>
      <c r="H312" t="s">
        <v>251</v>
      </c>
      <c r="I312" t="s">
        <v>108</v>
      </c>
      <c r="J312">
        <v>899</v>
      </c>
      <c r="K312">
        <v>1</v>
      </c>
      <c r="L312">
        <v>936.18</v>
      </c>
      <c r="M312">
        <v>46.81</v>
      </c>
      <c r="N312">
        <v>936.18</v>
      </c>
      <c r="O312">
        <v>889.37</v>
      </c>
      <c r="P312" t="s">
        <v>2111</v>
      </c>
      <c r="Q312" t="s">
        <v>1479</v>
      </c>
    </row>
    <row r="313" spans="1:17" x14ac:dyDescent="0.3">
      <c r="A313" t="s">
        <v>270</v>
      </c>
      <c r="B313" t="s">
        <v>269</v>
      </c>
      <c r="C313" s="1">
        <v>46035</v>
      </c>
      <c r="D313" t="s">
        <v>41</v>
      </c>
      <c r="E313" t="s">
        <v>17</v>
      </c>
      <c r="F313" t="s">
        <v>22</v>
      </c>
      <c r="G313" t="s">
        <v>355</v>
      </c>
      <c r="H313" t="s">
        <v>356</v>
      </c>
      <c r="I313" t="s">
        <v>82</v>
      </c>
      <c r="J313">
        <v>499</v>
      </c>
      <c r="K313">
        <v>1</v>
      </c>
      <c r="L313">
        <v>521.20000000000005</v>
      </c>
      <c r="M313">
        <v>52.12</v>
      </c>
      <c r="N313">
        <v>521.20000000000005</v>
      </c>
      <c r="O313">
        <v>469.08</v>
      </c>
      <c r="P313" t="s">
        <v>2111</v>
      </c>
      <c r="Q313" t="s">
        <v>23</v>
      </c>
    </row>
    <row r="314" spans="1:17" x14ac:dyDescent="0.3">
      <c r="A314" t="s">
        <v>2132</v>
      </c>
      <c r="B314" t="s">
        <v>2133</v>
      </c>
      <c r="C314" s="1">
        <v>46052</v>
      </c>
      <c r="D314" t="s">
        <v>26</v>
      </c>
      <c r="E314" t="s">
        <v>42</v>
      </c>
      <c r="F314" t="s">
        <v>60</v>
      </c>
      <c r="G314" t="s">
        <v>160</v>
      </c>
      <c r="H314" t="s">
        <v>161</v>
      </c>
      <c r="I314" t="s">
        <v>82</v>
      </c>
      <c r="J314">
        <v>799</v>
      </c>
      <c r="K314">
        <v>3</v>
      </c>
      <c r="L314">
        <v>732.69</v>
      </c>
      <c r="M314">
        <v>439.61</v>
      </c>
      <c r="N314">
        <v>2198.0700000000002</v>
      </c>
      <c r="O314">
        <v>1758.46</v>
      </c>
      <c r="P314" t="s">
        <v>2114</v>
      </c>
      <c r="Q314" t="s">
        <v>23</v>
      </c>
    </row>
    <row r="315" spans="1:17" x14ac:dyDescent="0.3">
      <c r="A315" t="s">
        <v>2334</v>
      </c>
      <c r="B315" t="s">
        <v>2335</v>
      </c>
      <c r="C315" s="1">
        <v>46149</v>
      </c>
      <c r="D315" t="s">
        <v>63</v>
      </c>
      <c r="E315" t="s">
        <v>50</v>
      </c>
      <c r="F315" t="s">
        <v>47</v>
      </c>
      <c r="G315" t="s">
        <v>56</v>
      </c>
      <c r="H315" t="s">
        <v>57</v>
      </c>
      <c r="I315" t="s">
        <v>58</v>
      </c>
      <c r="J315">
        <v>8999</v>
      </c>
      <c r="K315">
        <v>1</v>
      </c>
      <c r="L315">
        <v>8495.0400000000009</v>
      </c>
      <c r="M315">
        <v>849.5</v>
      </c>
      <c r="N315">
        <v>8495.0400000000009</v>
      </c>
      <c r="O315">
        <v>7645.54</v>
      </c>
      <c r="P315" t="s">
        <v>2111</v>
      </c>
      <c r="Q315" t="s">
        <v>1479</v>
      </c>
    </row>
    <row r="316" spans="1:17" x14ac:dyDescent="0.3">
      <c r="A316" t="s">
        <v>1491</v>
      </c>
      <c r="B316" t="s">
        <v>1490</v>
      </c>
      <c r="C316" s="1">
        <v>46144</v>
      </c>
      <c r="D316" t="s">
        <v>34</v>
      </c>
      <c r="E316" t="s">
        <v>50</v>
      </c>
      <c r="F316" t="s">
        <v>60</v>
      </c>
      <c r="G316" t="s">
        <v>160</v>
      </c>
      <c r="H316" t="s">
        <v>161</v>
      </c>
      <c r="I316" t="s">
        <v>82</v>
      </c>
      <c r="J316">
        <v>799</v>
      </c>
      <c r="K316">
        <v>2</v>
      </c>
      <c r="L316">
        <v>720.51</v>
      </c>
      <c r="M316">
        <v>0</v>
      </c>
      <c r="N316">
        <v>1441.02</v>
      </c>
      <c r="O316">
        <v>1441.02</v>
      </c>
      <c r="P316" t="s">
        <v>2111</v>
      </c>
      <c r="Q316" t="s">
        <v>1479</v>
      </c>
    </row>
    <row r="317" spans="1:17" x14ac:dyDescent="0.3">
      <c r="A317" t="s">
        <v>1933</v>
      </c>
      <c r="B317" t="s">
        <v>1932</v>
      </c>
      <c r="C317" s="1">
        <v>46185</v>
      </c>
      <c r="D317" t="s">
        <v>41</v>
      </c>
      <c r="E317" t="s">
        <v>17</v>
      </c>
      <c r="F317" t="s">
        <v>22</v>
      </c>
      <c r="G317" t="s">
        <v>112</v>
      </c>
      <c r="H317" t="s">
        <v>113</v>
      </c>
      <c r="I317" t="s">
        <v>37</v>
      </c>
      <c r="J317">
        <v>1499</v>
      </c>
      <c r="K317">
        <v>4</v>
      </c>
      <c r="L317">
        <v>1563.8</v>
      </c>
      <c r="M317">
        <v>0</v>
      </c>
      <c r="N317">
        <v>6255.2</v>
      </c>
      <c r="O317">
        <v>6255.2</v>
      </c>
      <c r="P317" t="s">
        <v>2111</v>
      </c>
      <c r="Q317" t="s">
        <v>1809</v>
      </c>
    </row>
    <row r="318" spans="1:17" x14ac:dyDescent="0.3">
      <c r="A318" t="s">
        <v>2336</v>
      </c>
      <c r="B318" t="s">
        <v>2201</v>
      </c>
      <c r="C318" s="1">
        <v>46081</v>
      </c>
      <c r="D318" t="s">
        <v>16</v>
      </c>
      <c r="E318" t="s">
        <v>42</v>
      </c>
      <c r="F318" t="s">
        <v>74</v>
      </c>
      <c r="G318" t="s">
        <v>101</v>
      </c>
      <c r="H318" t="s">
        <v>102</v>
      </c>
      <c r="I318" t="s">
        <v>45</v>
      </c>
      <c r="J318">
        <v>4999</v>
      </c>
      <c r="K318">
        <v>1</v>
      </c>
      <c r="L318">
        <v>4843.47</v>
      </c>
      <c r="M318">
        <v>484.35</v>
      </c>
      <c r="N318">
        <v>4843.47</v>
      </c>
      <c r="O318">
        <v>4359.12</v>
      </c>
      <c r="P318" t="s">
        <v>2111</v>
      </c>
      <c r="Q318" t="s">
        <v>498</v>
      </c>
    </row>
    <row r="319" spans="1:17" x14ac:dyDescent="0.3">
      <c r="A319" t="s">
        <v>631</v>
      </c>
      <c r="B319" t="s">
        <v>630</v>
      </c>
      <c r="C319" s="1">
        <v>46066</v>
      </c>
      <c r="D319" t="s">
        <v>16</v>
      </c>
      <c r="E319" t="s">
        <v>17</v>
      </c>
      <c r="F319" t="s">
        <v>60</v>
      </c>
      <c r="G319" t="s">
        <v>250</v>
      </c>
      <c r="H319" t="s">
        <v>251</v>
      </c>
      <c r="I319" t="s">
        <v>108</v>
      </c>
      <c r="J319">
        <v>899</v>
      </c>
      <c r="K319">
        <v>1</v>
      </c>
      <c r="L319">
        <v>950.54</v>
      </c>
      <c r="M319">
        <v>237.64</v>
      </c>
      <c r="N319">
        <v>950.54</v>
      </c>
      <c r="O319">
        <v>712.9</v>
      </c>
      <c r="P319" t="s">
        <v>2111</v>
      </c>
      <c r="Q319" t="s">
        <v>498</v>
      </c>
    </row>
    <row r="320" spans="1:17" x14ac:dyDescent="0.3">
      <c r="A320" t="s">
        <v>2337</v>
      </c>
      <c r="B320" t="s">
        <v>2338</v>
      </c>
      <c r="C320" s="1">
        <v>46048</v>
      </c>
      <c r="D320" t="s">
        <v>34</v>
      </c>
      <c r="E320" t="s">
        <v>17</v>
      </c>
      <c r="F320" t="s">
        <v>47</v>
      </c>
      <c r="G320" t="s">
        <v>56</v>
      </c>
      <c r="H320" t="s">
        <v>57</v>
      </c>
      <c r="I320" t="s">
        <v>58</v>
      </c>
      <c r="J320">
        <v>8999</v>
      </c>
      <c r="K320">
        <v>2</v>
      </c>
      <c r="L320">
        <v>8709.1200000000008</v>
      </c>
      <c r="M320">
        <v>2612.7399999999998</v>
      </c>
      <c r="N320">
        <v>17418.240000000002</v>
      </c>
      <c r="O320">
        <v>14805.5</v>
      </c>
      <c r="P320" t="s">
        <v>2111</v>
      </c>
      <c r="Q320" t="s">
        <v>23</v>
      </c>
    </row>
    <row r="321" spans="1:17" x14ac:dyDescent="0.3">
      <c r="A321" t="s">
        <v>1430</v>
      </c>
      <c r="B321" t="s">
        <v>1429</v>
      </c>
      <c r="C321" s="1">
        <v>46138</v>
      </c>
      <c r="D321" t="s">
        <v>63</v>
      </c>
      <c r="E321" t="s">
        <v>17</v>
      </c>
      <c r="F321" t="s">
        <v>60</v>
      </c>
      <c r="G321" t="s">
        <v>160</v>
      </c>
      <c r="H321" t="s">
        <v>161</v>
      </c>
      <c r="I321" t="s">
        <v>82</v>
      </c>
      <c r="J321">
        <v>799</v>
      </c>
      <c r="K321">
        <v>4</v>
      </c>
      <c r="L321">
        <v>850.03</v>
      </c>
      <c r="M321">
        <v>0</v>
      </c>
      <c r="N321">
        <v>3400.12</v>
      </c>
      <c r="O321">
        <v>3400.12</v>
      </c>
      <c r="P321" t="s">
        <v>2111</v>
      </c>
      <c r="Q321" t="s">
        <v>1170</v>
      </c>
    </row>
    <row r="322" spans="1:17" x14ac:dyDescent="0.3">
      <c r="A322" t="s">
        <v>2123</v>
      </c>
      <c r="B322" t="s">
        <v>2124</v>
      </c>
      <c r="C322" s="1">
        <v>46114</v>
      </c>
      <c r="D322" t="s">
        <v>41</v>
      </c>
      <c r="E322" t="s">
        <v>17</v>
      </c>
      <c r="F322" t="s">
        <v>74</v>
      </c>
      <c r="G322" t="s">
        <v>91</v>
      </c>
      <c r="H322" t="s">
        <v>92</v>
      </c>
      <c r="I322" t="s">
        <v>37</v>
      </c>
      <c r="J322">
        <v>1899</v>
      </c>
      <c r="K322">
        <v>3</v>
      </c>
      <c r="L322">
        <v>1758.74</v>
      </c>
      <c r="M322">
        <v>0</v>
      </c>
      <c r="N322">
        <v>5276.22</v>
      </c>
      <c r="O322">
        <v>5276.22</v>
      </c>
      <c r="P322" t="s">
        <v>2111</v>
      </c>
      <c r="Q322" t="s">
        <v>1170</v>
      </c>
    </row>
    <row r="323" spans="1:17" x14ac:dyDescent="0.3">
      <c r="A323" t="s">
        <v>1021</v>
      </c>
      <c r="B323" t="s">
        <v>1020</v>
      </c>
      <c r="C323" s="1">
        <v>46098</v>
      </c>
      <c r="D323" t="s">
        <v>26</v>
      </c>
      <c r="E323" t="s">
        <v>17</v>
      </c>
      <c r="F323" t="s">
        <v>74</v>
      </c>
      <c r="G323" t="s">
        <v>191</v>
      </c>
      <c r="H323" t="s">
        <v>192</v>
      </c>
      <c r="I323" t="s">
        <v>45</v>
      </c>
      <c r="J323">
        <v>699</v>
      </c>
      <c r="K323">
        <v>1</v>
      </c>
      <c r="L323">
        <v>653.34</v>
      </c>
      <c r="M323">
        <v>98</v>
      </c>
      <c r="N323">
        <v>653.34</v>
      </c>
      <c r="O323">
        <v>555.34</v>
      </c>
      <c r="P323" t="s">
        <v>2111</v>
      </c>
      <c r="Q323" t="s">
        <v>789</v>
      </c>
    </row>
    <row r="324" spans="1:17" x14ac:dyDescent="0.3">
      <c r="A324" t="s">
        <v>2217</v>
      </c>
      <c r="B324" t="s">
        <v>2218</v>
      </c>
      <c r="C324" s="1">
        <v>46037</v>
      </c>
      <c r="D324" t="s">
        <v>34</v>
      </c>
      <c r="E324" t="s">
        <v>17</v>
      </c>
      <c r="F324" t="s">
        <v>31</v>
      </c>
      <c r="G324" t="s">
        <v>250</v>
      </c>
      <c r="H324" t="s">
        <v>251</v>
      </c>
      <c r="I324" t="s">
        <v>108</v>
      </c>
      <c r="J324">
        <v>899</v>
      </c>
      <c r="K324">
        <v>2</v>
      </c>
      <c r="L324">
        <v>870.39</v>
      </c>
      <c r="M324">
        <v>348.16</v>
      </c>
      <c r="N324">
        <v>1740.78</v>
      </c>
      <c r="O324">
        <v>1392.62</v>
      </c>
      <c r="P324" t="s">
        <v>2111</v>
      </c>
      <c r="Q324" t="s">
        <v>23</v>
      </c>
    </row>
    <row r="325" spans="1:17" x14ac:dyDescent="0.3">
      <c r="A325" t="s">
        <v>2297</v>
      </c>
      <c r="B325" t="s">
        <v>2298</v>
      </c>
      <c r="C325" s="1">
        <v>46135</v>
      </c>
      <c r="D325" t="s">
        <v>34</v>
      </c>
      <c r="E325" t="s">
        <v>50</v>
      </c>
      <c r="F325" t="s">
        <v>31</v>
      </c>
      <c r="G325" t="s">
        <v>355</v>
      </c>
      <c r="H325" t="s">
        <v>356</v>
      </c>
      <c r="I325" t="s">
        <v>82</v>
      </c>
      <c r="J325">
        <v>499</v>
      </c>
      <c r="K325">
        <v>1</v>
      </c>
      <c r="L325">
        <v>489.87</v>
      </c>
      <c r="M325">
        <v>48.99</v>
      </c>
      <c r="N325">
        <v>489.87</v>
      </c>
      <c r="O325">
        <v>440.88</v>
      </c>
      <c r="P325" t="s">
        <v>2114</v>
      </c>
      <c r="Q325" t="s">
        <v>1170</v>
      </c>
    </row>
    <row r="326" spans="1:17" x14ac:dyDescent="0.3">
      <c r="A326" t="s">
        <v>2269</v>
      </c>
      <c r="B326" t="s">
        <v>2270</v>
      </c>
      <c r="C326" s="1">
        <v>46156</v>
      </c>
      <c r="D326" t="s">
        <v>16</v>
      </c>
      <c r="E326" t="s">
        <v>50</v>
      </c>
      <c r="F326" t="s">
        <v>22</v>
      </c>
      <c r="G326" t="s">
        <v>91</v>
      </c>
      <c r="H326" t="s">
        <v>92</v>
      </c>
      <c r="I326" t="s">
        <v>37</v>
      </c>
      <c r="J326">
        <v>1899</v>
      </c>
      <c r="K326">
        <v>4</v>
      </c>
      <c r="L326">
        <v>1841.54</v>
      </c>
      <c r="M326">
        <v>1104.92</v>
      </c>
      <c r="N326">
        <v>7366.16</v>
      </c>
      <c r="O326">
        <v>6261.24</v>
      </c>
      <c r="P326" t="s">
        <v>2111</v>
      </c>
      <c r="Q326" t="s">
        <v>1479</v>
      </c>
    </row>
    <row r="327" spans="1:17" x14ac:dyDescent="0.3">
      <c r="A327" t="s">
        <v>1669</v>
      </c>
      <c r="B327" t="s">
        <v>1668</v>
      </c>
      <c r="C327" s="1">
        <v>46158</v>
      </c>
      <c r="D327" t="s">
        <v>16</v>
      </c>
      <c r="E327" t="s">
        <v>17</v>
      </c>
      <c r="F327" t="s">
        <v>74</v>
      </c>
      <c r="G327" t="s">
        <v>191</v>
      </c>
      <c r="H327" t="s">
        <v>192</v>
      </c>
      <c r="I327" t="s">
        <v>45</v>
      </c>
      <c r="J327">
        <v>699</v>
      </c>
      <c r="K327">
        <v>4</v>
      </c>
      <c r="L327">
        <v>735.86</v>
      </c>
      <c r="M327">
        <v>0</v>
      </c>
      <c r="N327">
        <v>2943.44</v>
      </c>
      <c r="O327">
        <v>2943.44</v>
      </c>
      <c r="P327" t="s">
        <v>2111</v>
      </c>
      <c r="Q327" t="s">
        <v>1479</v>
      </c>
    </row>
    <row r="328" spans="1:17" x14ac:dyDescent="0.3">
      <c r="A328" t="s">
        <v>2339</v>
      </c>
      <c r="B328" t="s">
        <v>1992</v>
      </c>
      <c r="C328" s="1">
        <v>46138</v>
      </c>
      <c r="D328" t="s">
        <v>34</v>
      </c>
      <c r="E328" t="s">
        <v>50</v>
      </c>
      <c r="F328" t="s">
        <v>31</v>
      </c>
      <c r="G328" t="s">
        <v>56</v>
      </c>
      <c r="H328" t="s">
        <v>57</v>
      </c>
      <c r="I328" t="s">
        <v>58</v>
      </c>
      <c r="J328">
        <v>8999</v>
      </c>
      <c r="K328">
        <v>1</v>
      </c>
      <c r="L328">
        <v>8273.59</v>
      </c>
      <c r="M328">
        <v>1241.04</v>
      </c>
      <c r="N328">
        <v>8273.59</v>
      </c>
      <c r="O328">
        <v>7032.55</v>
      </c>
      <c r="P328" t="s">
        <v>2111</v>
      </c>
      <c r="Q328" t="s">
        <v>1170</v>
      </c>
    </row>
    <row r="329" spans="1:17" x14ac:dyDescent="0.3">
      <c r="A329" t="s">
        <v>1455</v>
      </c>
      <c r="B329" t="s">
        <v>1454</v>
      </c>
      <c r="C329" s="1">
        <v>46140</v>
      </c>
      <c r="D329" t="s">
        <v>34</v>
      </c>
      <c r="E329" t="s">
        <v>42</v>
      </c>
      <c r="F329" t="s">
        <v>22</v>
      </c>
      <c r="G329" t="s">
        <v>160</v>
      </c>
      <c r="H329" t="s">
        <v>161</v>
      </c>
      <c r="I329" t="s">
        <v>82</v>
      </c>
      <c r="J329">
        <v>799</v>
      </c>
      <c r="K329">
        <v>1</v>
      </c>
      <c r="L329">
        <v>775.22</v>
      </c>
      <c r="M329">
        <v>116.28</v>
      </c>
      <c r="N329">
        <v>775.22</v>
      </c>
      <c r="O329">
        <v>658.94</v>
      </c>
      <c r="P329" t="s">
        <v>2111</v>
      </c>
      <c r="Q329" t="s">
        <v>1170</v>
      </c>
    </row>
    <row r="330" spans="1:17" x14ac:dyDescent="0.3">
      <c r="A330" t="s">
        <v>1904</v>
      </c>
      <c r="B330" t="s">
        <v>1903</v>
      </c>
      <c r="C330" s="1">
        <v>46182</v>
      </c>
      <c r="D330" t="s">
        <v>16</v>
      </c>
      <c r="E330" t="s">
        <v>50</v>
      </c>
      <c r="F330" t="s">
        <v>74</v>
      </c>
      <c r="G330" t="s">
        <v>355</v>
      </c>
      <c r="H330" t="s">
        <v>356</v>
      </c>
      <c r="I330" t="s">
        <v>82</v>
      </c>
      <c r="J330">
        <v>499</v>
      </c>
      <c r="K330">
        <v>1</v>
      </c>
      <c r="L330">
        <v>532.66</v>
      </c>
      <c r="M330">
        <v>26.63</v>
      </c>
      <c r="N330">
        <v>532.66</v>
      </c>
      <c r="O330">
        <v>506.03</v>
      </c>
      <c r="P330" t="s">
        <v>2111</v>
      </c>
      <c r="Q330" t="s">
        <v>1809</v>
      </c>
    </row>
    <row r="331" spans="1:17" x14ac:dyDescent="0.3">
      <c r="A331" t="s">
        <v>2340</v>
      </c>
      <c r="B331" t="s">
        <v>25</v>
      </c>
      <c r="C331" s="1">
        <v>46100</v>
      </c>
      <c r="D331" t="s">
        <v>26</v>
      </c>
      <c r="E331" t="s">
        <v>17</v>
      </c>
      <c r="F331" t="s">
        <v>31</v>
      </c>
      <c r="G331" t="s">
        <v>126</v>
      </c>
      <c r="H331" t="s">
        <v>127</v>
      </c>
      <c r="I331" t="s">
        <v>45</v>
      </c>
      <c r="J331">
        <v>2499</v>
      </c>
      <c r="K331">
        <v>1</v>
      </c>
      <c r="L331">
        <v>2282.4899999999998</v>
      </c>
      <c r="M331">
        <v>342.37</v>
      </c>
      <c r="N331">
        <v>2282.4899999999998</v>
      </c>
      <c r="O331">
        <v>1940.12</v>
      </c>
      <c r="P331" t="s">
        <v>2111</v>
      </c>
      <c r="Q331" t="s">
        <v>789</v>
      </c>
    </row>
    <row r="332" spans="1:17" x14ac:dyDescent="0.3">
      <c r="A332" t="s">
        <v>2301</v>
      </c>
      <c r="B332" t="s">
        <v>2302</v>
      </c>
      <c r="C332" s="1">
        <v>46114</v>
      </c>
      <c r="D332" t="s">
        <v>34</v>
      </c>
      <c r="E332" t="s">
        <v>50</v>
      </c>
      <c r="F332" t="s">
        <v>74</v>
      </c>
      <c r="G332" t="s">
        <v>43</v>
      </c>
      <c r="H332" t="s">
        <v>44</v>
      </c>
      <c r="I332" t="s">
        <v>45</v>
      </c>
      <c r="J332">
        <v>3299</v>
      </c>
      <c r="K332">
        <v>2</v>
      </c>
      <c r="L332">
        <v>3590.86</v>
      </c>
      <c r="M332">
        <v>359.09</v>
      </c>
      <c r="N332">
        <v>7181.72</v>
      </c>
      <c r="O332">
        <v>6822.63</v>
      </c>
      <c r="P332" t="s">
        <v>2111</v>
      </c>
      <c r="Q332" t="s">
        <v>1170</v>
      </c>
    </row>
    <row r="333" spans="1:17" x14ac:dyDescent="0.3">
      <c r="A333" t="s">
        <v>2143</v>
      </c>
      <c r="B333" t="s">
        <v>2144</v>
      </c>
      <c r="C333" s="1">
        <v>46066</v>
      </c>
      <c r="D333" t="s">
        <v>26</v>
      </c>
      <c r="E333" t="s">
        <v>50</v>
      </c>
      <c r="F333" t="s">
        <v>47</v>
      </c>
      <c r="G333" t="s">
        <v>126</v>
      </c>
      <c r="H333" t="s">
        <v>127</v>
      </c>
      <c r="I333" t="s">
        <v>45</v>
      </c>
      <c r="J333">
        <v>2499</v>
      </c>
      <c r="K333">
        <v>1</v>
      </c>
      <c r="L333">
        <v>2742.06</v>
      </c>
      <c r="M333">
        <v>0</v>
      </c>
      <c r="N333">
        <v>2742.06</v>
      </c>
      <c r="O333">
        <v>2742.06</v>
      </c>
      <c r="P333" t="s">
        <v>2111</v>
      </c>
      <c r="Q333" t="s">
        <v>498</v>
      </c>
    </row>
    <row r="334" spans="1:17" x14ac:dyDescent="0.3">
      <c r="A334" t="s">
        <v>564</v>
      </c>
      <c r="B334" t="s">
        <v>563</v>
      </c>
      <c r="C334" s="1">
        <v>46059</v>
      </c>
      <c r="D334" t="s">
        <v>63</v>
      </c>
      <c r="E334" t="s">
        <v>50</v>
      </c>
      <c r="F334" t="s">
        <v>22</v>
      </c>
      <c r="G334" t="s">
        <v>191</v>
      </c>
      <c r="H334" t="s">
        <v>192</v>
      </c>
      <c r="I334" t="s">
        <v>45</v>
      </c>
      <c r="J334">
        <v>699</v>
      </c>
      <c r="K334">
        <v>1</v>
      </c>
      <c r="L334">
        <v>641.48</v>
      </c>
      <c r="M334">
        <v>32.07</v>
      </c>
      <c r="N334">
        <v>641.48</v>
      </c>
      <c r="O334">
        <v>609.41</v>
      </c>
      <c r="P334" t="s">
        <v>2111</v>
      </c>
      <c r="Q334" t="s">
        <v>498</v>
      </c>
    </row>
    <row r="335" spans="1:17" x14ac:dyDescent="0.3">
      <c r="A335" t="s">
        <v>2341</v>
      </c>
      <c r="B335" t="s">
        <v>1989</v>
      </c>
      <c r="C335" s="1">
        <v>46203</v>
      </c>
      <c r="D335" t="s">
        <v>41</v>
      </c>
      <c r="E335" t="s">
        <v>50</v>
      </c>
      <c r="F335" t="s">
        <v>74</v>
      </c>
      <c r="G335" t="s">
        <v>101</v>
      </c>
      <c r="H335" t="s">
        <v>102</v>
      </c>
      <c r="I335" t="s">
        <v>45</v>
      </c>
      <c r="J335">
        <v>4999</v>
      </c>
      <c r="K335">
        <v>1</v>
      </c>
      <c r="L335">
        <v>4790.3100000000004</v>
      </c>
      <c r="M335">
        <v>0</v>
      </c>
      <c r="N335">
        <v>4790.3100000000004</v>
      </c>
      <c r="O335">
        <v>4790.3100000000004</v>
      </c>
      <c r="P335" t="s">
        <v>2111</v>
      </c>
      <c r="Q335" t="s">
        <v>1809</v>
      </c>
    </row>
    <row r="336" spans="1:17" x14ac:dyDescent="0.3">
      <c r="A336" t="s">
        <v>2076</v>
      </c>
      <c r="B336" t="s">
        <v>2075</v>
      </c>
      <c r="C336" s="1">
        <v>46201</v>
      </c>
      <c r="D336" t="s">
        <v>26</v>
      </c>
      <c r="E336" t="s">
        <v>50</v>
      </c>
      <c r="F336" t="s">
        <v>47</v>
      </c>
      <c r="G336" t="s">
        <v>96</v>
      </c>
      <c r="H336" t="s">
        <v>97</v>
      </c>
      <c r="I336" t="s">
        <v>58</v>
      </c>
      <c r="J336">
        <v>7499</v>
      </c>
      <c r="K336">
        <v>4</v>
      </c>
      <c r="L336">
        <v>7307.63</v>
      </c>
      <c r="M336">
        <v>1461.53</v>
      </c>
      <c r="N336">
        <v>29230.52</v>
      </c>
      <c r="O336">
        <v>27768.99</v>
      </c>
      <c r="P336" t="s">
        <v>2111</v>
      </c>
      <c r="Q336" t="s">
        <v>1809</v>
      </c>
    </row>
    <row r="337" spans="1:17" x14ac:dyDescent="0.3">
      <c r="A337" t="s">
        <v>2136</v>
      </c>
      <c r="B337" t="s">
        <v>2137</v>
      </c>
      <c r="C337" s="1">
        <v>46106</v>
      </c>
      <c r="D337" t="s">
        <v>26</v>
      </c>
      <c r="E337" t="s">
        <v>17</v>
      </c>
      <c r="F337" t="s">
        <v>47</v>
      </c>
      <c r="G337" t="s">
        <v>51</v>
      </c>
      <c r="H337" t="s">
        <v>52</v>
      </c>
      <c r="I337" t="s">
        <v>20</v>
      </c>
      <c r="J337">
        <v>999</v>
      </c>
      <c r="K337">
        <v>2</v>
      </c>
      <c r="L337">
        <v>1054.22</v>
      </c>
      <c r="M337">
        <v>210.84</v>
      </c>
      <c r="N337">
        <v>2108.44</v>
      </c>
      <c r="O337">
        <v>1897.6</v>
      </c>
      <c r="P337" t="s">
        <v>2111</v>
      </c>
      <c r="Q337" t="s">
        <v>789</v>
      </c>
    </row>
    <row r="338" spans="1:17" x14ac:dyDescent="0.3">
      <c r="A338" t="s">
        <v>567</v>
      </c>
      <c r="B338" t="s">
        <v>566</v>
      </c>
      <c r="C338" s="1">
        <v>46060</v>
      </c>
      <c r="D338" t="s">
        <v>16</v>
      </c>
      <c r="E338" t="s">
        <v>17</v>
      </c>
      <c r="F338" t="s">
        <v>31</v>
      </c>
      <c r="G338" t="s">
        <v>91</v>
      </c>
      <c r="H338" t="s">
        <v>92</v>
      </c>
      <c r="I338" t="s">
        <v>37</v>
      </c>
      <c r="J338">
        <v>1899</v>
      </c>
      <c r="K338">
        <v>1</v>
      </c>
      <c r="L338">
        <v>1935.43</v>
      </c>
      <c r="M338">
        <v>193.54</v>
      </c>
      <c r="N338">
        <v>1935.43</v>
      </c>
      <c r="O338">
        <v>1741.89</v>
      </c>
      <c r="P338" t="s">
        <v>2111</v>
      </c>
      <c r="Q338" t="s">
        <v>498</v>
      </c>
    </row>
    <row r="339" spans="1:17" x14ac:dyDescent="0.3">
      <c r="A339" t="s">
        <v>2342</v>
      </c>
      <c r="B339" t="s">
        <v>589</v>
      </c>
      <c r="C339" s="1">
        <v>46129</v>
      </c>
      <c r="D339" t="s">
        <v>41</v>
      </c>
      <c r="E339" t="s">
        <v>17</v>
      </c>
      <c r="F339" t="s">
        <v>22</v>
      </c>
      <c r="G339" t="s">
        <v>191</v>
      </c>
      <c r="H339" t="s">
        <v>192</v>
      </c>
      <c r="I339" t="s">
        <v>45</v>
      </c>
      <c r="J339">
        <v>699</v>
      </c>
      <c r="K339">
        <v>1</v>
      </c>
      <c r="L339">
        <v>719.18</v>
      </c>
      <c r="M339">
        <v>71.92</v>
      </c>
      <c r="N339">
        <v>719.18</v>
      </c>
      <c r="O339">
        <v>647.26</v>
      </c>
      <c r="P339" t="s">
        <v>2111</v>
      </c>
      <c r="Q339" t="s">
        <v>1170</v>
      </c>
    </row>
    <row r="340" spans="1:17" x14ac:dyDescent="0.3">
      <c r="A340" t="s">
        <v>303</v>
      </c>
      <c r="B340" t="s">
        <v>302</v>
      </c>
      <c r="C340" s="1">
        <v>46037</v>
      </c>
      <c r="D340" t="s">
        <v>63</v>
      </c>
      <c r="E340" t="s">
        <v>17</v>
      </c>
      <c r="F340" t="s">
        <v>22</v>
      </c>
      <c r="G340" t="s">
        <v>160</v>
      </c>
      <c r="H340" t="s">
        <v>161</v>
      </c>
      <c r="I340" t="s">
        <v>82</v>
      </c>
      <c r="J340">
        <v>799</v>
      </c>
      <c r="K340">
        <v>4</v>
      </c>
      <c r="L340">
        <v>840.15</v>
      </c>
      <c r="M340">
        <v>168.03</v>
      </c>
      <c r="N340">
        <v>3360.6</v>
      </c>
      <c r="O340">
        <v>3192.57</v>
      </c>
      <c r="P340" t="s">
        <v>2111</v>
      </c>
      <c r="Q340" t="s">
        <v>23</v>
      </c>
    </row>
    <row r="341" spans="1:17" x14ac:dyDescent="0.3">
      <c r="A341" t="s">
        <v>2343</v>
      </c>
      <c r="B341" t="s">
        <v>2344</v>
      </c>
      <c r="C341" s="1">
        <v>46120</v>
      </c>
      <c r="D341" t="s">
        <v>16</v>
      </c>
      <c r="E341" t="s">
        <v>42</v>
      </c>
      <c r="F341" t="s">
        <v>60</v>
      </c>
      <c r="G341" t="s">
        <v>91</v>
      </c>
      <c r="H341" t="s">
        <v>92</v>
      </c>
      <c r="I341" t="s">
        <v>37</v>
      </c>
      <c r="J341">
        <v>1899</v>
      </c>
      <c r="K341">
        <v>2</v>
      </c>
      <c r="L341">
        <v>1753.91</v>
      </c>
      <c r="M341">
        <v>0</v>
      </c>
      <c r="N341">
        <v>3507.82</v>
      </c>
      <c r="O341">
        <v>3507.82</v>
      </c>
      <c r="P341" t="s">
        <v>2111</v>
      </c>
      <c r="Q341" t="s">
        <v>1170</v>
      </c>
    </row>
    <row r="342" spans="1:17" x14ac:dyDescent="0.3">
      <c r="A342" t="s">
        <v>1722</v>
      </c>
      <c r="B342" t="s">
        <v>1721</v>
      </c>
      <c r="C342" s="1">
        <v>46164</v>
      </c>
      <c r="D342" t="s">
        <v>26</v>
      </c>
      <c r="E342" t="s">
        <v>50</v>
      </c>
      <c r="F342" t="s">
        <v>74</v>
      </c>
      <c r="G342" t="s">
        <v>91</v>
      </c>
      <c r="H342" t="s">
        <v>92</v>
      </c>
      <c r="I342" t="s">
        <v>37</v>
      </c>
      <c r="J342">
        <v>1899</v>
      </c>
      <c r="K342">
        <v>1</v>
      </c>
      <c r="L342">
        <v>2025.55</v>
      </c>
      <c r="M342">
        <v>202.56</v>
      </c>
      <c r="N342">
        <v>2025.55</v>
      </c>
      <c r="O342">
        <v>1822.99</v>
      </c>
      <c r="P342" t="s">
        <v>2111</v>
      </c>
      <c r="Q342" t="s">
        <v>1479</v>
      </c>
    </row>
    <row r="343" spans="1:17" x14ac:dyDescent="0.3">
      <c r="A343" t="s">
        <v>2345</v>
      </c>
      <c r="B343" t="s">
        <v>1504</v>
      </c>
      <c r="C343" s="1">
        <v>46039</v>
      </c>
      <c r="D343" t="s">
        <v>26</v>
      </c>
      <c r="E343" t="s">
        <v>17</v>
      </c>
      <c r="F343" t="s">
        <v>74</v>
      </c>
      <c r="G343" t="s">
        <v>112</v>
      </c>
      <c r="H343" t="s">
        <v>113</v>
      </c>
      <c r="I343" t="s">
        <v>37</v>
      </c>
      <c r="J343">
        <v>1499</v>
      </c>
      <c r="K343">
        <v>1</v>
      </c>
      <c r="L343">
        <v>1560.64</v>
      </c>
      <c r="M343">
        <v>156.06</v>
      </c>
      <c r="N343">
        <v>1560.64</v>
      </c>
      <c r="O343">
        <v>1404.58</v>
      </c>
      <c r="P343" t="s">
        <v>2111</v>
      </c>
      <c r="Q343" t="s">
        <v>23</v>
      </c>
    </row>
    <row r="344" spans="1:17" x14ac:dyDescent="0.3">
      <c r="A344" t="s">
        <v>2346</v>
      </c>
      <c r="B344" t="s">
        <v>2347</v>
      </c>
      <c r="C344" s="1">
        <v>46075</v>
      </c>
      <c r="D344" t="s">
        <v>41</v>
      </c>
      <c r="E344" t="s">
        <v>50</v>
      </c>
      <c r="F344" t="s">
        <v>31</v>
      </c>
      <c r="G344" t="s">
        <v>86</v>
      </c>
      <c r="H344" t="s">
        <v>87</v>
      </c>
      <c r="I344" t="s">
        <v>82</v>
      </c>
      <c r="J344">
        <v>3499</v>
      </c>
      <c r="K344">
        <v>1</v>
      </c>
      <c r="L344">
        <v>3553.12</v>
      </c>
      <c r="M344">
        <v>177.66</v>
      </c>
      <c r="N344">
        <v>3553.12</v>
      </c>
      <c r="O344">
        <v>3375.46</v>
      </c>
      <c r="P344" t="s">
        <v>2111</v>
      </c>
      <c r="Q344" t="s">
        <v>498</v>
      </c>
    </row>
    <row r="345" spans="1:17" x14ac:dyDescent="0.3">
      <c r="A345" t="s">
        <v>134</v>
      </c>
      <c r="B345" t="s">
        <v>133</v>
      </c>
      <c r="C345" s="1">
        <v>46028</v>
      </c>
      <c r="D345" t="s">
        <v>41</v>
      </c>
      <c r="E345" t="s">
        <v>50</v>
      </c>
      <c r="F345" t="s">
        <v>31</v>
      </c>
      <c r="G345" t="s">
        <v>106</v>
      </c>
      <c r="H345" t="s">
        <v>107</v>
      </c>
      <c r="I345" t="s">
        <v>108</v>
      </c>
      <c r="J345">
        <v>599</v>
      </c>
      <c r="K345">
        <v>1</v>
      </c>
      <c r="L345">
        <v>645.69000000000005</v>
      </c>
      <c r="M345">
        <v>129.13999999999999</v>
      </c>
      <c r="N345">
        <v>645.69000000000005</v>
      </c>
      <c r="O345">
        <v>516.54999999999995</v>
      </c>
      <c r="P345" t="s">
        <v>2111</v>
      </c>
      <c r="Q345" t="s">
        <v>23</v>
      </c>
    </row>
    <row r="346" spans="1:17" x14ac:dyDescent="0.3">
      <c r="A346" t="s">
        <v>2348</v>
      </c>
      <c r="B346" t="s">
        <v>2349</v>
      </c>
      <c r="C346" s="1">
        <v>46058</v>
      </c>
      <c r="D346" t="s">
        <v>63</v>
      </c>
      <c r="E346" t="s">
        <v>17</v>
      </c>
      <c r="F346" t="s">
        <v>60</v>
      </c>
      <c r="G346" t="s">
        <v>250</v>
      </c>
      <c r="H346" t="s">
        <v>251</v>
      </c>
      <c r="I346" t="s">
        <v>108</v>
      </c>
      <c r="J346">
        <v>899</v>
      </c>
      <c r="K346">
        <v>1</v>
      </c>
      <c r="L346">
        <v>935.02</v>
      </c>
      <c r="M346">
        <v>140.25</v>
      </c>
      <c r="N346">
        <v>935.02</v>
      </c>
      <c r="O346">
        <v>794.77</v>
      </c>
      <c r="P346" t="s">
        <v>2111</v>
      </c>
      <c r="Q346" t="s">
        <v>498</v>
      </c>
    </row>
    <row r="347" spans="1:17" x14ac:dyDescent="0.3">
      <c r="A347" t="s">
        <v>1722</v>
      </c>
      <c r="B347" t="s">
        <v>1721</v>
      </c>
      <c r="C347" s="1">
        <v>46164</v>
      </c>
      <c r="D347" t="s">
        <v>26</v>
      </c>
      <c r="E347" t="s">
        <v>50</v>
      </c>
      <c r="F347" t="s">
        <v>74</v>
      </c>
      <c r="G347" t="s">
        <v>149</v>
      </c>
      <c r="H347" t="s">
        <v>150</v>
      </c>
      <c r="I347" t="s">
        <v>37</v>
      </c>
      <c r="J347">
        <v>2999</v>
      </c>
      <c r="K347">
        <v>3</v>
      </c>
      <c r="L347">
        <v>2820.08</v>
      </c>
      <c r="M347">
        <v>1692.05</v>
      </c>
      <c r="N347">
        <v>8460.24</v>
      </c>
      <c r="O347">
        <v>6768.19</v>
      </c>
      <c r="P347" t="s">
        <v>2114</v>
      </c>
      <c r="Q347" t="s">
        <v>1479</v>
      </c>
    </row>
    <row r="348" spans="1:17" x14ac:dyDescent="0.3">
      <c r="A348" t="s">
        <v>258</v>
      </c>
      <c r="B348" t="s">
        <v>257</v>
      </c>
      <c r="C348" s="1">
        <v>46035</v>
      </c>
      <c r="D348" t="s">
        <v>26</v>
      </c>
      <c r="E348" t="s">
        <v>17</v>
      </c>
      <c r="F348" t="s">
        <v>74</v>
      </c>
      <c r="G348" t="s">
        <v>355</v>
      </c>
      <c r="H348" t="s">
        <v>356</v>
      </c>
      <c r="I348" t="s">
        <v>82</v>
      </c>
      <c r="J348">
        <v>499</v>
      </c>
      <c r="K348">
        <v>1</v>
      </c>
      <c r="L348">
        <v>491.99</v>
      </c>
      <c r="M348">
        <v>49.2</v>
      </c>
      <c r="N348">
        <v>491.99</v>
      </c>
      <c r="O348">
        <v>442.79</v>
      </c>
      <c r="P348" t="s">
        <v>2111</v>
      </c>
      <c r="Q348" t="s">
        <v>23</v>
      </c>
    </row>
    <row r="349" spans="1:17" x14ac:dyDescent="0.3">
      <c r="A349" t="s">
        <v>1694</v>
      </c>
      <c r="B349" t="s">
        <v>1693</v>
      </c>
      <c r="C349" s="1">
        <v>46161</v>
      </c>
      <c r="D349" t="s">
        <v>63</v>
      </c>
      <c r="E349" t="s">
        <v>42</v>
      </c>
      <c r="F349" t="s">
        <v>31</v>
      </c>
      <c r="G349" t="s">
        <v>106</v>
      </c>
      <c r="H349" t="s">
        <v>107</v>
      </c>
      <c r="I349" t="s">
        <v>108</v>
      </c>
      <c r="J349">
        <v>599</v>
      </c>
      <c r="K349">
        <v>2</v>
      </c>
      <c r="L349">
        <v>598.29</v>
      </c>
      <c r="M349">
        <v>0</v>
      </c>
      <c r="N349">
        <v>1196.58</v>
      </c>
      <c r="O349">
        <v>1196.58</v>
      </c>
      <c r="P349" t="s">
        <v>2111</v>
      </c>
      <c r="Q349" t="s">
        <v>1479</v>
      </c>
    </row>
    <row r="350" spans="1:17" x14ac:dyDescent="0.3">
      <c r="A350" t="s">
        <v>2350</v>
      </c>
      <c r="B350" t="s">
        <v>2351</v>
      </c>
      <c r="C350" s="1">
        <v>46106</v>
      </c>
      <c r="D350" t="s">
        <v>34</v>
      </c>
      <c r="E350" t="s">
        <v>17</v>
      </c>
      <c r="F350" t="s">
        <v>60</v>
      </c>
      <c r="G350" t="s">
        <v>51</v>
      </c>
      <c r="H350" t="s">
        <v>52</v>
      </c>
      <c r="I350" t="s">
        <v>20</v>
      </c>
      <c r="J350">
        <v>999</v>
      </c>
      <c r="K350">
        <v>1</v>
      </c>
      <c r="L350">
        <v>910.13</v>
      </c>
      <c r="M350">
        <v>136.52000000000001</v>
      </c>
      <c r="N350">
        <v>910.13</v>
      </c>
      <c r="O350">
        <v>773.61</v>
      </c>
      <c r="P350" t="s">
        <v>2111</v>
      </c>
      <c r="Q350" t="s">
        <v>789</v>
      </c>
    </row>
    <row r="351" spans="1:17" x14ac:dyDescent="0.3">
      <c r="A351" t="s">
        <v>1048</v>
      </c>
      <c r="B351" t="s">
        <v>1047</v>
      </c>
      <c r="C351" s="1">
        <v>46101</v>
      </c>
      <c r="D351" t="s">
        <v>34</v>
      </c>
      <c r="E351" t="s">
        <v>17</v>
      </c>
      <c r="F351" t="s">
        <v>22</v>
      </c>
      <c r="G351" t="s">
        <v>91</v>
      </c>
      <c r="H351" t="s">
        <v>92</v>
      </c>
      <c r="I351" t="s">
        <v>37</v>
      </c>
      <c r="J351">
        <v>1899</v>
      </c>
      <c r="K351">
        <v>2</v>
      </c>
      <c r="L351">
        <v>2071.67</v>
      </c>
      <c r="M351">
        <v>207.17</v>
      </c>
      <c r="N351">
        <v>4143.34</v>
      </c>
      <c r="O351">
        <v>3936.17</v>
      </c>
      <c r="P351" t="s">
        <v>2111</v>
      </c>
      <c r="Q351" t="s">
        <v>789</v>
      </c>
    </row>
    <row r="352" spans="1:17" x14ac:dyDescent="0.3">
      <c r="A352" t="s">
        <v>740</v>
      </c>
      <c r="B352" t="s">
        <v>739</v>
      </c>
      <c r="C352" s="1">
        <v>46077</v>
      </c>
      <c r="D352" t="s">
        <v>26</v>
      </c>
      <c r="E352" t="s">
        <v>17</v>
      </c>
      <c r="F352" t="s">
        <v>60</v>
      </c>
      <c r="G352" t="s">
        <v>165</v>
      </c>
      <c r="H352" t="s">
        <v>166</v>
      </c>
      <c r="I352" t="s">
        <v>29</v>
      </c>
      <c r="J352">
        <v>449</v>
      </c>
      <c r="K352">
        <v>2</v>
      </c>
      <c r="L352">
        <v>415.65</v>
      </c>
      <c r="M352">
        <v>83.13</v>
      </c>
      <c r="N352">
        <v>831.3</v>
      </c>
      <c r="O352">
        <v>748.17</v>
      </c>
      <c r="P352" t="s">
        <v>2111</v>
      </c>
      <c r="Q352" t="s">
        <v>498</v>
      </c>
    </row>
    <row r="353" spans="1:17" x14ac:dyDescent="0.3">
      <c r="A353" t="s">
        <v>2352</v>
      </c>
      <c r="B353" t="s">
        <v>2353</v>
      </c>
      <c r="C353" s="1">
        <v>46075</v>
      </c>
      <c r="D353" t="s">
        <v>63</v>
      </c>
      <c r="E353" t="s">
        <v>50</v>
      </c>
      <c r="F353" t="s">
        <v>47</v>
      </c>
      <c r="G353" t="s">
        <v>191</v>
      </c>
      <c r="H353" t="s">
        <v>192</v>
      </c>
      <c r="I353" t="s">
        <v>45</v>
      </c>
      <c r="J353">
        <v>699</v>
      </c>
      <c r="K353">
        <v>1</v>
      </c>
      <c r="L353">
        <v>726.61</v>
      </c>
      <c r="M353">
        <v>0</v>
      </c>
      <c r="N353">
        <v>726.61</v>
      </c>
      <c r="O353">
        <v>726.61</v>
      </c>
      <c r="P353" t="s">
        <v>2111</v>
      </c>
      <c r="Q353" t="s">
        <v>498</v>
      </c>
    </row>
    <row r="354" spans="1:17" x14ac:dyDescent="0.3">
      <c r="A354" t="s">
        <v>1118</v>
      </c>
      <c r="B354" t="s">
        <v>1117</v>
      </c>
      <c r="C354" s="1">
        <v>46108</v>
      </c>
      <c r="D354" t="s">
        <v>26</v>
      </c>
      <c r="E354" t="s">
        <v>17</v>
      </c>
      <c r="F354" t="s">
        <v>22</v>
      </c>
      <c r="G354" t="s">
        <v>86</v>
      </c>
      <c r="H354" t="s">
        <v>87</v>
      </c>
      <c r="I354" t="s">
        <v>82</v>
      </c>
      <c r="J354">
        <v>3499</v>
      </c>
      <c r="K354">
        <v>1</v>
      </c>
      <c r="L354">
        <v>3503.36</v>
      </c>
      <c r="M354">
        <v>525.5</v>
      </c>
      <c r="N354">
        <v>3503.36</v>
      </c>
      <c r="O354">
        <v>2977.86</v>
      </c>
      <c r="P354" t="s">
        <v>2111</v>
      </c>
      <c r="Q354" t="s">
        <v>789</v>
      </c>
    </row>
    <row r="355" spans="1:17" x14ac:dyDescent="0.3">
      <c r="A355" t="s">
        <v>1544</v>
      </c>
      <c r="B355" t="s">
        <v>1543</v>
      </c>
      <c r="C355" s="1">
        <v>46148</v>
      </c>
      <c r="D355" t="s">
        <v>16</v>
      </c>
      <c r="E355" t="s">
        <v>17</v>
      </c>
      <c r="F355" t="s">
        <v>31</v>
      </c>
      <c r="G355" t="s">
        <v>96</v>
      </c>
      <c r="H355" t="s">
        <v>97</v>
      </c>
      <c r="I355" t="s">
        <v>58</v>
      </c>
      <c r="J355">
        <v>7499</v>
      </c>
      <c r="K355">
        <v>2</v>
      </c>
      <c r="L355">
        <v>6787.54</v>
      </c>
      <c r="M355">
        <v>0</v>
      </c>
      <c r="N355">
        <v>13575.08</v>
      </c>
      <c r="O355">
        <v>13575.08</v>
      </c>
      <c r="P355" t="s">
        <v>2111</v>
      </c>
      <c r="Q355" t="s">
        <v>1479</v>
      </c>
    </row>
    <row r="356" spans="1:17" x14ac:dyDescent="0.3">
      <c r="A356" t="s">
        <v>2354</v>
      </c>
      <c r="B356" t="s">
        <v>2355</v>
      </c>
      <c r="C356" s="1">
        <v>46201</v>
      </c>
      <c r="D356" t="s">
        <v>34</v>
      </c>
      <c r="E356" t="s">
        <v>17</v>
      </c>
      <c r="F356" t="s">
        <v>74</v>
      </c>
      <c r="G356" t="s">
        <v>355</v>
      </c>
      <c r="H356" t="s">
        <v>356</v>
      </c>
      <c r="I356" t="s">
        <v>82</v>
      </c>
      <c r="J356">
        <v>499</v>
      </c>
      <c r="K356">
        <v>1</v>
      </c>
      <c r="L356">
        <v>541.39</v>
      </c>
      <c r="M356">
        <v>108.28</v>
      </c>
      <c r="N356">
        <v>541.39</v>
      </c>
      <c r="O356">
        <v>433.11</v>
      </c>
      <c r="P356" t="s">
        <v>2111</v>
      </c>
      <c r="Q356" t="s">
        <v>1809</v>
      </c>
    </row>
    <row r="357" spans="1:17" x14ac:dyDescent="0.3">
      <c r="A357" t="s">
        <v>1753</v>
      </c>
      <c r="B357" t="s">
        <v>1752</v>
      </c>
      <c r="C357" s="1">
        <v>46168</v>
      </c>
      <c r="D357" t="s">
        <v>16</v>
      </c>
      <c r="E357" t="s">
        <v>17</v>
      </c>
      <c r="F357" t="s">
        <v>47</v>
      </c>
      <c r="G357" t="s">
        <v>96</v>
      </c>
      <c r="H357" t="s">
        <v>97</v>
      </c>
      <c r="I357" t="s">
        <v>58</v>
      </c>
      <c r="J357">
        <v>7499</v>
      </c>
      <c r="K357">
        <v>1</v>
      </c>
      <c r="L357">
        <v>8026.68</v>
      </c>
      <c r="M357">
        <v>1605.34</v>
      </c>
      <c r="N357">
        <v>8026.68</v>
      </c>
      <c r="O357">
        <v>6421.34</v>
      </c>
      <c r="P357" t="s">
        <v>2111</v>
      </c>
      <c r="Q357" t="s">
        <v>1479</v>
      </c>
    </row>
    <row r="358" spans="1:17" x14ac:dyDescent="0.3">
      <c r="A358" t="s">
        <v>1681</v>
      </c>
      <c r="B358" t="s">
        <v>1680</v>
      </c>
      <c r="C358" s="1">
        <v>46159</v>
      </c>
      <c r="D358" t="s">
        <v>34</v>
      </c>
      <c r="E358" t="s">
        <v>17</v>
      </c>
      <c r="F358" t="s">
        <v>47</v>
      </c>
      <c r="G358" t="s">
        <v>165</v>
      </c>
      <c r="H358" t="s">
        <v>166</v>
      </c>
      <c r="I358" t="s">
        <v>29</v>
      </c>
      <c r="J358">
        <v>449</v>
      </c>
      <c r="K358">
        <v>1</v>
      </c>
      <c r="L358">
        <v>451.18</v>
      </c>
      <c r="M358">
        <v>45.12</v>
      </c>
      <c r="N358">
        <v>451.18</v>
      </c>
      <c r="O358">
        <v>406.06</v>
      </c>
      <c r="P358" t="s">
        <v>2114</v>
      </c>
      <c r="Q358" t="s">
        <v>1479</v>
      </c>
    </row>
    <row r="359" spans="1:17" x14ac:dyDescent="0.3">
      <c r="A359" t="s">
        <v>1475</v>
      </c>
      <c r="B359" t="s">
        <v>1474</v>
      </c>
      <c r="C359" s="1">
        <v>46142</v>
      </c>
      <c r="D359" t="s">
        <v>26</v>
      </c>
      <c r="E359" t="s">
        <v>17</v>
      </c>
      <c r="F359" t="s">
        <v>22</v>
      </c>
      <c r="G359" t="s">
        <v>43</v>
      </c>
      <c r="H359" t="s">
        <v>44</v>
      </c>
      <c r="I359" t="s">
        <v>45</v>
      </c>
      <c r="J359">
        <v>3299</v>
      </c>
      <c r="K359">
        <v>4</v>
      </c>
      <c r="L359">
        <v>3120.16</v>
      </c>
      <c r="M359">
        <v>1872.1</v>
      </c>
      <c r="N359">
        <v>12480.64</v>
      </c>
      <c r="O359">
        <v>10608.54</v>
      </c>
      <c r="P359" t="s">
        <v>2111</v>
      </c>
      <c r="Q359" t="s">
        <v>1170</v>
      </c>
    </row>
    <row r="360" spans="1:17" x14ac:dyDescent="0.3">
      <c r="A360" t="s">
        <v>2356</v>
      </c>
      <c r="B360" t="s">
        <v>195</v>
      </c>
      <c r="C360" s="1">
        <v>46157</v>
      </c>
      <c r="D360" t="s">
        <v>41</v>
      </c>
      <c r="E360" t="s">
        <v>50</v>
      </c>
      <c r="F360" t="s">
        <v>31</v>
      </c>
      <c r="G360" t="s">
        <v>149</v>
      </c>
      <c r="H360" t="s">
        <v>150</v>
      </c>
      <c r="I360" t="s">
        <v>37</v>
      </c>
      <c r="J360">
        <v>2999</v>
      </c>
      <c r="K360">
        <v>1</v>
      </c>
      <c r="L360">
        <v>2772.05</v>
      </c>
      <c r="M360">
        <v>277.20999999999998</v>
      </c>
      <c r="N360">
        <v>2772.05</v>
      </c>
      <c r="O360">
        <v>2494.84</v>
      </c>
      <c r="P360" t="s">
        <v>2111</v>
      </c>
      <c r="Q360" t="s">
        <v>1479</v>
      </c>
    </row>
    <row r="361" spans="1:17" x14ac:dyDescent="0.3">
      <c r="A361" t="s">
        <v>569</v>
      </c>
      <c r="B361" t="s">
        <v>263</v>
      </c>
      <c r="C361" s="1">
        <v>46060</v>
      </c>
      <c r="D361" t="s">
        <v>26</v>
      </c>
      <c r="E361" t="s">
        <v>50</v>
      </c>
      <c r="F361" t="s">
        <v>47</v>
      </c>
      <c r="G361" t="s">
        <v>101</v>
      </c>
      <c r="H361" t="s">
        <v>102</v>
      </c>
      <c r="I361" t="s">
        <v>45</v>
      </c>
      <c r="J361">
        <v>4999</v>
      </c>
      <c r="K361">
        <v>2</v>
      </c>
      <c r="L361">
        <v>4862.42</v>
      </c>
      <c r="M361">
        <v>1458.73</v>
      </c>
      <c r="N361">
        <v>9724.84</v>
      </c>
      <c r="O361">
        <v>8266.11</v>
      </c>
      <c r="P361" t="s">
        <v>2111</v>
      </c>
      <c r="Q361" t="s">
        <v>498</v>
      </c>
    </row>
    <row r="362" spans="1:17" x14ac:dyDescent="0.3">
      <c r="A362" t="s">
        <v>2357</v>
      </c>
      <c r="B362" t="s">
        <v>2358</v>
      </c>
      <c r="C362" s="1">
        <v>46111</v>
      </c>
      <c r="D362" t="s">
        <v>63</v>
      </c>
      <c r="E362" t="s">
        <v>17</v>
      </c>
      <c r="F362" t="s">
        <v>47</v>
      </c>
      <c r="G362" t="s">
        <v>43</v>
      </c>
      <c r="H362" t="s">
        <v>44</v>
      </c>
      <c r="I362" t="s">
        <v>45</v>
      </c>
      <c r="J362">
        <v>3299</v>
      </c>
      <c r="K362">
        <v>1</v>
      </c>
      <c r="L362">
        <v>3137.63</v>
      </c>
      <c r="M362">
        <v>313.76</v>
      </c>
      <c r="N362">
        <v>3137.63</v>
      </c>
      <c r="O362">
        <v>2823.87</v>
      </c>
      <c r="P362" t="s">
        <v>2111</v>
      </c>
      <c r="Q362" t="s">
        <v>789</v>
      </c>
    </row>
    <row r="363" spans="1:17" x14ac:dyDescent="0.3">
      <c r="A363" t="s">
        <v>1726</v>
      </c>
      <c r="B363" t="s">
        <v>666</v>
      </c>
      <c r="C363" s="1">
        <v>46165</v>
      </c>
      <c r="D363" t="s">
        <v>16</v>
      </c>
      <c r="E363" t="s">
        <v>17</v>
      </c>
      <c r="F363" t="s">
        <v>74</v>
      </c>
      <c r="G363" t="s">
        <v>112</v>
      </c>
      <c r="H363" t="s">
        <v>113</v>
      </c>
      <c r="I363" t="s">
        <v>37</v>
      </c>
      <c r="J363">
        <v>1499</v>
      </c>
      <c r="K363">
        <v>2</v>
      </c>
      <c r="L363">
        <v>1501.01</v>
      </c>
      <c r="M363">
        <v>450.3</v>
      </c>
      <c r="N363">
        <v>3002.02</v>
      </c>
      <c r="O363">
        <v>2551.7199999999998</v>
      </c>
      <c r="P363" t="s">
        <v>2111</v>
      </c>
      <c r="Q363" t="s">
        <v>1479</v>
      </c>
    </row>
    <row r="364" spans="1:17" x14ac:dyDescent="0.3">
      <c r="A364" t="s">
        <v>1380</v>
      </c>
      <c r="B364" t="s">
        <v>1290</v>
      </c>
      <c r="C364" s="1">
        <v>46134</v>
      </c>
      <c r="D364" t="s">
        <v>34</v>
      </c>
      <c r="E364" t="s">
        <v>17</v>
      </c>
      <c r="F364" t="s">
        <v>74</v>
      </c>
      <c r="G364" t="s">
        <v>106</v>
      </c>
      <c r="H364" t="s">
        <v>107</v>
      </c>
      <c r="I364" t="s">
        <v>108</v>
      </c>
      <c r="J364">
        <v>599</v>
      </c>
      <c r="K364">
        <v>1</v>
      </c>
      <c r="L364">
        <v>654.88</v>
      </c>
      <c r="M364">
        <v>65.489999999999995</v>
      </c>
      <c r="N364">
        <v>654.88</v>
      </c>
      <c r="O364">
        <v>589.39</v>
      </c>
      <c r="P364" t="s">
        <v>2111</v>
      </c>
      <c r="Q364" t="s">
        <v>1170</v>
      </c>
    </row>
    <row r="365" spans="1:17" x14ac:dyDescent="0.3">
      <c r="A365" t="s">
        <v>1418</v>
      </c>
      <c r="B365" t="s">
        <v>1417</v>
      </c>
      <c r="C365" s="1">
        <v>46137</v>
      </c>
      <c r="D365" t="s">
        <v>63</v>
      </c>
      <c r="E365" t="s">
        <v>50</v>
      </c>
      <c r="F365" t="s">
        <v>31</v>
      </c>
      <c r="G365" t="s">
        <v>101</v>
      </c>
      <c r="H365" t="s">
        <v>102</v>
      </c>
      <c r="I365" t="s">
        <v>45</v>
      </c>
      <c r="J365">
        <v>4999</v>
      </c>
      <c r="K365">
        <v>3</v>
      </c>
      <c r="L365">
        <v>5073.9399999999996</v>
      </c>
      <c r="M365">
        <v>3044.36</v>
      </c>
      <c r="N365">
        <v>15221.82</v>
      </c>
      <c r="O365">
        <v>12177.46</v>
      </c>
      <c r="P365" t="s">
        <v>2111</v>
      </c>
      <c r="Q365" t="s">
        <v>1170</v>
      </c>
    </row>
    <row r="366" spans="1:17" x14ac:dyDescent="0.3">
      <c r="A366" t="s">
        <v>2359</v>
      </c>
      <c r="B366" t="s">
        <v>2360</v>
      </c>
      <c r="C366" s="1">
        <v>46158</v>
      </c>
      <c r="D366" t="s">
        <v>41</v>
      </c>
      <c r="E366" t="s">
        <v>17</v>
      </c>
      <c r="F366" t="s">
        <v>31</v>
      </c>
      <c r="G366" t="s">
        <v>27</v>
      </c>
      <c r="H366" t="s">
        <v>28</v>
      </c>
      <c r="I366" t="s">
        <v>29</v>
      </c>
      <c r="J366">
        <v>1599</v>
      </c>
      <c r="K366">
        <v>1</v>
      </c>
      <c r="L366">
        <v>1723.7</v>
      </c>
      <c r="M366">
        <v>172.37</v>
      </c>
      <c r="N366">
        <v>1723.7</v>
      </c>
      <c r="O366">
        <v>1551.33</v>
      </c>
      <c r="P366" t="s">
        <v>2111</v>
      </c>
      <c r="Q366" t="s">
        <v>1479</v>
      </c>
    </row>
    <row r="367" spans="1:17" x14ac:dyDescent="0.3">
      <c r="A367" t="s">
        <v>900</v>
      </c>
      <c r="B367" t="s">
        <v>899</v>
      </c>
      <c r="C367" s="1">
        <v>46089</v>
      </c>
      <c r="D367" t="s">
        <v>16</v>
      </c>
      <c r="E367" t="s">
        <v>17</v>
      </c>
      <c r="F367" t="s">
        <v>74</v>
      </c>
      <c r="G367" t="s">
        <v>160</v>
      </c>
      <c r="H367" t="s">
        <v>161</v>
      </c>
      <c r="I367" t="s">
        <v>82</v>
      </c>
      <c r="J367">
        <v>799</v>
      </c>
      <c r="K367">
        <v>1</v>
      </c>
      <c r="L367">
        <v>823.11</v>
      </c>
      <c r="M367">
        <v>82.31</v>
      </c>
      <c r="N367">
        <v>823.11</v>
      </c>
      <c r="O367">
        <v>740.8</v>
      </c>
      <c r="P367" t="s">
        <v>2111</v>
      </c>
      <c r="Q367" t="s">
        <v>789</v>
      </c>
    </row>
    <row r="368" spans="1:17" x14ac:dyDescent="0.3">
      <c r="A368" t="s">
        <v>157</v>
      </c>
      <c r="B368" t="s">
        <v>156</v>
      </c>
      <c r="C368" s="1">
        <v>46028</v>
      </c>
      <c r="D368" t="s">
        <v>63</v>
      </c>
      <c r="E368" t="s">
        <v>17</v>
      </c>
      <c r="F368" t="s">
        <v>31</v>
      </c>
      <c r="G368" t="s">
        <v>149</v>
      </c>
      <c r="H368" t="s">
        <v>150</v>
      </c>
      <c r="I368" t="s">
        <v>37</v>
      </c>
      <c r="J368">
        <v>2999</v>
      </c>
      <c r="K368">
        <v>2</v>
      </c>
      <c r="L368">
        <v>2984.15</v>
      </c>
      <c r="M368">
        <v>895.24</v>
      </c>
      <c r="N368">
        <v>5968.3</v>
      </c>
      <c r="O368">
        <v>5073.0600000000004</v>
      </c>
      <c r="P368" t="s">
        <v>2111</v>
      </c>
      <c r="Q368" t="s">
        <v>23</v>
      </c>
    </row>
    <row r="369" spans="1:17" x14ac:dyDescent="0.3">
      <c r="A369" t="s">
        <v>2361</v>
      </c>
      <c r="B369" t="s">
        <v>2362</v>
      </c>
      <c r="C369" s="1">
        <v>46080</v>
      </c>
      <c r="D369" t="s">
        <v>16</v>
      </c>
      <c r="E369" t="s">
        <v>17</v>
      </c>
      <c r="F369" t="s">
        <v>31</v>
      </c>
      <c r="G369" t="s">
        <v>27</v>
      </c>
      <c r="H369" t="s">
        <v>28</v>
      </c>
      <c r="I369" t="s">
        <v>29</v>
      </c>
      <c r="J369">
        <v>1599</v>
      </c>
      <c r="K369">
        <v>1</v>
      </c>
      <c r="L369">
        <v>1712.4</v>
      </c>
      <c r="M369">
        <v>256.86</v>
      </c>
      <c r="N369">
        <v>1712.4</v>
      </c>
      <c r="O369">
        <v>1455.54</v>
      </c>
      <c r="P369" t="s">
        <v>2111</v>
      </c>
      <c r="Q369" t="s">
        <v>498</v>
      </c>
    </row>
    <row r="370" spans="1:17" x14ac:dyDescent="0.3">
      <c r="A370" t="s">
        <v>2363</v>
      </c>
      <c r="B370" t="s">
        <v>1573</v>
      </c>
      <c r="C370" s="1">
        <v>46075</v>
      </c>
      <c r="D370" t="s">
        <v>16</v>
      </c>
      <c r="E370" t="s">
        <v>50</v>
      </c>
      <c r="F370" t="s">
        <v>60</v>
      </c>
      <c r="G370" t="s">
        <v>35</v>
      </c>
      <c r="H370" t="s">
        <v>36</v>
      </c>
      <c r="I370" t="s">
        <v>37</v>
      </c>
      <c r="J370">
        <v>799</v>
      </c>
      <c r="K370">
        <v>1</v>
      </c>
      <c r="L370">
        <v>794.42</v>
      </c>
      <c r="M370">
        <v>79.44</v>
      </c>
      <c r="N370">
        <v>794.42</v>
      </c>
      <c r="O370">
        <v>714.98</v>
      </c>
      <c r="P370" t="s">
        <v>2111</v>
      </c>
      <c r="Q370" t="s">
        <v>498</v>
      </c>
    </row>
    <row r="371" spans="1:17" x14ac:dyDescent="0.3">
      <c r="A371" t="s">
        <v>1412</v>
      </c>
      <c r="B371" t="s">
        <v>1411</v>
      </c>
      <c r="C371" s="1">
        <v>46137</v>
      </c>
      <c r="D371" t="s">
        <v>41</v>
      </c>
      <c r="E371" t="s">
        <v>17</v>
      </c>
      <c r="F371" t="s">
        <v>47</v>
      </c>
      <c r="G371" t="s">
        <v>91</v>
      </c>
      <c r="H371" t="s">
        <v>92</v>
      </c>
      <c r="I371" t="s">
        <v>37</v>
      </c>
      <c r="J371">
        <v>1899</v>
      </c>
      <c r="K371">
        <v>1</v>
      </c>
      <c r="L371">
        <v>2039</v>
      </c>
      <c r="M371">
        <v>0</v>
      </c>
      <c r="N371">
        <v>2039</v>
      </c>
      <c r="O371">
        <v>2039</v>
      </c>
      <c r="P371" t="s">
        <v>2111</v>
      </c>
      <c r="Q371" t="s">
        <v>1170</v>
      </c>
    </row>
    <row r="372" spans="1:17" x14ac:dyDescent="0.3">
      <c r="A372" t="s">
        <v>2364</v>
      </c>
      <c r="B372" t="s">
        <v>2365</v>
      </c>
      <c r="C372" s="1">
        <v>46047</v>
      </c>
      <c r="D372" t="s">
        <v>41</v>
      </c>
      <c r="E372" t="s">
        <v>17</v>
      </c>
      <c r="F372" t="s">
        <v>60</v>
      </c>
      <c r="G372" t="s">
        <v>250</v>
      </c>
      <c r="H372" t="s">
        <v>251</v>
      </c>
      <c r="I372" t="s">
        <v>108</v>
      </c>
      <c r="J372">
        <v>899</v>
      </c>
      <c r="K372">
        <v>1</v>
      </c>
      <c r="L372">
        <v>861.53</v>
      </c>
      <c r="M372">
        <v>86.15</v>
      </c>
      <c r="N372">
        <v>861.53</v>
      </c>
      <c r="O372">
        <v>775.38</v>
      </c>
      <c r="P372" t="s">
        <v>2111</v>
      </c>
      <c r="Q372" t="s">
        <v>23</v>
      </c>
    </row>
    <row r="373" spans="1:17" x14ac:dyDescent="0.3">
      <c r="A373" t="s">
        <v>2366</v>
      </c>
      <c r="B373" t="s">
        <v>2367</v>
      </c>
      <c r="C373" s="1">
        <v>46065</v>
      </c>
      <c r="D373" t="s">
        <v>16</v>
      </c>
      <c r="E373" t="s">
        <v>17</v>
      </c>
      <c r="F373" t="s">
        <v>60</v>
      </c>
      <c r="G373" t="s">
        <v>51</v>
      </c>
      <c r="H373" t="s">
        <v>52</v>
      </c>
      <c r="I373" t="s">
        <v>20</v>
      </c>
      <c r="J373">
        <v>999</v>
      </c>
      <c r="K373">
        <v>3</v>
      </c>
      <c r="L373">
        <v>924.84</v>
      </c>
      <c r="M373">
        <v>693.63</v>
      </c>
      <c r="N373">
        <v>2774.52</v>
      </c>
      <c r="O373">
        <v>2080.89</v>
      </c>
      <c r="P373" t="s">
        <v>2111</v>
      </c>
      <c r="Q373" t="s">
        <v>498</v>
      </c>
    </row>
    <row r="374" spans="1:17" x14ac:dyDescent="0.3">
      <c r="A374" t="s">
        <v>1250</v>
      </c>
      <c r="B374" t="s">
        <v>1249</v>
      </c>
      <c r="C374" s="1">
        <v>46121</v>
      </c>
      <c r="D374" t="s">
        <v>34</v>
      </c>
      <c r="E374" t="s">
        <v>17</v>
      </c>
      <c r="F374" t="s">
        <v>74</v>
      </c>
      <c r="G374" t="s">
        <v>86</v>
      </c>
      <c r="H374" t="s">
        <v>87</v>
      </c>
      <c r="I374" t="s">
        <v>82</v>
      </c>
      <c r="J374">
        <v>3499</v>
      </c>
      <c r="K374">
        <v>1</v>
      </c>
      <c r="L374">
        <v>3747.65</v>
      </c>
      <c r="M374">
        <v>562.15</v>
      </c>
      <c r="N374">
        <v>3747.65</v>
      </c>
      <c r="O374">
        <v>3185.5</v>
      </c>
      <c r="P374" t="s">
        <v>2111</v>
      </c>
      <c r="Q374" t="s">
        <v>1170</v>
      </c>
    </row>
    <row r="375" spans="1:17" x14ac:dyDescent="0.3">
      <c r="A375" t="s">
        <v>982</v>
      </c>
      <c r="B375" t="s">
        <v>981</v>
      </c>
      <c r="C375" s="1">
        <v>46096</v>
      </c>
      <c r="D375" t="s">
        <v>34</v>
      </c>
      <c r="E375" t="s">
        <v>17</v>
      </c>
      <c r="F375" t="s">
        <v>60</v>
      </c>
      <c r="G375" t="s">
        <v>18</v>
      </c>
      <c r="H375" t="s">
        <v>19</v>
      </c>
      <c r="I375" t="s">
        <v>20</v>
      </c>
      <c r="J375">
        <v>2799</v>
      </c>
      <c r="K375">
        <v>1</v>
      </c>
      <c r="L375">
        <v>2847.94</v>
      </c>
      <c r="M375">
        <v>427.19</v>
      </c>
      <c r="N375">
        <v>2847.94</v>
      </c>
      <c r="O375">
        <v>2420.75</v>
      </c>
      <c r="P375" t="s">
        <v>2111</v>
      </c>
      <c r="Q375" t="s">
        <v>789</v>
      </c>
    </row>
    <row r="376" spans="1:17" x14ac:dyDescent="0.3">
      <c r="A376" t="s">
        <v>920</v>
      </c>
      <c r="B376" t="s">
        <v>919</v>
      </c>
      <c r="C376" s="1">
        <v>46091</v>
      </c>
      <c r="D376" t="s">
        <v>34</v>
      </c>
      <c r="E376" t="s">
        <v>50</v>
      </c>
      <c r="F376" t="s">
        <v>47</v>
      </c>
      <c r="G376" t="s">
        <v>27</v>
      </c>
      <c r="H376" t="s">
        <v>28</v>
      </c>
      <c r="I376" t="s">
        <v>29</v>
      </c>
      <c r="J376">
        <v>1599</v>
      </c>
      <c r="K376">
        <v>2</v>
      </c>
      <c r="L376">
        <v>1723.43</v>
      </c>
      <c r="M376">
        <v>0</v>
      </c>
      <c r="N376">
        <v>3446.86</v>
      </c>
      <c r="O376">
        <v>3446.86</v>
      </c>
      <c r="P376" t="s">
        <v>2111</v>
      </c>
      <c r="Q376" t="s">
        <v>789</v>
      </c>
    </row>
    <row r="377" spans="1:17" x14ac:dyDescent="0.3">
      <c r="A377" t="s">
        <v>2368</v>
      </c>
      <c r="B377" t="s">
        <v>2369</v>
      </c>
      <c r="C377" s="1">
        <v>46096</v>
      </c>
      <c r="D377" t="s">
        <v>16</v>
      </c>
      <c r="E377" t="s">
        <v>17</v>
      </c>
      <c r="F377" t="s">
        <v>31</v>
      </c>
      <c r="G377" t="s">
        <v>43</v>
      </c>
      <c r="H377" t="s">
        <v>44</v>
      </c>
      <c r="I377" t="s">
        <v>45</v>
      </c>
      <c r="J377">
        <v>3299</v>
      </c>
      <c r="K377">
        <v>1</v>
      </c>
      <c r="L377">
        <v>3587.88</v>
      </c>
      <c r="M377">
        <v>358.79</v>
      </c>
      <c r="N377">
        <v>3587.88</v>
      </c>
      <c r="O377">
        <v>3229.09</v>
      </c>
      <c r="P377" t="s">
        <v>2111</v>
      </c>
      <c r="Q377" t="s">
        <v>789</v>
      </c>
    </row>
    <row r="378" spans="1:17" x14ac:dyDescent="0.3">
      <c r="A378" t="s">
        <v>1132</v>
      </c>
      <c r="B378" t="s">
        <v>1131</v>
      </c>
      <c r="C378" s="1">
        <v>46109</v>
      </c>
      <c r="D378" t="s">
        <v>26</v>
      </c>
      <c r="E378" t="s">
        <v>17</v>
      </c>
      <c r="F378" t="s">
        <v>60</v>
      </c>
      <c r="G378" t="s">
        <v>43</v>
      </c>
      <c r="H378" t="s">
        <v>44</v>
      </c>
      <c r="I378" t="s">
        <v>45</v>
      </c>
      <c r="J378">
        <v>3299</v>
      </c>
      <c r="K378">
        <v>1</v>
      </c>
      <c r="L378">
        <v>3004.48</v>
      </c>
      <c r="M378">
        <v>450.67</v>
      </c>
      <c r="N378">
        <v>3004.48</v>
      </c>
      <c r="O378">
        <v>2553.81</v>
      </c>
      <c r="P378" t="s">
        <v>2111</v>
      </c>
      <c r="Q378" t="s">
        <v>789</v>
      </c>
    </row>
    <row r="379" spans="1:17" x14ac:dyDescent="0.3">
      <c r="A379" t="s">
        <v>2370</v>
      </c>
      <c r="B379" t="s">
        <v>2371</v>
      </c>
      <c r="C379" s="1">
        <v>46150</v>
      </c>
      <c r="D379" t="s">
        <v>41</v>
      </c>
      <c r="E379" t="s">
        <v>17</v>
      </c>
      <c r="F379" t="s">
        <v>60</v>
      </c>
      <c r="G379" t="s">
        <v>80</v>
      </c>
      <c r="H379" t="s">
        <v>81</v>
      </c>
      <c r="I379" t="s">
        <v>82</v>
      </c>
      <c r="J379">
        <v>4299</v>
      </c>
      <c r="K379">
        <v>1</v>
      </c>
      <c r="L379">
        <v>4299.83</v>
      </c>
      <c r="M379">
        <v>859.97</v>
      </c>
      <c r="N379">
        <v>4299.83</v>
      </c>
      <c r="O379">
        <v>3439.86</v>
      </c>
      <c r="P379" t="s">
        <v>2111</v>
      </c>
      <c r="Q379" t="s">
        <v>1479</v>
      </c>
    </row>
    <row r="380" spans="1:17" x14ac:dyDescent="0.3">
      <c r="A380" t="s">
        <v>2372</v>
      </c>
      <c r="B380" t="s">
        <v>571</v>
      </c>
      <c r="C380" s="1">
        <v>46129</v>
      </c>
      <c r="D380" t="s">
        <v>26</v>
      </c>
      <c r="E380" t="s">
        <v>42</v>
      </c>
      <c r="F380" t="s">
        <v>60</v>
      </c>
      <c r="G380" t="s">
        <v>43</v>
      </c>
      <c r="H380" t="s">
        <v>44</v>
      </c>
      <c r="I380" t="s">
        <v>45</v>
      </c>
      <c r="J380">
        <v>3299</v>
      </c>
      <c r="K380">
        <v>3</v>
      </c>
      <c r="L380">
        <v>3216.5</v>
      </c>
      <c r="M380">
        <v>0</v>
      </c>
      <c r="N380">
        <v>9649.5</v>
      </c>
      <c r="O380">
        <v>9649.5</v>
      </c>
      <c r="P380" t="s">
        <v>2111</v>
      </c>
      <c r="Q380" t="s">
        <v>1170</v>
      </c>
    </row>
    <row r="381" spans="1:17" x14ac:dyDescent="0.3">
      <c r="A381" t="s">
        <v>1048</v>
      </c>
      <c r="B381" t="s">
        <v>1047</v>
      </c>
      <c r="C381" s="1">
        <v>46101</v>
      </c>
      <c r="D381" t="s">
        <v>34</v>
      </c>
      <c r="E381" t="s">
        <v>17</v>
      </c>
      <c r="F381" t="s">
        <v>22</v>
      </c>
      <c r="G381" t="s">
        <v>91</v>
      </c>
      <c r="H381" t="s">
        <v>92</v>
      </c>
      <c r="I381" t="s">
        <v>37</v>
      </c>
      <c r="J381">
        <v>1899</v>
      </c>
      <c r="K381">
        <v>2</v>
      </c>
      <c r="L381">
        <v>1946.8</v>
      </c>
      <c r="M381">
        <v>778.72</v>
      </c>
      <c r="N381">
        <v>3893.6</v>
      </c>
      <c r="O381">
        <v>3114.88</v>
      </c>
      <c r="P381" t="s">
        <v>2111</v>
      </c>
      <c r="Q381" t="s">
        <v>789</v>
      </c>
    </row>
    <row r="382" spans="1:17" x14ac:dyDescent="0.3">
      <c r="A382" t="s">
        <v>2373</v>
      </c>
      <c r="B382" t="s">
        <v>758</v>
      </c>
      <c r="C382" s="1">
        <v>46160</v>
      </c>
      <c r="D382" t="s">
        <v>34</v>
      </c>
      <c r="E382" t="s">
        <v>50</v>
      </c>
      <c r="F382" t="s">
        <v>22</v>
      </c>
      <c r="G382" t="s">
        <v>51</v>
      </c>
      <c r="H382" t="s">
        <v>52</v>
      </c>
      <c r="I382" t="s">
        <v>20</v>
      </c>
      <c r="J382">
        <v>999</v>
      </c>
      <c r="K382">
        <v>2</v>
      </c>
      <c r="L382">
        <v>1057.6600000000001</v>
      </c>
      <c r="M382">
        <v>211.53</v>
      </c>
      <c r="N382">
        <v>2115.3200000000002</v>
      </c>
      <c r="O382">
        <v>1903.79</v>
      </c>
      <c r="P382" t="s">
        <v>2111</v>
      </c>
      <c r="Q382" t="s">
        <v>1479</v>
      </c>
    </row>
    <row r="383" spans="1:17" x14ac:dyDescent="0.3">
      <c r="A383" t="s">
        <v>2374</v>
      </c>
      <c r="B383" t="s">
        <v>1468</v>
      </c>
      <c r="C383" s="1">
        <v>46056</v>
      </c>
      <c r="D383" t="s">
        <v>26</v>
      </c>
      <c r="E383" t="s">
        <v>17</v>
      </c>
      <c r="F383" t="s">
        <v>22</v>
      </c>
      <c r="G383" t="s">
        <v>80</v>
      </c>
      <c r="H383" t="s">
        <v>81</v>
      </c>
      <c r="I383" t="s">
        <v>82</v>
      </c>
      <c r="J383">
        <v>4299</v>
      </c>
      <c r="K383">
        <v>1</v>
      </c>
      <c r="L383">
        <v>4110.3500000000004</v>
      </c>
      <c r="M383">
        <v>0</v>
      </c>
      <c r="N383">
        <v>4110.3500000000004</v>
      </c>
      <c r="O383">
        <v>4110.3500000000004</v>
      </c>
      <c r="P383" t="s">
        <v>2111</v>
      </c>
      <c r="Q383" t="s">
        <v>498</v>
      </c>
    </row>
    <row r="384" spans="1:17" x14ac:dyDescent="0.3">
      <c r="A384" t="s">
        <v>1808</v>
      </c>
      <c r="B384" t="s">
        <v>1200</v>
      </c>
      <c r="C384" s="1">
        <v>46174</v>
      </c>
      <c r="D384" t="s">
        <v>16</v>
      </c>
      <c r="E384" t="s">
        <v>17</v>
      </c>
      <c r="F384" t="s">
        <v>60</v>
      </c>
      <c r="G384" t="s">
        <v>101</v>
      </c>
      <c r="H384" t="s">
        <v>102</v>
      </c>
      <c r="I384" t="s">
        <v>45</v>
      </c>
      <c r="J384">
        <v>4999</v>
      </c>
      <c r="K384">
        <v>2</v>
      </c>
      <c r="L384">
        <v>5055.79</v>
      </c>
      <c r="M384">
        <v>505.58</v>
      </c>
      <c r="N384">
        <v>10111.58</v>
      </c>
      <c r="O384">
        <v>9606</v>
      </c>
      <c r="P384" t="s">
        <v>2111</v>
      </c>
      <c r="Q384" t="s">
        <v>1809</v>
      </c>
    </row>
    <row r="385" spans="1:17" x14ac:dyDescent="0.3">
      <c r="A385" t="s">
        <v>1007</v>
      </c>
      <c r="B385" t="s">
        <v>100</v>
      </c>
      <c r="C385" s="1">
        <v>46098</v>
      </c>
      <c r="D385" t="s">
        <v>26</v>
      </c>
      <c r="E385" t="s">
        <v>50</v>
      </c>
      <c r="F385" t="s">
        <v>60</v>
      </c>
      <c r="G385" t="s">
        <v>355</v>
      </c>
      <c r="H385" t="s">
        <v>356</v>
      </c>
      <c r="I385" t="s">
        <v>82</v>
      </c>
      <c r="J385">
        <v>499</v>
      </c>
      <c r="K385">
        <v>1</v>
      </c>
      <c r="L385">
        <v>519.83000000000004</v>
      </c>
      <c r="M385">
        <v>25.99</v>
      </c>
      <c r="N385">
        <v>519.83000000000004</v>
      </c>
      <c r="O385">
        <v>493.84</v>
      </c>
      <c r="P385" t="s">
        <v>2111</v>
      </c>
      <c r="Q385" t="s">
        <v>789</v>
      </c>
    </row>
    <row r="386" spans="1:17" x14ac:dyDescent="0.3">
      <c r="A386" t="s">
        <v>2375</v>
      </c>
      <c r="B386" t="s">
        <v>824</v>
      </c>
      <c r="C386" s="1">
        <v>46141</v>
      </c>
      <c r="D386" t="s">
        <v>16</v>
      </c>
      <c r="E386" t="s">
        <v>50</v>
      </c>
      <c r="F386" t="s">
        <v>60</v>
      </c>
      <c r="G386" t="s">
        <v>126</v>
      </c>
      <c r="H386" t="s">
        <v>127</v>
      </c>
      <c r="I386" t="s">
        <v>45</v>
      </c>
      <c r="J386">
        <v>2499</v>
      </c>
      <c r="K386">
        <v>1</v>
      </c>
      <c r="L386">
        <v>2316.29</v>
      </c>
      <c r="M386">
        <v>231.63</v>
      </c>
      <c r="N386">
        <v>2316.29</v>
      </c>
      <c r="O386">
        <v>2084.66</v>
      </c>
      <c r="P386" t="s">
        <v>2114</v>
      </c>
      <c r="Q386" t="s">
        <v>1170</v>
      </c>
    </row>
    <row r="387" spans="1:17" x14ac:dyDescent="0.3">
      <c r="A387" t="s">
        <v>2376</v>
      </c>
      <c r="B387" t="s">
        <v>2377</v>
      </c>
      <c r="C387" s="1">
        <v>46136</v>
      </c>
      <c r="D387" t="s">
        <v>26</v>
      </c>
      <c r="E387" t="s">
        <v>50</v>
      </c>
      <c r="F387" t="s">
        <v>60</v>
      </c>
      <c r="G387" t="s">
        <v>86</v>
      </c>
      <c r="H387" t="s">
        <v>87</v>
      </c>
      <c r="I387" t="s">
        <v>82</v>
      </c>
      <c r="J387">
        <v>3499</v>
      </c>
      <c r="K387">
        <v>1</v>
      </c>
      <c r="L387">
        <v>3718.78</v>
      </c>
      <c r="M387">
        <v>0</v>
      </c>
      <c r="N387">
        <v>3718.78</v>
      </c>
      <c r="O387">
        <v>3718.78</v>
      </c>
      <c r="P387" t="s">
        <v>2111</v>
      </c>
      <c r="Q387" t="s">
        <v>1170</v>
      </c>
    </row>
    <row r="388" spans="1:17" x14ac:dyDescent="0.3">
      <c r="A388" t="s">
        <v>2348</v>
      </c>
      <c r="B388" t="s">
        <v>2349</v>
      </c>
      <c r="C388" s="1">
        <v>46058</v>
      </c>
      <c r="D388" t="s">
        <v>63</v>
      </c>
      <c r="E388" t="s">
        <v>17</v>
      </c>
      <c r="F388" t="s">
        <v>60</v>
      </c>
      <c r="G388" t="s">
        <v>160</v>
      </c>
      <c r="H388" t="s">
        <v>161</v>
      </c>
      <c r="I388" t="s">
        <v>82</v>
      </c>
      <c r="J388">
        <v>799</v>
      </c>
      <c r="K388">
        <v>1</v>
      </c>
      <c r="L388">
        <v>815.96</v>
      </c>
      <c r="M388">
        <v>0</v>
      </c>
      <c r="N388">
        <v>815.96</v>
      </c>
      <c r="O388">
        <v>815.96</v>
      </c>
      <c r="P388" t="s">
        <v>2111</v>
      </c>
      <c r="Q388" t="s">
        <v>498</v>
      </c>
    </row>
    <row r="389" spans="1:17" x14ac:dyDescent="0.3">
      <c r="A389" t="s">
        <v>1075</v>
      </c>
      <c r="B389" t="s">
        <v>1074</v>
      </c>
      <c r="C389" s="1">
        <v>46103</v>
      </c>
      <c r="D389" t="s">
        <v>41</v>
      </c>
      <c r="E389" t="s">
        <v>17</v>
      </c>
      <c r="F389" t="s">
        <v>22</v>
      </c>
      <c r="G389" t="s">
        <v>43</v>
      </c>
      <c r="H389" t="s">
        <v>44</v>
      </c>
      <c r="I389" t="s">
        <v>45</v>
      </c>
      <c r="J389">
        <v>3299</v>
      </c>
      <c r="K389">
        <v>1</v>
      </c>
      <c r="L389">
        <v>3595.6</v>
      </c>
      <c r="M389">
        <v>539.34</v>
      </c>
      <c r="N389">
        <v>3595.6</v>
      </c>
      <c r="O389">
        <v>3056.26</v>
      </c>
      <c r="P389" t="s">
        <v>2111</v>
      </c>
      <c r="Q389" t="s">
        <v>789</v>
      </c>
    </row>
    <row r="390" spans="1:17" x14ac:dyDescent="0.3">
      <c r="A390" t="s">
        <v>1970</v>
      </c>
      <c r="B390" t="s">
        <v>1969</v>
      </c>
      <c r="C390" s="1">
        <v>46191</v>
      </c>
      <c r="D390" t="s">
        <v>16</v>
      </c>
      <c r="E390" t="s">
        <v>42</v>
      </c>
      <c r="F390" t="s">
        <v>31</v>
      </c>
      <c r="G390" t="s">
        <v>18</v>
      </c>
      <c r="H390" t="s">
        <v>19</v>
      </c>
      <c r="I390" t="s">
        <v>20</v>
      </c>
      <c r="J390">
        <v>2799</v>
      </c>
      <c r="K390">
        <v>1</v>
      </c>
      <c r="L390">
        <v>2709.17</v>
      </c>
      <c r="M390">
        <v>0</v>
      </c>
      <c r="N390">
        <v>2709.17</v>
      </c>
      <c r="O390">
        <v>2709.17</v>
      </c>
      <c r="P390" t="s">
        <v>2111</v>
      </c>
      <c r="Q390" t="s">
        <v>1809</v>
      </c>
    </row>
    <row r="391" spans="1:17" x14ac:dyDescent="0.3">
      <c r="A391" t="s">
        <v>98</v>
      </c>
      <c r="B391" t="s">
        <v>95</v>
      </c>
      <c r="C391" s="1">
        <v>46025</v>
      </c>
      <c r="D391" t="s">
        <v>34</v>
      </c>
      <c r="E391" t="s">
        <v>17</v>
      </c>
      <c r="F391" t="s">
        <v>22</v>
      </c>
      <c r="G391" t="s">
        <v>126</v>
      </c>
      <c r="H391" t="s">
        <v>127</v>
      </c>
      <c r="I391" t="s">
        <v>45</v>
      </c>
      <c r="J391">
        <v>2499</v>
      </c>
      <c r="K391">
        <v>1</v>
      </c>
      <c r="L391">
        <v>2303.15</v>
      </c>
      <c r="M391">
        <v>115.16</v>
      </c>
      <c r="N391">
        <v>2303.15</v>
      </c>
      <c r="O391">
        <v>2187.9899999999998</v>
      </c>
      <c r="P391" t="s">
        <v>2111</v>
      </c>
      <c r="Q391" t="s">
        <v>23</v>
      </c>
    </row>
    <row r="392" spans="1:17" x14ac:dyDescent="0.3">
      <c r="A392" t="s">
        <v>2378</v>
      </c>
      <c r="B392" t="s">
        <v>365</v>
      </c>
      <c r="C392" s="1">
        <v>46082</v>
      </c>
      <c r="D392" t="s">
        <v>26</v>
      </c>
      <c r="E392" t="s">
        <v>17</v>
      </c>
      <c r="F392" t="s">
        <v>74</v>
      </c>
      <c r="G392" t="s">
        <v>165</v>
      </c>
      <c r="H392" t="s">
        <v>166</v>
      </c>
      <c r="I392" t="s">
        <v>29</v>
      </c>
      <c r="J392">
        <v>449</v>
      </c>
      <c r="K392">
        <v>1</v>
      </c>
      <c r="L392">
        <v>449.58</v>
      </c>
      <c r="M392">
        <v>44.96</v>
      </c>
      <c r="N392">
        <v>449.58</v>
      </c>
      <c r="O392">
        <v>404.62</v>
      </c>
      <c r="P392" t="s">
        <v>2111</v>
      </c>
      <c r="Q392" t="s">
        <v>789</v>
      </c>
    </row>
    <row r="393" spans="1:17" x14ac:dyDescent="0.3">
      <c r="A393" t="s">
        <v>2379</v>
      </c>
      <c r="B393" t="s">
        <v>2380</v>
      </c>
      <c r="C393" s="1">
        <v>46044</v>
      </c>
      <c r="D393" t="s">
        <v>16</v>
      </c>
      <c r="E393" t="s">
        <v>17</v>
      </c>
      <c r="F393" t="s">
        <v>31</v>
      </c>
      <c r="G393" t="s">
        <v>106</v>
      </c>
      <c r="H393" t="s">
        <v>107</v>
      </c>
      <c r="I393" t="s">
        <v>108</v>
      </c>
      <c r="J393">
        <v>599</v>
      </c>
      <c r="K393">
        <v>2</v>
      </c>
      <c r="L393">
        <v>549.38</v>
      </c>
      <c r="M393">
        <v>109.88</v>
      </c>
      <c r="N393">
        <v>1098.76</v>
      </c>
      <c r="O393">
        <v>988.88</v>
      </c>
      <c r="P393" t="s">
        <v>2111</v>
      </c>
      <c r="Q393" t="s">
        <v>23</v>
      </c>
    </row>
    <row r="394" spans="1:17" x14ac:dyDescent="0.3">
      <c r="A394" t="s">
        <v>877</v>
      </c>
      <c r="B394" t="s">
        <v>876</v>
      </c>
      <c r="C394" s="1">
        <v>46088</v>
      </c>
      <c r="D394" t="s">
        <v>34</v>
      </c>
      <c r="E394" t="s">
        <v>42</v>
      </c>
      <c r="F394" t="s">
        <v>74</v>
      </c>
      <c r="G394" t="s">
        <v>80</v>
      </c>
      <c r="H394" t="s">
        <v>81</v>
      </c>
      <c r="I394" t="s">
        <v>82</v>
      </c>
      <c r="J394">
        <v>4299</v>
      </c>
      <c r="K394">
        <v>1</v>
      </c>
      <c r="L394">
        <v>4702.7</v>
      </c>
      <c r="M394">
        <v>705.4</v>
      </c>
      <c r="N394">
        <v>4702.7</v>
      </c>
      <c r="O394">
        <v>3997.3</v>
      </c>
      <c r="P394" t="s">
        <v>2111</v>
      </c>
      <c r="Q394" t="s">
        <v>789</v>
      </c>
    </row>
    <row r="395" spans="1:17" x14ac:dyDescent="0.3">
      <c r="A395" t="s">
        <v>2099</v>
      </c>
      <c r="B395" t="s">
        <v>1096</v>
      </c>
      <c r="C395" s="1">
        <v>46203</v>
      </c>
      <c r="D395" t="s">
        <v>16</v>
      </c>
      <c r="E395" t="s">
        <v>17</v>
      </c>
      <c r="F395" t="s">
        <v>47</v>
      </c>
      <c r="G395" t="s">
        <v>35</v>
      </c>
      <c r="H395" t="s">
        <v>36</v>
      </c>
      <c r="I395" t="s">
        <v>37</v>
      </c>
      <c r="J395">
        <v>799</v>
      </c>
      <c r="K395">
        <v>2</v>
      </c>
      <c r="L395">
        <v>725.28</v>
      </c>
      <c r="M395">
        <v>145.06</v>
      </c>
      <c r="N395">
        <v>1450.56</v>
      </c>
      <c r="O395">
        <v>1305.5</v>
      </c>
      <c r="P395" t="s">
        <v>2111</v>
      </c>
      <c r="Q395" t="s">
        <v>1809</v>
      </c>
    </row>
    <row r="396" spans="1:17" x14ac:dyDescent="0.3">
      <c r="A396" t="s">
        <v>1288</v>
      </c>
      <c r="B396" t="s">
        <v>1287</v>
      </c>
      <c r="C396" s="1">
        <v>46126</v>
      </c>
      <c r="D396" t="s">
        <v>34</v>
      </c>
      <c r="E396" t="s">
        <v>50</v>
      </c>
      <c r="F396" t="s">
        <v>22</v>
      </c>
      <c r="G396" t="s">
        <v>126</v>
      </c>
      <c r="H396" t="s">
        <v>127</v>
      </c>
      <c r="I396" t="s">
        <v>45</v>
      </c>
      <c r="J396">
        <v>2499</v>
      </c>
      <c r="K396">
        <v>1</v>
      </c>
      <c r="L396">
        <v>2625.7</v>
      </c>
      <c r="M396">
        <v>393.85</v>
      </c>
      <c r="N396">
        <v>2625.7</v>
      </c>
      <c r="O396">
        <v>2231.85</v>
      </c>
      <c r="P396" t="s">
        <v>2111</v>
      </c>
      <c r="Q396" t="s">
        <v>1170</v>
      </c>
    </row>
    <row r="397" spans="1:17" x14ac:dyDescent="0.3">
      <c r="A397" t="s">
        <v>564</v>
      </c>
      <c r="B397" t="s">
        <v>563</v>
      </c>
      <c r="C397" s="1">
        <v>46059</v>
      </c>
      <c r="D397" t="s">
        <v>63</v>
      </c>
      <c r="E397" t="s">
        <v>50</v>
      </c>
      <c r="F397" t="s">
        <v>22</v>
      </c>
      <c r="G397" t="s">
        <v>51</v>
      </c>
      <c r="H397" t="s">
        <v>52</v>
      </c>
      <c r="I397" t="s">
        <v>20</v>
      </c>
      <c r="J397">
        <v>999</v>
      </c>
      <c r="K397">
        <v>2</v>
      </c>
      <c r="L397">
        <v>1004.02</v>
      </c>
      <c r="M397">
        <v>200.8</v>
      </c>
      <c r="N397">
        <v>2008.04</v>
      </c>
      <c r="O397">
        <v>1807.24</v>
      </c>
      <c r="P397" t="s">
        <v>2111</v>
      </c>
      <c r="Q397" t="s">
        <v>498</v>
      </c>
    </row>
    <row r="398" spans="1:17" x14ac:dyDescent="0.3">
      <c r="A398" t="s">
        <v>1800</v>
      </c>
      <c r="B398" t="s">
        <v>130</v>
      </c>
      <c r="C398" s="1">
        <v>46173</v>
      </c>
      <c r="D398" t="s">
        <v>26</v>
      </c>
      <c r="E398" t="s">
        <v>50</v>
      </c>
      <c r="F398" t="s">
        <v>74</v>
      </c>
      <c r="G398" t="s">
        <v>80</v>
      </c>
      <c r="H398" t="s">
        <v>81</v>
      </c>
      <c r="I398" t="s">
        <v>82</v>
      </c>
      <c r="J398">
        <v>4299</v>
      </c>
      <c r="K398">
        <v>1</v>
      </c>
      <c r="L398">
        <v>4186.04</v>
      </c>
      <c r="M398">
        <v>0</v>
      </c>
      <c r="N398">
        <v>4186.04</v>
      </c>
      <c r="O398">
        <v>4186.04</v>
      </c>
      <c r="P398" t="s">
        <v>2111</v>
      </c>
      <c r="Q398" t="s">
        <v>1479</v>
      </c>
    </row>
    <row r="399" spans="1:17" x14ac:dyDescent="0.3">
      <c r="A399" t="s">
        <v>2187</v>
      </c>
      <c r="B399" t="s">
        <v>750</v>
      </c>
      <c r="C399" s="1">
        <v>46186</v>
      </c>
      <c r="D399" t="s">
        <v>34</v>
      </c>
      <c r="E399" t="s">
        <v>17</v>
      </c>
      <c r="F399" t="s">
        <v>22</v>
      </c>
      <c r="G399" t="s">
        <v>51</v>
      </c>
      <c r="H399" t="s">
        <v>52</v>
      </c>
      <c r="I399" t="s">
        <v>20</v>
      </c>
      <c r="J399">
        <v>999</v>
      </c>
      <c r="K399">
        <v>1</v>
      </c>
      <c r="L399">
        <v>912.26</v>
      </c>
      <c r="M399">
        <v>0</v>
      </c>
      <c r="N399">
        <v>912.26</v>
      </c>
      <c r="O399">
        <v>912.26</v>
      </c>
      <c r="P399" t="s">
        <v>2111</v>
      </c>
      <c r="Q399" t="s">
        <v>1809</v>
      </c>
    </row>
    <row r="400" spans="1:17" x14ac:dyDescent="0.3">
      <c r="A400" t="s">
        <v>1217</v>
      </c>
      <c r="B400" t="s">
        <v>1216</v>
      </c>
      <c r="C400" s="1">
        <v>46118</v>
      </c>
      <c r="D400" t="s">
        <v>34</v>
      </c>
      <c r="E400" t="s">
        <v>17</v>
      </c>
      <c r="F400" t="s">
        <v>31</v>
      </c>
      <c r="G400" t="s">
        <v>101</v>
      </c>
      <c r="H400" t="s">
        <v>102</v>
      </c>
      <c r="I400" t="s">
        <v>45</v>
      </c>
      <c r="J400">
        <v>4999</v>
      </c>
      <c r="K400">
        <v>1</v>
      </c>
      <c r="L400">
        <v>5121.1400000000003</v>
      </c>
      <c r="M400">
        <v>512.11</v>
      </c>
      <c r="N400">
        <v>5121.1400000000003</v>
      </c>
      <c r="O400">
        <v>4609.03</v>
      </c>
      <c r="P400" t="s">
        <v>2111</v>
      </c>
      <c r="Q400" t="s">
        <v>1170</v>
      </c>
    </row>
    <row r="401" spans="1:17" x14ac:dyDescent="0.3">
      <c r="A401" t="s">
        <v>2381</v>
      </c>
      <c r="B401" t="s">
        <v>2382</v>
      </c>
      <c r="C401" s="1">
        <v>46139</v>
      </c>
      <c r="D401" t="s">
        <v>34</v>
      </c>
      <c r="E401" t="s">
        <v>50</v>
      </c>
      <c r="F401" t="s">
        <v>60</v>
      </c>
      <c r="G401" t="s">
        <v>27</v>
      </c>
      <c r="H401" t="s">
        <v>28</v>
      </c>
      <c r="I401" t="s">
        <v>29</v>
      </c>
      <c r="J401">
        <v>1599</v>
      </c>
      <c r="K401">
        <v>2</v>
      </c>
      <c r="L401">
        <v>1626.25</v>
      </c>
      <c r="M401">
        <v>325.25</v>
      </c>
      <c r="N401">
        <v>3252.5</v>
      </c>
      <c r="O401">
        <v>2927.25</v>
      </c>
      <c r="P401" t="s">
        <v>2111</v>
      </c>
      <c r="Q401" t="s">
        <v>1170</v>
      </c>
    </row>
    <row r="402" spans="1:17" x14ac:dyDescent="0.3">
      <c r="A402" t="s">
        <v>2109</v>
      </c>
      <c r="B402" t="s">
        <v>2110</v>
      </c>
      <c r="C402" s="1">
        <v>46182</v>
      </c>
      <c r="D402" t="s">
        <v>16</v>
      </c>
      <c r="E402" t="s">
        <v>17</v>
      </c>
      <c r="F402" t="s">
        <v>74</v>
      </c>
      <c r="G402" t="s">
        <v>126</v>
      </c>
      <c r="H402" t="s">
        <v>127</v>
      </c>
      <c r="I402" t="s">
        <v>45</v>
      </c>
      <c r="J402">
        <v>2499</v>
      </c>
      <c r="K402">
        <v>2</v>
      </c>
      <c r="L402">
        <v>2389.4899999999998</v>
      </c>
      <c r="M402">
        <v>716.85</v>
      </c>
      <c r="N402">
        <v>4778.9799999999996</v>
      </c>
      <c r="O402">
        <v>4062.13</v>
      </c>
      <c r="P402" t="s">
        <v>2111</v>
      </c>
      <c r="Q402" t="s">
        <v>1809</v>
      </c>
    </row>
    <row r="403" spans="1:17" x14ac:dyDescent="0.3">
      <c r="A403" t="s">
        <v>2383</v>
      </c>
      <c r="B403" t="s">
        <v>2384</v>
      </c>
      <c r="C403" s="1">
        <v>46148</v>
      </c>
      <c r="D403" t="s">
        <v>63</v>
      </c>
      <c r="E403" t="s">
        <v>17</v>
      </c>
      <c r="F403" t="s">
        <v>74</v>
      </c>
      <c r="G403" t="s">
        <v>250</v>
      </c>
      <c r="H403" t="s">
        <v>251</v>
      </c>
      <c r="I403" t="s">
        <v>108</v>
      </c>
      <c r="J403">
        <v>899</v>
      </c>
      <c r="K403">
        <v>1</v>
      </c>
      <c r="L403">
        <v>972.76</v>
      </c>
      <c r="M403">
        <v>97.28</v>
      </c>
      <c r="N403">
        <v>972.76</v>
      </c>
      <c r="O403">
        <v>875.48</v>
      </c>
      <c r="P403" t="s">
        <v>2111</v>
      </c>
      <c r="Q403" t="s">
        <v>1479</v>
      </c>
    </row>
    <row r="404" spans="1:17" x14ac:dyDescent="0.3">
      <c r="A404" t="s">
        <v>844</v>
      </c>
      <c r="B404" t="s">
        <v>843</v>
      </c>
      <c r="C404" s="1">
        <v>46085</v>
      </c>
      <c r="D404" t="s">
        <v>34</v>
      </c>
      <c r="E404" t="s">
        <v>42</v>
      </c>
      <c r="F404" t="s">
        <v>31</v>
      </c>
      <c r="G404" t="s">
        <v>355</v>
      </c>
      <c r="H404" t="s">
        <v>356</v>
      </c>
      <c r="I404" t="s">
        <v>82</v>
      </c>
      <c r="J404">
        <v>499</v>
      </c>
      <c r="K404">
        <v>1</v>
      </c>
      <c r="L404">
        <v>479.45</v>
      </c>
      <c r="M404">
        <v>47.94</v>
      </c>
      <c r="N404">
        <v>479.45</v>
      </c>
      <c r="O404">
        <v>431.51</v>
      </c>
      <c r="P404" t="s">
        <v>2111</v>
      </c>
      <c r="Q404" t="s">
        <v>789</v>
      </c>
    </row>
    <row r="405" spans="1:17" x14ac:dyDescent="0.3">
      <c r="A405" t="s">
        <v>223</v>
      </c>
      <c r="B405" t="s">
        <v>222</v>
      </c>
      <c r="C405" s="1">
        <v>46032</v>
      </c>
      <c r="D405" t="s">
        <v>41</v>
      </c>
      <c r="E405" t="s">
        <v>50</v>
      </c>
      <c r="F405" t="s">
        <v>74</v>
      </c>
      <c r="G405" t="s">
        <v>86</v>
      </c>
      <c r="H405" t="s">
        <v>87</v>
      </c>
      <c r="I405" t="s">
        <v>82</v>
      </c>
      <c r="J405">
        <v>3499</v>
      </c>
      <c r="K405">
        <v>2</v>
      </c>
      <c r="L405">
        <v>3463.82</v>
      </c>
      <c r="M405">
        <v>0</v>
      </c>
      <c r="N405">
        <v>6927.64</v>
      </c>
      <c r="O405">
        <v>6927.64</v>
      </c>
      <c r="P405" t="s">
        <v>2111</v>
      </c>
      <c r="Q405" t="s">
        <v>23</v>
      </c>
    </row>
    <row r="406" spans="1:17" x14ac:dyDescent="0.3">
      <c r="A406" t="s">
        <v>1795</v>
      </c>
      <c r="B406" t="s">
        <v>1794</v>
      </c>
      <c r="C406" s="1">
        <v>46172</v>
      </c>
      <c r="D406" t="s">
        <v>41</v>
      </c>
      <c r="E406" t="s">
        <v>50</v>
      </c>
      <c r="F406" t="s">
        <v>47</v>
      </c>
      <c r="G406" t="s">
        <v>35</v>
      </c>
      <c r="H406" t="s">
        <v>36</v>
      </c>
      <c r="I406" t="s">
        <v>37</v>
      </c>
      <c r="J406">
        <v>799</v>
      </c>
      <c r="K406">
        <v>2</v>
      </c>
      <c r="L406">
        <v>805.99</v>
      </c>
      <c r="M406">
        <v>80.599999999999994</v>
      </c>
      <c r="N406">
        <v>1611.98</v>
      </c>
      <c r="O406">
        <v>1531.38</v>
      </c>
      <c r="P406" t="s">
        <v>2114</v>
      </c>
      <c r="Q406" t="s">
        <v>1479</v>
      </c>
    </row>
    <row r="407" spans="1:17" x14ac:dyDescent="0.3">
      <c r="A407" t="s">
        <v>2271</v>
      </c>
      <c r="B407" t="s">
        <v>1540</v>
      </c>
      <c r="C407" s="1">
        <v>46080</v>
      </c>
      <c r="D407" t="s">
        <v>16</v>
      </c>
      <c r="E407" t="s">
        <v>50</v>
      </c>
      <c r="F407" t="s">
        <v>74</v>
      </c>
      <c r="G407" t="s">
        <v>18</v>
      </c>
      <c r="H407" t="s">
        <v>19</v>
      </c>
      <c r="I407" t="s">
        <v>20</v>
      </c>
      <c r="J407">
        <v>2799</v>
      </c>
      <c r="K407">
        <v>1</v>
      </c>
      <c r="L407">
        <v>2575.21</v>
      </c>
      <c r="M407">
        <v>257.52</v>
      </c>
      <c r="N407">
        <v>2575.21</v>
      </c>
      <c r="O407">
        <v>2317.69</v>
      </c>
      <c r="P407" t="s">
        <v>2111</v>
      </c>
      <c r="Q407" t="s">
        <v>498</v>
      </c>
    </row>
    <row r="408" spans="1:17" x14ac:dyDescent="0.3">
      <c r="A408" t="s">
        <v>2385</v>
      </c>
      <c r="B408" t="s">
        <v>539</v>
      </c>
      <c r="C408" s="1">
        <v>46104</v>
      </c>
      <c r="D408" t="s">
        <v>16</v>
      </c>
      <c r="E408" t="s">
        <v>50</v>
      </c>
      <c r="F408" t="s">
        <v>60</v>
      </c>
      <c r="G408" t="s">
        <v>250</v>
      </c>
      <c r="H408" t="s">
        <v>251</v>
      </c>
      <c r="I408" t="s">
        <v>108</v>
      </c>
      <c r="J408">
        <v>899</v>
      </c>
      <c r="K408">
        <v>1</v>
      </c>
      <c r="L408">
        <v>976.7</v>
      </c>
      <c r="M408">
        <v>97.67</v>
      </c>
      <c r="N408">
        <v>976.7</v>
      </c>
      <c r="O408">
        <v>879.03</v>
      </c>
      <c r="P408" t="s">
        <v>2111</v>
      </c>
      <c r="Q408" t="s">
        <v>789</v>
      </c>
    </row>
    <row r="409" spans="1:17" x14ac:dyDescent="0.3">
      <c r="A409" t="s">
        <v>2386</v>
      </c>
      <c r="B409" t="s">
        <v>2387</v>
      </c>
      <c r="C409" s="1">
        <v>46082</v>
      </c>
      <c r="D409" t="s">
        <v>63</v>
      </c>
      <c r="E409" t="s">
        <v>50</v>
      </c>
      <c r="F409" t="s">
        <v>47</v>
      </c>
      <c r="G409" t="s">
        <v>43</v>
      </c>
      <c r="H409" t="s">
        <v>44</v>
      </c>
      <c r="I409" t="s">
        <v>45</v>
      </c>
      <c r="J409">
        <v>3299</v>
      </c>
      <c r="K409">
        <v>1</v>
      </c>
      <c r="L409">
        <v>3216.22</v>
      </c>
      <c r="M409">
        <v>321.62</v>
      </c>
      <c r="N409">
        <v>3216.22</v>
      </c>
      <c r="O409">
        <v>2894.6</v>
      </c>
      <c r="P409" t="s">
        <v>2111</v>
      </c>
      <c r="Q409" t="s">
        <v>789</v>
      </c>
    </row>
    <row r="410" spans="1:17" x14ac:dyDescent="0.3">
      <c r="A410" t="s">
        <v>955</v>
      </c>
      <c r="B410" t="s">
        <v>598</v>
      </c>
      <c r="C410" s="1">
        <v>46093</v>
      </c>
      <c r="D410" t="s">
        <v>16</v>
      </c>
      <c r="E410" t="s">
        <v>50</v>
      </c>
      <c r="F410" t="s">
        <v>22</v>
      </c>
      <c r="G410" t="s">
        <v>86</v>
      </c>
      <c r="H410" t="s">
        <v>87</v>
      </c>
      <c r="I410" t="s">
        <v>82</v>
      </c>
      <c r="J410">
        <v>3499</v>
      </c>
      <c r="K410">
        <v>2</v>
      </c>
      <c r="L410">
        <v>3205.63</v>
      </c>
      <c r="M410">
        <v>0</v>
      </c>
      <c r="N410">
        <v>6411.26</v>
      </c>
      <c r="O410">
        <v>6411.26</v>
      </c>
      <c r="P410" t="s">
        <v>2111</v>
      </c>
      <c r="Q410" t="s">
        <v>789</v>
      </c>
    </row>
    <row r="411" spans="1:17" x14ac:dyDescent="0.3">
      <c r="A411" t="s">
        <v>1892</v>
      </c>
      <c r="B411" t="s">
        <v>1891</v>
      </c>
      <c r="C411" s="1">
        <v>46181</v>
      </c>
      <c r="D411" t="s">
        <v>26</v>
      </c>
      <c r="E411" t="s">
        <v>17</v>
      </c>
      <c r="F411" t="s">
        <v>22</v>
      </c>
      <c r="G411" t="s">
        <v>56</v>
      </c>
      <c r="H411" t="s">
        <v>57</v>
      </c>
      <c r="I411" t="s">
        <v>58</v>
      </c>
      <c r="J411">
        <v>8999</v>
      </c>
      <c r="K411">
        <v>1</v>
      </c>
      <c r="L411">
        <v>8796.15</v>
      </c>
      <c r="M411">
        <v>1319.42</v>
      </c>
      <c r="N411">
        <v>8796.15</v>
      </c>
      <c r="O411">
        <v>7476.73</v>
      </c>
      <c r="P411" t="s">
        <v>2111</v>
      </c>
      <c r="Q411" t="s">
        <v>1809</v>
      </c>
    </row>
    <row r="412" spans="1:17" x14ac:dyDescent="0.3">
      <c r="A412" t="s">
        <v>720</v>
      </c>
      <c r="B412" t="s">
        <v>485</v>
      </c>
      <c r="C412" s="1">
        <v>46075</v>
      </c>
      <c r="D412" t="s">
        <v>34</v>
      </c>
      <c r="E412" t="s">
        <v>17</v>
      </c>
      <c r="F412" t="s">
        <v>60</v>
      </c>
      <c r="G412" t="s">
        <v>250</v>
      </c>
      <c r="H412" t="s">
        <v>251</v>
      </c>
      <c r="I412" t="s">
        <v>108</v>
      </c>
      <c r="J412">
        <v>899</v>
      </c>
      <c r="K412">
        <v>4</v>
      </c>
      <c r="L412">
        <v>917.02</v>
      </c>
      <c r="M412">
        <v>733.62</v>
      </c>
      <c r="N412">
        <v>3668.08</v>
      </c>
      <c r="O412">
        <v>2934.46</v>
      </c>
      <c r="P412" t="s">
        <v>2111</v>
      </c>
      <c r="Q412" t="s">
        <v>498</v>
      </c>
    </row>
    <row r="413" spans="1:17" x14ac:dyDescent="0.3">
      <c r="A413" t="s">
        <v>2388</v>
      </c>
      <c r="B413" t="s">
        <v>725</v>
      </c>
      <c r="C413" s="1">
        <v>46074</v>
      </c>
      <c r="D413" t="s">
        <v>16</v>
      </c>
      <c r="E413" t="s">
        <v>17</v>
      </c>
      <c r="F413" t="s">
        <v>47</v>
      </c>
      <c r="G413" t="s">
        <v>56</v>
      </c>
      <c r="H413" t="s">
        <v>57</v>
      </c>
      <c r="I413" t="s">
        <v>58</v>
      </c>
      <c r="J413">
        <v>8999</v>
      </c>
      <c r="K413">
        <v>1</v>
      </c>
      <c r="L413">
        <v>9023.57</v>
      </c>
      <c r="M413">
        <v>451.18</v>
      </c>
      <c r="N413">
        <v>9023.57</v>
      </c>
      <c r="O413">
        <v>8572.39</v>
      </c>
      <c r="P413" t="s">
        <v>2111</v>
      </c>
      <c r="Q413" t="s">
        <v>498</v>
      </c>
    </row>
    <row r="414" spans="1:17" x14ac:dyDescent="0.3">
      <c r="A414" t="s">
        <v>2389</v>
      </c>
      <c r="B414" t="s">
        <v>1510</v>
      </c>
      <c r="C414" s="1">
        <v>46072</v>
      </c>
      <c r="D414" t="s">
        <v>16</v>
      </c>
      <c r="E414" t="s">
        <v>50</v>
      </c>
      <c r="F414" t="s">
        <v>47</v>
      </c>
      <c r="G414" t="s">
        <v>35</v>
      </c>
      <c r="H414" t="s">
        <v>36</v>
      </c>
      <c r="I414" t="s">
        <v>37</v>
      </c>
      <c r="J414">
        <v>799</v>
      </c>
      <c r="K414">
        <v>1</v>
      </c>
      <c r="L414">
        <v>830.09</v>
      </c>
      <c r="M414">
        <v>83.01</v>
      </c>
      <c r="N414">
        <v>830.09</v>
      </c>
      <c r="O414">
        <v>747.08</v>
      </c>
      <c r="P414" t="s">
        <v>2111</v>
      </c>
      <c r="Q414" t="s">
        <v>498</v>
      </c>
    </row>
    <row r="415" spans="1:17" x14ac:dyDescent="0.3">
      <c r="A415" t="s">
        <v>759</v>
      </c>
      <c r="B415" t="s">
        <v>758</v>
      </c>
      <c r="C415" s="1">
        <v>46079</v>
      </c>
      <c r="D415" t="s">
        <v>34</v>
      </c>
      <c r="E415" t="s">
        <v>17</v>
      </c>
      <c r="F415" t="s">
        <v>60</v>
      </c>
      <c r="G415" t="s">
        <v>27</v>
      </c>
      <c r="H415" t="s">
        <v>28</v>
      </c>
      <c r="I415" t="s">
        <v>29</v>
      </c>
      <c r="J415">
        <v>1599</v>
      </c>
      <c r="K415">
        <v>1</v>
      </c>
      <c r="L415">
        <v>1456.84</v>
      </c>
      <c r="M415">
        <v>364.21</v>
      </c>
      <c r="N415">
        <v>1456.84</v>
      </c>
      <c r="O415">
        <v>1092.6300000000001</v>
      </c>
      <c r="P415" t="s">
        <v>2111</v>
      </c>
      <c r="Q415" t="s">
        <v>498</v>
      </c>
    </row>
    <row r="416" spans="1:17" x14ac:dyDescent="0.3">
      <c r="A416" t="s">
        <v>2390</v>
      </c>
      <c r="B416" t="s">
        <v>2391</v>
      </c>
      <c r="C416" s="1">
        <v>46099</v>
      </c>
      <c r="D416" t="s">
        <v>41</v>
      </c>
      <c r="E416" t="s">
        <v>17</v>
      </c>
      <c r="F416" t="s">
        <v>31</v>
      </c>
      <c r="G416" t="s">
        <v>96</v>
      </c>
      <c r="H416" t="s">
        <v>97</v>
      </c>
      <c r="I416" t="s">
        <v>58</v>
      </c>
      <c r="J416">
        <v>7499</v>
      </c>
      <c r="K416">
        <v>3</v>
      </c>
      <c r="L416">
        <v>7175.85</v>
      </c>
      <c r="M416">
        <v>1076.3800000000001</v>
      </c>
      <c r="N416">
        <v>21527.55</v>
      </c>
      <c r="O416">
        <v>20451.169999999998</v>
      </c>
      <c r="P416" t="s">
        <v>2111</v>
      </c>
      <c r="Q416" t="s">
        <v>789</v>
      </c>
    </row>
    <row r="417" spans="1:17" x14ac:dyDescent="0.3">
      <c r="A417" t="s">
        <v>1973</v>
      </c>
      <c r="B417" t="s">
        <v>1972</v>
      </c>
      <c r="C417" s="1">
        <v>46192</v>
      </c>
      <c r="D417" t="s">
        <v>41</v>
      </c>
      <c r="E417" t="s">
        <v>17</v>
      </c>
      <c r="F417" t="s">
        <v>22</v>
      </c>
      <c r="G417" t="s">
        <v>96</v>
      </c>
      <c r="H417" t="s">
        <v>97</v>
      </c>
      <c r="I417" t="s">
        <v>58</v>
      </c>
      <c r="J417">
        <v>7499</v>
      </c>
      <c r="K417">
        <v>2</v>
      </c>
      <c r="L417">
        <v>7977.78</v>
      </c>
      <c r="M417">
        <v>1595.56</v>
      </c>
      <c r="N417">
        <v>15955.56</v>
      </c>
      <c r="O417">
        <v>14360</v>
      </c>
      <c r="P417" t="s">
        <v>2111</v>
      </c>
      <c r="Q417" t="s">
        <v>1809</v>
      </c>
    </row>
    <row r="418" spans="1:17" x14ac:dyDescent="0.3">
      <c r="A418" t="s">
        <v>2392</v>
      </c>
      <c r="B418" t="s">
        <v>2393</v>
      </c>
      <c r="C418" s="1">
        <v>46073</v>
      </c>
      <c r="D418" t="s">
        <v>63</v>
      </c>
      <c r="E418" t="s">
        <v>17</v>
      </c>
      <c r="F418" t="s">
        <v>22</v>
      </c>
      <c r="G418" t="s">
        <v>43</v>
      </c>
      <c r="H418" t="s">
        <v>44</v>
      </c>
      <c r="I418" t="s">
        <v>45</v>
      </c>
      <c r="J418">
        <v>3299</v>
      </c>
      <c r="K418">
        <v>1</v>
      </c>
      <c r="L418">
        <v>3021.81</v>
      </c>
      <c r="M418">
        <v>0</v>
      </c>
      <c r="N418">
        <v>3021.81</v>
      </c>
      <c r="O418">
        <v>3021.81</v>
      </c>
      <c r="P418" t="s">
        <v>2111</v>
      </c>
      <c r="Q418" t="s">
        <v>498</v>
      </c>
    </row>
    <row r="419" spans="1:17" x14ac:dyDescent="0.3">
      <c r="A419" t="s">
        <v>2394</v>
      </c>
      <c r="B419" t="s">
        <v>2395</v>
      </c>
      <c r="C419" s="1">
        <v>46201</v>
      </c>
      <c r="D419" t="s">
        <v>34</v>
      </c>
      <c r="E419" t="s">
        <v>17</v>
      </c>
      <c r="F419" t="s">
        <v>74</v>
      </c>
      <c r="G419" t="s">
        <v>101</v>
      </c>
      <c r="H419" t="s">
        <v>102</v>
      </c>
      <c r="I419" t="s">
        <v>45</v>
      </c>
      <c r="J419">
        <v>4999</v>
      </c>
      <c r="K419">
        <v>2</v>
      </c>
      <c r="L419">
        <v>5354.41</v>
      </c>
      <c r="M419">
        <v>1070.8800000000001</v>
      </c>
      <c r="N419">
        <v>10708.82</v>
      </c>
      <c r="O419">
        <v>9637.94</v>
      </c>
      <c r="P419" t="s">
        <v>2111</v>
      </c>
      <c r="Q419" t="s">
        <v>1809</v>
      </c>
    </row>
    <row r="420" spans="1:17" x14ac:dyDescent="0.3">
      <c r="A420" t="s">
        <v>2396</v>
      </c>
      <c r="B420" t="s">
        <v>690</v>
      </c>
      <c r="C420" s="1">
        <v>46103</v>
      </c>
      <c r="D420" t="s">
        <v>26</v>
      </c>
      <c r="E420" t="s">
        <v>17</v>
      </c>
      <c r="F420" t="s">
        <v>31</v>
      </c>
      <c r="G420" t="s">
        <v>149</v>
      </c>
      <c r="H420" t="s">
        <v>150</v>
      </c>
      <c r="I420" t="s">
        <v>37</v>
      </c>
      <c r="J420">
        <v>2999</v>
      </c>
      <c r="K420">
        <v>1</v>
      </c>
      <c r="L420">
        <v>2754.22</v>
      </c>
      <c r="M420">
        <v>0</v>
      </c>
      <c r="N420">
        <v>2754.22</v>
      </c>
      <c r="O420">
        <v>2754.22</v>
      </c>
      <c r="P420" t="s">
        <v>2111</v>
      </c>
      <c r="Q420" t="s">
        <v>789</v>
      </c>
    </row>
    <row r="421" spans="1:17" x14ac:dyDescent="0.3">
      <c r="A421" t="s">
        <v>2397</v>
      </c>
      <c r="B421" t="s">
        <v>2398</v>
      </c>
      <c r="C421" s="1">
        <v>46202</v>
      </c>
      <c r="D421" t="s">
        <v>41</v>
      </c>
      <c r="E421" t="s">
        <v>17</v>
      </c>
      <c r="F421" t="s">
        <v>74</v>
      </c>
      <c r="G421" t="s">
        <v>126</v>
      </c>
      <c r="H421" t="s">
        <v>127</v>
      </c>
      <c r="I421" t="s">
        <v>45</v>
      </c>
      <c r="J421">
        <v>2499</v>
      </c>
      <c r="K421">
        <v>1</v>
      </c>
      <c r="L421">
        <v>2666.16</v>
      </c>
      <c r="M421">
        <v>666.54</v>
      </c>
      <c r="N421">
        <v>2666.16</v>
      </c>
      <c r="O421">
        <v>1999.62</v>
      </c>
      <c r="P421" t="s">
        <v>2111</v>
      </c>
      <c r="Q421" t="s">
        <v>1809</v>
      </c>
    </row>
    <row r="422" spans="1:17" x14ac:dyDescent="0.3">
      <c r="A422" t="s">
        <v>2167</v>
      </c>
      <c r="B422" t="s">
        <v>2168</v>
      </c>
      <c r="C422" s="1">
        <v>46113</v>
      </c>
      <c r="D422" t="s">
        <v>34</v>
      </c>
      <c r="E422" t="s">
        <v>17</v>
      </c>
      <c r="F422" t="s">
        <v>74</v>
      </c>
      <c r="G422" t="s">
        <v>96</v>
      </c>
      <c r="H422" t="s">
        <v>97</v>
      </c>
      <c r="I422" t="s">
        <v>58</v>
      </c>
      <c r="J422">
        <v>7499</v>
      </c>
      <c r="K422">
        <v>1</v>
      </c>
      <c r="L422">
        <v>7290.21</v>
      </c>
      <c r="M422">
        <v>1093.53</v>
      </c>
      <c r="N422">
        <v>7290.21</v>
      </c>
      <c r="O422">
        <v>6196.68</v>
      </c>
      <c r="P422" t="s">
        <v>2111</v>
      </c>
      <c r="Q422" t="s">
        <v>1170</v>
      </c>
    </row>
    <row r="423" spans="1:17" x14ac:dyDescent="0.3">
      <c r="A423" t="s">
        <v>312</v>
      </c>
      <c r="B423" t="s">
        <v>311</v>
      </c>
      <c r="C423" s="1">
        <v>46038</v>
      </c>
      <c r="D423" t="s">
        <v>26</v>
      </c>
      <c r="E423" t="s">
        <v>50</v>
      </c>
      <c r="F423" t="s">
        <v>22</v>
      </c>
      <c r="G423" t="s">
        <v>56</v>
      </c>
      <c r="H423" t="s">
        <v>57</v>
      </c>
      <c r="I423" t="s">
        <v>58</v>
      </c>
      <c r="J423">
        <v>8999</v>
      </c>
      <c r="K423">
        <v>1</v>
      </c>
      <c r="L423">
        <v>9200.9500000000007</v>
      </c>
      <c r="M423">
        <v>1380.14</v>
      </c>
      <c r="N423">
        <v>9200.9500000000007</v>
      </c>
      <c r="O423">
        <v>7820.81</v>
      </c>
      <c r="P423" t="s">
        <v>2111</v>
      </c>
      <c r="Q423" t="s">
        <v>23</v>
      </c>
    </row>
    <row r="424" spans="1:17" x14ac:dyDescent="0.3">
      <c r="A424" t="s">
        <v>599</v>
      </c>
      <c r="B424" t="s">
        <v>598</v>
      </c>
      <c r="C424" s="1">
        <v>46063</v>
      </c>
      <c r="D424" t="s">
        <v>26</v>
      </c>
      <c r="E424" t="s">
        <v>50</v>
      </c>
      <c r="F424" t="s">
        <v>60</v>
      </c>
      <c r="G424" t="s">
        <v>80</v>
      </c>
      <c r="H424" t="s">
        <v>81</v>
      </c>
      <c r="I424" t="s">
        <v>82</v>
      </c>
      <c r="J424">
        <v>4299</v>
      </c>
      <c r="K424">
        <v>1</v>
      </c>
      <c r="L424">
        <v>4000.55</v>
      </c>
      <c r="M424">
        <v>600.08000000000004</v>
      </c>
      <c r="N424">
        <v>4000.55</v>
      </c>
      <c r="O424">
        <v>3400.47</v>
      </c>
      <c r="P424" t="s">
        <v>2111</v>
      </c>
      <c r="Q424" t="s">
        <v>498</v>
      </c>
    </row>
    <row r="425" spans="1:17" x14ac:dyDescent="0.3">
      <c r="A425" t="s">
        <v>1353</v>
      </c>
      <c r="B425" t="s">
        <v>1352</v>
      </c>
      <c r="C425" s="1">
        <v>46133</v>
      </c>
      <c r="D425" t="s">
        <v>34</v>
      </c>
      <c r="E425" t="s">
        <v>17</v>
      </c>
      <c r="F425" t="s">
        <v>22</v>
      </c>
      <c r="G425" t="s">
        <v>18</v>
      </c>
      <c r="H425" t="s">
        <v>19</v>
      </c>
      <c r="I425" t="s">
        <v>20</v>
      </c>
      <c r="J425">
        <v>2799</v>
      </c>
      <c r="K425">
        <v>3</v>
      </c>
      <c r="L425">
        <v>2556.14</v>
      </c>
      <c r="M425">
        <v>766.84</v>
      </c>
      <c r="N425">
        <v>7668.42</v>
      </c>
      <c r="O425">
        <v>6901.58</v>
      </c>
      <c r="P425" t="s">
        <v>2111</v>
      </c>
      <c r="Q425" t="s">
        <v>1170</v>
      </c>
    </row>
    <row r="426" spans="1:17" x14ac:dyDescent="0.3">
      <c r="A426" t="s">
        <v>1328</v>
      </c>
      <c r="B426" t="s">
        <v>1327</v>
      </c>
      <c r="C426" s="1">
        <v>46130</v>
      </c>
      <c r="D426" t="s">
        <v>16</v>
      </c>
      <c r="E426" t="s">
        <v>17</v>
      </c>
      <c r="F426" t="s">
        <v>31</v>
      </c>
      <c r="G426" t="s">
        <v>51</v>
      </c>
      <c r="H426" t="s">
        <v>52</v>
      </c>
      <c r="I426" t="s">
        <v>20</v>
      </c>
      <c r="J426">
        <v>999</v>
      </c>
      <c r="K426">
        <v>1</v>
      </c>
      <c r="L426">
        <v>942.24</v>
      </c>
      <c r="M426">
        <v>94.22</v>
      </c>
      <c r="N426">
        <v>942.24</v>
      </c>
      <c r="O426">
        <v>848.02</v>
      </c>
      <c r="P426" t="s">
        <v>2111</v>
      </c>
      <c r="Q426" t="s">
        <v>1170</v>
      </c>
    </row>
    <row r="427" spans="1:17" x14ac:dyDescent="0.3">
      <c r="A427" t="s">
        <v>2244</v>
      </c>
      <c r="B427" t="s">
        <v>2245</v>
      </c>
      <c r="C427" s="1">
        <v>46176</v>
      </c>
      <c r="D427" t="s">
        <v>26</v>
      </c>
      <c r="E427" t="s">
        <v>50</v>
      </c>
      <c r="F427" t="s">
        <v>22</v>
      </c>
      <c r="G427" t="s">
        <v>126</v>
      </c>
      <c r="H427" t="s">
        <v>127</v>
      </c>
      <c r="I427" t="s">
        <v>45</v>
      </c>
      <c r="J427">
        <v>2499</v>
      </c>
      <c r="K427">
        <v>3</v>
      </c>
      <c r="L427">
        <v>2313</v>
      </c>
      <c r="M427">
        <v>1387.8</v>
      </c>
      <c r="N427">
        <v>6939</v>
      </c>
      <c r="O427">
        <v>5551.2</v>
      </c>
      <c r="P427" t="s">
        <v>2111</v>
      </c>
      <c r="Q427" t="s">
        <v>1809</v>
      </c>
    </row>
    <row r="428" spans="1:17" x14ac:dyDescent="0.3">
      <c r="A428" t="s">
        <v>2397</v>
      </c>
      <c r="B428" t="s">
        <v>2398</v>
      </c>
      <c r="C428" s="1">
        <v>46202</v>
      </c>
      <c r="D428" t="s">
        <v>41</v>
      </c>
      <c r="E428" t="s">
        <v>17</v>
      </c>
      <c r="F428" t="s">
        <v>74</v>
      </c>
      <c r="G428" t="s">
        <v>101</v>
      </c>
      <c r="H428" t="s">
        <v>102</v>
      </c>
      <c r="I428" t="s">
        <v>45</v>
      </c>
      <c r="J428">
        <v>4999</v>
      </c>
      <c r="K428">
        <v>1</v>
      </c>
      <c r="L428">
        <v>4811.4399999999996</v>
      </c>
      <c r="M428">
        <v>1202.8599999999999</v>
      </c>
      <c r="N428">
        <v>4811.4399999999996</v>
      </c>
      <c r="O428">
        <v>3608.58</v>
      </c>
      <c r="P428" t="s">
        <v>2111</v>
      </c>
      <c r="Q428" t="s">
        <v>1809</v>
      </c>
    </row>
    <row r="429" spans="1:17" x14ac:dyDescent="0.3">
      <c r="A429" t="s">
        <v>2399</v>
      </c>
      <c r="B429" t="s">
        <v>1207</v>
      </c>
      <c r="C429" s="1">
        <v>46194</v>
      </c>
      <c r="D429" t="s">
        <v>41</v>
      </c>
      <c r="E429" t="s">
        <v>17</v>
      </c>
      <c r="F429" t="s">
        <v>31</v>
      </c>
      <c r="G429" t="s">
        <v>86</v>
      </c>
      <c r="H429" t="s">
        <v>87</v>
      </c>
      <c r="I429" t="s">
        <v>82</v>
      </c>
      <c r="J429">
        <v>3499</v>
      </c>
      <c r="K429">
        <v>2</v>
      </c>
      <c r="L429">
        <v>3509.07</v>
      </c>
      <c r="M429">
        <v>701.81</v>
      </c>
      <c r="N429">
        <v>7018.14</v>
      </c>
      <c r="O429">
        <v>6316.33</v>
      </c>
      <c r="P429" t="s">
        <v>2114</v>
      </c>
      <c r="Q429" t="s">
        <v>1809</v>
      </c>
    </row>
    <row r="430" spans="1:17" x14ac:dyDescent="0.3">
      <c r="A430" t="s">
        <v>1314</v>
      </c>
      <c r="B430" t="s">
        <v>1313</v>
      </c>
      <c r="C430" s="1">
        <v>46129</v>
      </c>
      <c r="D430" t="s">
        <v>16</v>
      </c>
      <c r="E430" t="s">
        <v>50</v>
      </c>
      <c r="F430" t="s">
        <v>60</v>
      </c>
      <c r="G430" t="s">
        <v>96</v>
      </c>
      <c r="H430" t="s">
        <v>97</v>
      </c>
      <c r="I430" t="s">
        <v>58</v>
      </c>
      <c r="J430">
        <v>7499</v>
      </c>
      <c r="K430">
        <v>1</v>
      </c>
      <c r="L430">
        <v>7632.12</v>
      </c>
      <c r="M430">
        <v>1526.42</v>
      </c>
      <c r="N430">
        <v>7632.12</v>
      </c>
      <c r="O430">
        <v>6105.7</v>
      </c>
      <c r="P430" t="s">
        <v>2111</v>
      </c>
      <c r="Q430" t="s">
        <v>1170</v>
      </c>
    </row>
    <row r="431" spans="1:17" x14ac:dyDescent="0.3">
      <c r="A431" t="s">
        <v>2400</v>
      </c>
      <c r="B431" t="s">
        <v>2401</v>
      </c>
      <c r="C431" s="1">
        <v>46140</v>
      </c>
      <c r="D431" t="s">
        <v>16</v>
      </c>
      <c r="E431" t="s">
        <v>50</v>
      </c>
      <c r="F431" t="s">
        <v>22</v>
      </c>
      <c r="G431" t="s">
        <v>96</v>
      </c>
      <c r="H431" t="s">
        <v>97</v>
      </c>
      <c r="I431" t="s">
        <v>58</v>
      </c>
      <c r="J431">
        <v>7499</v>
      </c>
      <c r="K431">
        <v>1</v>
      </c>
      <c r="L431">
        <v>7933.74</v>
      </c>
      <c r="M431">
        <v>793.37</v>
      </c>
      <c r="N431">
        <v>7933.74</v>
      </c>
      <c r="O431">
        <v>7140.37</v>
      </c>
      <c r="P431" t="s">
        <v>2111</v>
      </c>
      <c r="Q431" t="s">
        <v>1170</v>
      </c>
    </row>
    <row r="432" spans="1:17" x14ac:dyDescent="0.3">
      <c r="A432" t="s">
        <v>2402</v>
      </c>
      <c r="B432" t="s">
        <v>204</v>
      </c>
      <c r="C432" s="1">
        <v>46084</v>
      </c>
      <c r="D432" t="s">
        <v>41</v>
      </c>
      <c r="E432" t="s">
        <v>42</v>
      </c>
      <c r="F432" t="s">
        <v>47</v>
      </c>
      <c r="G432" t="s">
        <v>18</v>
      </c>
      <c r="H432" t="s">
        <v>19</v>
      </c>
      <c r="I432" t="s">
        <v>20</v>
      </c>
      <c r="J432">
        <v>2799</v>
      </c>
      <c r="K432">
        <v>1</v>
      </c>
      <c r="L432">
        <v>2886.46</v>
      </c>
      <c r="M432">
        <v>288.64999999999998</v>
      </c>
      <c r="N432">
        <v>2886.46</v>
      </c>
      <c r="O432">
        <v>2597.81</v>
      </c>
      <c r="P432" t="s">
        <v>2111</v>
      </c>
      <c r="Q432" t="s">
        <v>789</v>
      </c>
    </row>
    <row r="433" spans="1:17" x14ac:dyDescent="0.3">
      <c r="A433" t="s">
        <v>561</v>
      </c>
      <c r="B433" t="s">
        <v>560</v>
      </c>
      <c r="C433" s="1">
        <v>46059</v>
      </c>
      <c r="D433" t="s">
        <v>63</v>
      </c>
      <c r="E433" t="s">
        <v>42</v>
      </c>
      <c r="F433" t="s">
        <v>60</v>
      </c>
      <c r="G433" t="s">
        <v>191</v>
      </c>
      <c r="H433" t="s">
        <v>192</v>
      </c>
      <c r="I433" t="s">
        <v>45</v>
      </c>
      <c r="J433">
        <v>699</v>
      </c>
      <c r="K433">
        <v>1</v>
      </c>
      <c r="L433">
        <v>714.2</v>
      </c>
      <c r="M433">
        <v>71.42</v>
      </c>
      <c r="N433">
        <v>714.2</v>
      </c>
      <c r="O433">
        <v>642.78</v>
      </c>
      <c r="P433" t="s">
        <v>2111</v>
      </c>
      <c r="Q433" t="s">
        <v>498</v>
      </c>
    </row>
    <row r="434" spans="1:17" x14ac:dyDescent="0.3">
      <c r="A434" t="s">
        <v>1155</v>
      </c>
      <c r="B434" t="s">
        <v>1154</v>
      </c>
      <c r="C434" s="1">
        <v>46112</v>
      </c>
      <c r="D434" t="s">
        <v>16</v>
      </c>
      <c r="E434" t="s">
        <v>50</v>
      </c>
      <c r="F434" t="s">
        <v>60</v>
      </c>
      <c r="G434" t="s">
        <v>191</v>
      </c>
      <c r="H434" t="s">
        <v>192</v>
      </c>
      <c r="I434" t="s">
        <v>45</v>
      </c>
      <c r="J434">
        <v>699</v>
      </c>
      <c r="K434">
        <v>2</v>
      </c>
      <c r="L434">
        <v>686.67</v>
      </c>
      <c r="M434">
        <v>68.67</v>
      </c>
      <c r="N434">
        <v>1373.34</v>
      </c>
      <c r="O434">
        <v>1304.67</v>
      </c>
      <c r="P434" t="s">
        <v>2111</v>
      </c>
      <c r="Q434" t="s">
        <v>789</v>
      </c>
    </row>
    <row r="435" spans="1:17" x14ac:dyDescent="0.3">
      <c r="A435" t="s">
        <v>1993</v>
      </c>
      <c r="B435" t="s">
        <v>1992</v>
      </c>
      <c r="C435" s="1">
        <v>46193</v>
      </c>
      <c r="D435" t="s">
        <v>16</v>
      </c>
      <c r="E435" t="s">
        <v>17</v>
      </c>
      <c r="F435" t="s">
        <v>22</v>
      </c>
      <c r="G435" t="s">
        <v>106</v>
      </c>
      <c r="H435" t="s">
        <v>107</v>
      </c>
      <c r="I435" t="s">
        <v>108</v>
      </c>
      <c r="J435">
        <v>599</v>
      </c>
      <c r="K435">
        <v>1</v>
      </c>
      <c r="L435">
        <v>595.86</v>
      </c>
      <c r="M435">
        <v>0</v>
      </c>
      <c r="N435">
        <v>595.86</v>
      </c>
      <c r="O435">
        <v>595.86</v>
      </c>
      <c r="P435" t="s">
        <v>2111</v>
      </c>
      <c r="Q435" t="s">
        <v>1809</v>
      </c>
    </row>
    <row r="436" spans="1:17" x14ac:dyDescent="0.3">
      <c r="A436" t="s">
        <v>548</v>
      </c>
      <c r="B436" t="s">
        <v>219</v>
      </c>
      <c r="C436" s="1">
        <v>46058</v>
      </c>
      <c r="D436" t="s">
        <v>26</v>
      </c>
      <c r="E436" t="s">
        <v>50</v>
      </c>
      <c r="F436" t="s">
        <v>74</v>
      </c>
      <c r="G436" t="s">
        <v>96</v>
      </c>
      <c r="H436" t="s">
        <v>97</v>
      </c>
      <c r="I436" t="s">
        <v>58</v>
      </c>
      <c r="J436">
        <v>7499</v>
      </c>
      <c r="K436">
        <v>2</v>
      </c>
      <c r="L436">
        <v>7370.8</v>
      </c>
      <c r="M436">
        <v>737.08</v>
      </c>
      <c r="N436">
        <v>14741.6</v>
      </c>
      <c r="O436">
        <v>14004.52</v>
      </c>
      <c r="P436" t="s">
        <v>2111</v>
      </c>
      <c r="Q436" t="s">
        <v>498</v>
      </c>
    </row>
    <row r="437" spans="1:17" x14ac:dyDescent="0.3">
      <c r="A437" t="s">
        <v>948</v>
      </c>
      <c r="B437" t="s">
        <v>947</v>
      </c>
      <c r="C437" s="1">
        <v>46093</v>
      </c>
      <c r="D437" t="s">
        <v>41</v>
      </c>
      <c r="E437" t="s">
        <v>50</v>
      </c>
      <c r="F437" t="s">
        <v>60</v>
      </c>
      <c r="G437" t="s">
        <v>56</v>
      </c>
      <c r="H437" t="s">
        <v>57</v>
      </c>
      <c r="I437" t="s">
        <v>58</v>
      </c>
      <c r="J437">
        <v>8999</v>
      </c>
      <c r="K437">
        <v>1</v>
      </c>
      <c r="L437">
        <v>9614.83</v>
      </c>
      <c r="M437">
        <v>961.48</v>
      </c>
      <c r="N437">
        <v>9614.83</v>
      </c>
      <c r="O437">
        <v>8653.35</v>
      </c>
      <c r="P437" t="s">
        <v>2111</v>
      </c>
      <c r="Q437" t="s">
        <v>789</v>
      </c>
    </row>
    <row r="438" spans="1:17" x14ac:dyDescent="0.3">
      <c r="A438" t="s">
        <v>1857</v>
      </c>
      <c r="B438" t="s">
        <v>1856</v>
      </c>
      <c r="C438" s="1">
        <v>46177</v>
      </c>
      <c r="D438" t="s">
        <v>16</v>
      </c>
      <c r="E438" t="s">
        <v>17</v>
      </c>
      <c r="F438" t="s">
        <v>60</v>
      </c>
      <c r="G438" t="s">
        <v>165</v>
      </c>
      <c r="H438" t="s">
        <v>166</v>
      </c>
      <c r="I438" t="s">
        <v>29</v>
      </c>
      <c r="J438">
        <v>449</v>
      </c>
      <c r="K438">
        <v>1</v>
      </c>
      <c r="L438">
        <v>424.75</v>
      </c>
      <c r="M438">
        <v>21.24</v>
      </c>
      <c r="N438">
        <v>424.75</v>
      </c>
      <c r="O438">
        <v>403.51</v>
      </c>
      <c r="P438" t="s">
        <v>2111</v>
      </c>
      <c r="Q438" t="s">
        <v>1809</v>
      </c>
    </row>
    <row r="439" spans="1:17" x14ac:dyDescent="0.3">
      <c r="A439" t="s">
        <v>2403</v>
      </c>
      <c r="B439" t="s">
        <v>2404</v>
      </c>
      <c r="C439" s="1">
        <v>46067</v>
      </c>
      <c r="D439" t="s">
        <v>26</v>
      </c>
      <c r="E439" t="s">
        <v>50</v>
      </c>
      <c r="F439" t="s">
        <v>22</v>
      </c>
      <c r="G439" t="s">
        <v>51</v>
      </c>
      <c r="H439" t="s">
        <v>52</v>
      </c>
      <c r="I439" t="s">
        <v>20</v>
      </c>
      <c r="J439">
        <v>999</v>
      </c>
      <c r="K439">
        <v>1</v>
      </c>
      <c r="L439">
        <v>900.24</v>
      </c>
      <c r="M439">
        <v>90.02</v>
      </c>
      <c r="N439">
        <v>900.24</v>
      </c>
      <c r="O439">
        <v>810.22</v>
      </c>
      <c r="P439" t="s">
        <v>2111</v>
      </c>
      <c r="Q439" t="s">
        <v>498</v>
      </c>
    </row>
    <row r="440" spans="1:17" x14ac:dyDescent="0.3">
      <c r="A440" t="s">
        <v>743</v>
      </c>
      <c r="B440" t="s">
        <v>742</v>
      </c>
      <c r="C440" s="1">
        <v>46078</v>
      </c>
      <c r="D440" t="s">
        <v>63</v>
      </c>
      <c r="E440" t="s">
        <v>17</v>
      </c>
      <c r="F440" t="s">
        <v>22</v>
      </c>
      <c r="G440" t="s">
        <v>101</v>
      </c>
      <c r="H440" t="s">
        <v>102</v>
      </c>
      <c r="I440" t="s">
        <v>45</v>
      </c>
      <c r="J440">
        <v>4999</v>
      </c>
      <c r="K440">
        <v>3</v>
      </c>
      <c r="L440">
        <v>5150.29</v>
      </c>
      <c r="M440">
        <v>3862.72</v>
      </c>
      <c r="N440">
        <v>15450.87</v>
      </c>
      <c r="O440">
        <v>11588.15</v>
      </c>
      <c r="P440" t="s">
        <v>2111</v>
      </c>
      <c r="Q440" t="s">
        <v>498</v>
      </c>
    </row>
    <row r="441" spans="1:17" x14ac:dyDescent="0.3">
      <c r="A441" t="s">
        <v>979</v>
      </c>
      <c r="B441" t="s">
        <v>978</v>
      </c>
      <c r="C441" s="1">
        <v>46096</v>
      </c>
      <c r="D441" t="s">
        <v>34</v>
      </c>
      <c r="E441" t="s">
        <v>17</v>
      </c>
      <c r="F441" t="s">
        <v>22</v>
      </c>
      <c r="G441" t="s">
        <v>160</v>
      </c>
      <c r="H441" t="s">
        <v>161</v>
      </c>
      <c r="I441" t="s">
        <v>82</v>
      </c>
      <c r="J441">
        <v>799</v>
      </c>
      <c r="K441">
        <v>2</v>
      </c>
      <c r="L441">
        <v>751.45</v>
      </c>
      <c r="M441">
        <v>75.150000000000006</v>
      </c>
      <c r="N441">
        <v>1502.9</v>
      </c>
      <c r="O441">
        <v>1427.75</v>
      </c>
      <c r="P441" t="s">
        <v>2111</v>
      </c>
      <c r="Q441" t="s">
        <v>789</v>
      </c>
    </row>
    <row r="442" spans="1:17" x14ac:dyDescent="0.3">
      <c r="A442" t="s">
        <v>825</v>
      </c>
      <c r="B442" t="s">
        <v>824</v>
      </c>
      <c r="C442" s="1">
        <v>46084</v>
      </c>
      <c r="D442" t="s">
        <v>34</v>
      </c>
      <c r="E442" t="s">
        <v>17</v>
      </c>
      <c r="F442" t="s">
        <v>22</v>
      </c>
      <c r="G442" t="s">
        <v>51</v>
      </c>
      <c r="H442" t="s">
        <v>52</v>
      </c>
      <c r="I442" t="s">
        <v>20</v>
      </c>
      <c r="J442">
        <v>999</v>
      </c>
      <c r="K442">
        <v>1</v>
      </c>
      <c r="L442">
        <v>1076.95</v>
      </c>
      <c r="M442">
        <v>107.7</v>
      </c>
      <c r="N442">
        <v>1076.95</v>
      </c>
      <c r="O442">
        <v>969.25</v>
      </c>
      <c r="P442" t="s">
        <v>2111</v>
      </c>
      <c r="Q442" t="s">
        <v>789</v>
      </c>
    </row>
    <row r="443" spans="1:17" x14ac:dyDescent="0.3">
      <c r="A443" t="s">
        <v>2112</v>
      </c>
      <c r="B443" t="s">
        <v>2113</v>
      </c>
      <c r="C443" s="1">
        <v>46178</v>
      </c>
      <c r="D443" t="s">
        <v>16</v>
      </c>
      <c r="E443" t="s">
        <v>17</v>
      </c>
      <c r="F443" t="s">
        <v>31</v>
      </c>
      <c r="G443" t="s">
        <v>191</v>
      </c>
      <c r="H443" t="s">
        <v>192</v>
      </c>
      <c r="I443" t="s">
        <v>45</v>
      </c>
      <c r="J443">
        <v>699</v>
      </c>
      <c r="K443">
        <v>1</v>
      </c>
      <c r="L443">
        <v>749.19</v>
      </c>
      <c r="M443">
        <v>0</v>
      </c>
      <c r="N443">
        <v>749.19</v>
      </c>
      <c r="O443">
        <v>749.19</v>
      </c>
      <c r="P443" t="s">
        <v>2114</v>
      </c>
      <c r="Q443" t="s">
        <v>1809</v>
      </c>
    </row>
    <row r="444" spans="1:17" x14ac:dyDescent="0.3">
      <c r="A444" t="s">
        <v>2264</v>
      </c>
      <c r="B444" t="s">
        <v>2265</v>
      </c>
      <c r="C444" s="1">
        <v>46164</v>
      </c>
      <c r="D444" t="s">
        <v>41</v>
      </c>
      <c r="E444" t="s">
        <v>17</v>
      </c>
      <c r="F444" t="s">
        <v>74</v>
      </c>
      <c r="G444" t="s">
        <v>101</v>
      </c>
      <c r="H444" t="s">
        <v>102</v>
      </c>
      <c r="I444" t="s">
        <v>45</v>
      </c>
      <c r="J444">
        <v>4999</v>
      </c>
      <c r="K444">
        <v>1</v>
      </c>
      <c r="L444">
        <v>4575.8100000000004</v>
      </c>
      <c r="M444">
        <v>0</v>
      </c>
      <c r="N444">
        <v>4575.8100000000004</v>
      </c>
      <c r="O444">
        <v>4575.8100000000004</v>
      </c>
      <c r="P444" t="s">
        <v>2111</v>
      </c>
      <c r="Q444" t="s">
        <v>1479</v>
      </c>
    </row>
    <row r="445" spans="1:17" x14ac:dyDescent="0.3">
      <c r="A445" t="s">
        <v>347</v>
      </c>
      <c r="B445" t="s">
        <v>346</v>
      </c>
      <c r="C445" s="1">
        <v>46041</v>
      </c>
      <c r="D445" t="s">
        <v>26</v>
      </c>
      <c r="E445" t="s">
        <v>50</v>
      </c>
      <c r="F445" t="s">
        <v>31</v>
      </c>
      <c r="G445" t="s">
        <v>355</v>
      </c>
      <c r="H445" t="s">
        <v>356</v>
      </c>
      <c r="I445" t="s">
        <v>82</v>
      </c>
      <c r="J445">
        <v>499</v>
      </c>
      <c r="K445">
        <v>4</v>
      </c>
      <c r="L445">
        <v>459.72</v>
      </c>
      <c r="M445">
        <v>275.83</v>
      </c>
      <c r="N445">
        <v>1838.88</v>
      </c>
      <c r="O445">
        <v>1563.05</v>
      </c>
      <c r="P445" t="s">
        <v>2111</v>
      </c>
      <c r="Q445" t="s">
        <v>23</v>
      </c>
    </row>
    <row r="446" spans="1:17" x14ac:dyDescent="0.3">
      <c r="A446" t="s">
        <v>1089</v>
      </c>
      <c r="B446" t="s">
        <v>1088</v>
      </c>
      <c r="C446" s="1">
        <v>46105</v>
      </c>
      <c r="D446" t="s">
        <v>63</v>
      </c>
      <c r="E446" t="s">
        <v>50</v>
      </c>
      <c r="F446" t="s">
        <v>31</v>
      </c>
      <c r="G446" t="s">
        <v>91</v>
      </c>
      <c r="H446" t="s">
        <v>92</v>
      </c>
      <c r="I446" t="s">
        <v>37</v>
      </c>
      <c r="J446">
        <v>1899</v>
      </c>
      <c r="K446">
        <v>2</v>
      </c>
      <c r="L446">
        <v>1897.17</v>
      </c>
      <c r="M446">
        <v>379.43</v>
      </c>
      <c r="N446">
        <v>3794.34</v>
      </c>
      <c r="O446">
        <v>3414.91</v>
      </c>
      <c r="P446" t="s">
        <v>2114</v>
      </c>
      <c r="Q446" t="s">
        <v>789</v>
      </c>
    </row>
    <row r="447" spans="1:17" x14ac:dyDescent="0.3">
      <c r="A447" t="s">
        <v>2405</v>
      </c>
      <c r="B447" t="s">
        <v>1387</v>
      </c>
      <c r="C447" s="1">
        <v>46190</v>
      </c>
      <c r="D447" t="s">
        <v>41</v>
      </c>
      <c r="E447" t="s">
        <v>17</v>
      </c>
      <c r="F447" t="s">
        <v>60</v>
      </c>
      <c r="G447" t="s">
        <v>250</v>
      </c>
      <c r="H447" t="s">
        <v>251</v>
      </c>
      <c r="I447" t="s">
        <v>108</v>
      </c>
      <c r="J447">
        <v>899</v>
      </c>
      <c r="K447">
        <v>1</v>
      </c>
      <c r="L447">
        <v>918.64</v>
      </c>
      <c r="M447">
        <v>137.80000000000001</v>
      </c>
      <c r="N447">
        <v>918.64</v>
      </c>
      <c r="O447">
        <v>780.84</v>
      </c>
      <c r="P447" t="s">
        <v>2111</v>
      </c>
      <c r="Q447" t="s">
        <v>1809</v>
      </c>
    </row>
    <row r="448" spans="1:17" x14ac:dyDescent="0.3">
      <c r="A448" t="s">
        <v>2240</v>
      </c>
      <c r="B448" t="s">
        <v>2241</v>
      </c>
      <c r="C448" s="1">
        <v>46045</v>
      </c>
      <c r="D448" t="s">
        <v>26</v>
      </c>
      <c r="E448" t="s">
        <v>17</v>
      </c>
      <c r="F448" t="s">
        <v>60</v>
      </c>
      <c r="G448" t="s">
        <v>112</v>
      </c>
      <c r="H448" t="s">
        <v>113</v>
      </c>
      <c r="I448" t="s">
        <v>37</v>
      </c>
      <c r="J448">
        <v>1499</v>
      </c>
      <c r="K448">
        <v>1</v>
      </c>
      <c r="L448">
        <v>1431.52</v>
      </c>
      <c r="M448">
        <v>0</v>
      </c>
      <c r="N448">
        <v>1431.52</v>
      </c>
      <c r="O448">
        <v>1431.52</v>
      </c>
      <c r="P448" t="s">
        <v>2111</v>
      </c>
      <c r="Q448" t="s">
        <v>23</v>
      </c>
    </row>
    <row r="449" spans="1:17" x14ac:dyDescent="0.3">
      <c r="A449" t="s">
        <v>2406</v>
      </c>
      <c r="B449" t="s">
        <v>1031</v>
      </c>
      <c r="C449" s="1">
        <v>46076</v>
      </c>
      <c r="D449" t="s">
        <v>34</v>
      </c>
      <c r="E449" t="s">
        <v>50</v>
      </c>
      <c r="F449" t="s">
        <v>74</v>
      </c>
      <c r="G449" t="s">
        <v>43</v>
      </c>
      <c r="H449" t="s">
        <v>44</v>
      </c>
      <c r="I449" t="s">
        <v>45</v>
      </c>
      <c r="J449">
        <v>3299</v>
      </c>
      <c r="K449">
        <v>1</v>
      </c>
      <c r="L449">
        <v>3442.04</v>
      </c>
      <c r="M449">
        <v>344.2</v>
      </c>
      <c r="N449">
        <v>3442.04</v>
      </c>
      <c r="O449">
        <v>3097.84</v>
      </c>
      <c r="P449" t="s">
        <v>2114</v>
      </c>
      <c r="Q449" t="s">
        <v>498</v>
      </c>
    </row>
    <row r="450" spans="1:17" x14ac:dyDescent="0.3">
      <c r="A450" t="s">
        <v>1123</v>
      </c>
      <c r="B450" t="s">
        <v>1122</v>
      </c>
      <c r="C450" s="1">
        <v>46108</v>
      </c>
      <c r="D450" t="s">
        <v>16</v>
      </c>
      <c r="E450" t="s">
        <v>17</v>
      </c>
      <c r="F450" t="s">
        <v>47</v>
      </c>
      <c r="G450" t="s">
        <v>91</v>
      </c>
      <c r="H450" t="s">
        <v>92</v>
      </c>
      <c r="I450" t="s">
        <v>37</v>
      </c>
      <c r="J450">
        <v>1899</v>
      </c>
      <c r="K450">
        <v>4</v>
      </c>
      <c r="L450">
        <v>1935.05</v>
      </c>
      <c r="M450">
        <v>387.01</v>
      </c>
      <c r="N450">
        <v>7740.2</v>
      </c>
      <c r="O450">
        <v>7353.19</v>
      </c>
      <c r="P450" t="s">
        <v>2111</v>
      </c>
      <c r="Q450" t="s">
        <v>789</v>
      </c>
    </row>
    <row r="451" spans="1:17" x14ac:dyDescent="0.3">
      <c r="A451" t="s">
        <v>2336</v>
      </c>
      <c r="B451" t="s">
        <v>2201</v>
      </c>
      <c r="C451" s="1">
        <v>46081</v>
      </c>
      <c r="D451" t="s">
        <v>16</v>
      </c>
      <c r="E451" t="s">
        <v>42</v>
      </c>
      <c r="F451" t="s">
        <v>74</v>
      </c>
      <c r="G451" t="s">
        <v>191</v>
      </c>
      <c r="H451" t="s">
        <v>192</v>
      </c>
      <c r="I451" t="s">
        <v>45</v>
      </c>
      <c r="J451">
        <v>699</v>
      </c>
      <c r="K451">
        <v>1</v>
      </c>
      <c r="L451">
        <v>674.51</v>
      </c>
      <c r="M451">
        <v>33.729999999999997</v>
      </c>
      <c r="N451">
        <v>674.51</v>
      </c>
      <c r="O451">
        <v>640.78</v>
      </c>
      <c r="P451" t="s">
        <v>2111</v>
      </c>
      <c r="Q451" t="s">
        <v>498</v>
      </c>
    </row>
    <row r="452" spans="1:17" x14ac:dyDescent="0.3">
      <c r="A452" t="s">
        <v>1823</v>
      </c>
      <c r="B452" t="s">
        <v>1822</v>
      </c>
      <c r="C452" s="1">
        <v>46174</v>
      </c>
      <c r="D452" t="s">
        <v>26</v>
      </c>
      <c r="E452" t="s">
        <v>42</v>
      </c>
      <c r="F452" t="s">
        <v>31</v>
      </c>
      <c r="G452" t="s">
        <v>149</v>
      </c>
      <c r="H452" t="s">
        <v>150</v>
      </c>
      <c r="I452" t="s">
        <v>37</v>
      </c>
      <c r="J452">
        <v>2999</v>
      </c>
      <c r="K452">
        <v>2</v>
      </c>
      <c r="L452">
        <v>2714.32</v>
      </c>
      <c r="M452">
        <v>0</v>
      </c>
      <c r="N452">
        <v>5428.64</v>
      </c>
      <c r="O452">
        <v>5428.64</v>
      </c>
      <c r="P452" t="s">
        <v>2111</v>
      </c>
      <c r="Q452" t="s">
        <v>1809</v>
      </c>
    </row>
    <row r="453" spans="1:17" x14ac:dyDescent="0.3">
      <c r="A453" t="s">
        <v>318</v>
      </c>
      <c r="B453" t="s">
        <v>317</v>
      </c>
      <c r="C453" s="1">
        <v>46038</v>
      </c>
      <c r="D453" t="s">
        <v>34</v>
      </c>
      <c r="E453" t="s">
        <v>17</v>
      </c>
      <c r="F453" t="s">
        <v>47</v>
      </c>
      <c r="G453" t="s">
        <v>27</v>
      </c>
      <c r="H453" t="s">
        <v>28</v>
      </c>
      <c r="I453" t="s">
        <v>29</v>
      </c>
      <c r="J453">
        <v>1599</v>
      </c>
      <c r="K453">
        <v>1</v>
      </c>
      <c r="L453">
        <v>1679</v>
      </c>
      <c r="M453">
        <v>0</v>
      </c>
      <c r="N453">
        <v>1679</v>
      </c>
      <c r="O453">
        <v>1679</v>
      </c>
      <c r="P453" t="s">
        <v>2111</v>
      </c>
      <c r="Q453" t="s">
        <v>23</v>
      </c>
    </row>
    <row r="454" spans="1:17" x14ac:dyDescent="0.3">
      <c r="A454" t="s">
        <v>550</v>
      </c>
      <c r="B454" t="s">
        <v>536</v>
      </c>
      <c r="C454" s="1">
        <v>46058</v>
      </c>
      <c r="D454" t="s">
        <v>34</v>
      </c>
      <c r="E454" t="s">
        <v>42</v>
      </c>
      <c r="F454" t="s">
        <v>22</v>
      </c>
      <c r="G454" t="s">
        <v>250</v>
      </c>
      <c r="H454" t="s">
        <v>251</v>
      </c>
      <c r="I454" t="s">
        <v>108</v>
      </c>
      <c r="J454">
        <v>899</v>
      </c>
      <c r="K454">
        <v>2</v>
      </c>
      <c r="L454">
        <v>847.71</v>
      </c>
      <c r="M454">
        <v>84.77</v>
      </c>
      <c r="N454">
        <v>1695.42</v>
      </c>
      <c r="O454">
        <v>1610.65</v>
      </c>
      <c r="P454" t="s">
        <v>2111</v>
      </c>
      <c r="Q454" t="s">
        <v>498</v>
      </c>
    </row>
    <row r="455" spans="1:17" x14ac:dyDescent="0.3">
      <c r="A455" t="s">
        <v>2407</v>
      </c>
      <c r="B455" t="s">
        <v>2408</v>
      </c>
      <c r="C455" s="1">
        <v>46144</v>
      </c>
      <c r="D455" t="s">
        <v>16</v>
      </c>
      <c r="E455" t="s">
        <v>42</v>
      </c>
      <c r="F455" t="s">
        <v>47</v>
      </c>
      <c r="G455" t="s">
        <v>43</v>
      </c>
      <c r="H455" t="s">
        <v>44</v>
      </c>
      <c r="I455" t="s">
        <v>45</v>
      </c>
      <c r="J455">
        <v>3299</v>
      </c>
      <c r="K455">
        <v>2</v>
      </c>
      <c r="L455">
        <v>3519.69</v>
      </c>
      <c r="M455">
        <v>0</v>
      </c>
      <c r="N455">
        <v>7039.38</v>
      </c>
      <c r="O455">
        <v>7039.38</v>
      </c>
      <c r="P455" t="s">
        <v>2111</v>
      </c>
      <c r="Q455" t="s">
        <v>1479</v>
      </c>
    </row>
    <row r="456" spans="1:17" x14ac:dyDescent="0.3">
      <c r="A456" t="s">
        <v>608</v>
      </c>
      <c r="B456" t="s">
        <v>607</v>
      </c>
      <c r="C456" s="1">
        <v>46063</v>
      </c>
      <c r="D456" t="s">
        <v>16</v>
      </c>
      <c r="E456" t="s">
        <v>17</v>
      </c>
      <c r="F456" t="s">
        <v>47</v>
      </c>
      <c r="G456" t="s">
        <v>112</v>
      </c>
      <c r="H456" t="s">
        <v>113</v>
      </c>
      <c r="I456" t="s">
        <v>37</v>
      </c>
      <c r="J456">
        <v>1499</v>
      </c>
      <c r="K456">
        <v>2</v>
      </c>
      <c r="L456">
        <v>1475.1</v>
      </c>
      <c r="M456">
        <v>737.55</v>
      </c>
      <c r="N456">
        <v>2950.2</v>
      </c>
      <c r="O456">
        <v>2212.65</v>
      </c>
      <c r="P456" t="s">
        <v>2111</v>
      </c>
      <c r="Q456" t="s">
        <v>498</v>
      </c>
    </row>
    <row r="457" spans="1:17" x14ac:dyDescent="0.3">
      <c r="A457" t="s">
        <v>2409</v>
      </c>
      <c r="B457" t="s">
        <v>2122</v>
      </c>
      <c r="C457" s="1">
        <v>46183</v>
      </c>
      <c r="D457" t="s">
        <v>16</v>
      </c>
      <c r="E457" t="s">
        <v>17</v>
      </c>
      <c r="F457" t="s">
        <v>60</v>
      </c>
      <c r="G457" t="s">
        <v>112</v>
      </c>
      <c r="H457" t="s">
        <v>113</v>
      </c>
      <c r="I457" t="s">
        <v>37</v>
      </c>
      <c r="J457">
        <v>1499</v>
      </c>
      <c r="K457">
        <v>1</v>
      </c>
      <c r="L457">
        <v>1522.11</v>
      </c>
      <c r="M457">
        <v>76.11</v>
      </c>
      <c r="N457">
        <v>1522.11</v>
      </c>
      <c r="O457">
        <v>1446</v>
      </c>
      <c r="P457" t="s">
        <v>2111</v>
      </c>
      <c r="Q457" t="s">
        <v>1809</v>
      </c>
    </row>
    <row r="458" spans="1:17" x14ac:dyDescent="0.3">
      <c r="A458" t="s">
        <v>1452</v>
      </c>
      <c r="B458" t="s">
        <v>978</v>
      </c>
      <c r="C458" s="1">
        <v>46140</v>
      </c>
      <c r="D458" t="s">
        <v>16</v>
      </c>
      <c r="E458" t="s">
        <v>50</v>
      </c>
      <c r="F458" t="s">
        <v>31</v>
      </c>
      <c r="G458" t="s">
        <v>191</v>
      </c>
      <c r="H458" t="s">
        <v>192</v>
      </c>
      <c r="I458" t="s">
        <v>45</v>
      </c>
      <c r="J458">
        <v>699</v>
      </c>
      <c r="K458">
        <v>3</v>
      </c>
      <c r="L458">
        <v>751.14</v>
      </c>
      <c r="M458">
        <v>0</v>
      </c>
      <c r="N458">
        <v>2253.42</v>
      </c>
      <c r="O458">
        <v>2253.42</v>
      </c>
      <c r="P458" t="s">
        <v>2111</v>
      </c>
      <c r="Q458" t="s">
        <v>1170</v>
      </c>
    </row>
    <row r="459" spans="1:17" x14ac:dyDescent="0.3">
      <c r="A459" t="s">
        <v>1325</v>
      </c>
      <c r="B459" t="s">
        <v>1324</v>
      </c>
      <c r="C459" s="1">
        <v>46130</v>
      </c>
      <c r="D459" t="s">
        <v>34</v>
      </c>
      <c r="E459" t="s">
        <v>17</v>
      </c>
      <c r="F459" t="s">
        <v>22</v>
      </c>
      <c r="G459" t="s">
        <v>191</v>
      </c>
      <c r="H459" t="s">
        <v>192</v>
      </c>
      <c r="I459" t="s">
        <v>45</v>
      </c>
      <c r="J459">
        <v>699</v>
      </c>
      <c r="K459">
        <v>1</v>
      </c>
      <c r="L459">
        <v>749.83</v>
      </c>
      <c r="M459">
        <v>0</v>
      </c>
      <c r="N459">
        <v>749.83</v>
      </c>
      <c r="O459">
        <v>749.83</v>
      </c>
      <c r="P459" t="s">
        <v>2111</v>
      </c>
      <c r="Q459" t="s">
        <v>1170</v>
      </c>
    </row>
    <row r="460" spans="1:17" x14ac:dyDescent="0.3">
      <c r="A460" t="s">
        <v>2410</v>
      </c>
      <c r="B460" t="s">
        <v>2411</v>
      </c>
      <c r="C460" s="1">
        <v>46086</v>
      </c>
      <c r="D460" t="s">
        <v>41</v>
      </c>
      <c r="E460" t="s">
        <v>17</v>
      </c>
      <c r="F460" t="s">
        <v>60</v>
      </c>
      <c r="G460" t="s">
        <v>96</v>
      </c>
      <c r="H460" t="s">
        <v>97</v>
      </c>
      <c r="I460" t="s">
        <v>58</v>
      </c>
      <c r="J460">
        <v>7499</v>
      </c>
      <c r="K460">
        <v>1</v>
      </c>
      <c r="L460">
        <v>7306.31</v>
      </c>
      <c r="M460">
        <v>730.63</v>
      </c>
      <c r="N460">
        <v>7306.31</v>
      </c>
      <c r="O460">
        <v>6575.68</v>
      </c>
      <c r="P460" t="s">
        <v>2111</v>
      </c>
      <c r="Q460" t="s">
        <v>789</v>
      </c>
    </row>
    <row r="461" spans="1:17" x14ac:dyDescent="0.3">
      <c r="A461" t="s">
        <v>2412</v>
      </c>
      <c r="B461" t="s">
        <v>201</v>
      </c>
      <c r="C461" s="1">
        <v>46041</v>
      </c>
      <c r="D461" t="s">
        <v>34</v>
      </c>
      <c r="E461" t="s">
        <v>17</v>
      </c>
      <c r="F461" t="s">
        <v>60</v>
      </c>
      <c r="G461" t="s">
        <v>101</v>
      </c>
      <c r="H461" t="s">
        <v>102</v>
      </c>
      <c r="I461" t="s">
        <v>45</v>
      </c>
      <c r="J461">
        <v>4999</v>
      </c>
      <c r="K461">
        <v>1</v>
      </c>
      <c r="L461">
        <v>4707.95</v>
      </c>
      <c r="M461">
        <v>0</v>
      </c>
      <c r="N461">
        <v>4707.95</v>
      </c>
      <c r="O461">
        <v>4707.95</v>
      </c>
      <c r="P461" t="s">
        <v>2111</v>
      </c>
      <c r="Q461" t="s">
        <v>23</v>
      </c>
    </row>
    <row r="462" spans="1:17" x14ac:dyDescent="0.3">
      <c r="A462" t="s">
        <v>2413</v>
      </c>
      <c r="B462" t="s">
        <v>1213</v>
      </c>
      <c r="C462" s="1">
        <v>46192</v>
      </c>
      <c r="D462" t="s">
        <v>26</v>
      </c>
      <c r="E462" t="s">
        <v>17</v>
      </c>
      <c r="F462" t="s">
        <v>47</v>
      </c>
      <c r="G462" t="s">
        <v>51</v>
      </c>
      <c r="H462" t="s">
        <v>52</v>
      </c>
      <c r="I462" t="s">
        <v>20</v>
      </c>
      <c r="J462">
        <v>999</v>
      </c>
      <c r="K462">
        <v>4</v>
      </c>
      <c r="L462">
        <v>1053.97</v>
      </c>
      <c r="M462">
        <v>843.18</v>
      </c>
      <c r="N462">
        <v>4215.88</v>
      </c>
      <c r="O462">
        <v>3372.7</v>
      </c>
      <c r="P462" t="s">
        <v>2111</v>
      </c>
      <c r="Q462" t="s">
        <v>1809</v>
      </c>
    </row>
    <row r="463" spans="1:17" x14ac:dyDescent="0.3">
      <c r="A463" t="s">
        <v>2414</v>
      </c>
      <c r="B463" t="s">
        <v>2415</v>
      </c>
      <c r="C463" s="1">
        <v>46140</v>
      </c>
      <c r="D463" t="s">
        <v>26</v>
      </c>
      <c r="E463" t="s">
        <v>17</v>
      </c>
      <c r="F463" t="s">
        <v>22</v>
      </c>
      <c r="G463" t="s">
        <v>35</v>
      </c>
      <c r="H463" t="s">
        <v>36</v>
      </c>
      <c r="I463" t="s">
        <v>37</v>
      </c>
      <c r="J463">
        <v>799</v>
      </c>
      <c r="K463">
        <v>1</v>
      </c>
      <c r="L463">
        <v>788.31</v>
      </c>
      <c r="M463">
        <v>197.08</v>
      </c>
      <c r="N463">
        <v>788.31</v>
      </c>
      <c r="O463">
        <v>591.23</v>
      </c>
      <c r="P463" t="s">
        <v>2111</v>
      </c>
      <c r="Q463" t="s">
        <v>1170</v>
      </c>
    </row>
    <row r="464" spans="1:17" x14ac:dyDescent="0.3">
      <c r="A464" t="s">
        <v>2416</v>
      </c>
      <c r="B464" t="s">
        <v>1085</v>
      </c>
      <c r="C464" s="1">
        <v>46083</v>
      </c>
      <c r="D464" t="s">
        <v>16</v>
      </c>
      <c r="E464" t="s">
        <v>17</v>
      </c>
      <c r="F464" t="s">
        <v>47</v>
      </c>
      <c r="G464" t="s">
        <v>106</v>
      </c>
      <c r="H464" t="s">
        <v>107</v>
      </c>
      <c r="I464" t="s">
        <v>108</v>
      </c>
      <c r="J464">
        <v>599</v>
      </c>
      <c r="K464">
        <v>2</v>
      </c>
      <c r="L464">
        <v>562.11</v>
      </c>
      <c r="M464">
        <v>56.21</v>
      </c>
      <c r="N464">
        <v>1124.22</v>
      </c>
      <c r="O464">
        <v>1068.01</v>
      </c>
      <c r="P464" t="s">
        <v>2114</v>
      </c>
      <c r="Q464" t="s">
        <v>789</v>
      </c>
    </row>
    <row r="465" spans="1:17" x14ac:dyDescent="0.3">
      <c r="A465" t="s">
        <v>602</v>
      </c>
      <c r="B465" t="s">
        <v>601</v>
      </c>
      <c r="C465" s="1">
        <v>46063</v>
      </c>
      <c r="D465" t="s">
        <v>16</v>
      </c>
      <c r="E465" t="s">
        <v>50</v>
      </c>
      <c r="F465" t="s">
        <v>22</v>
      </c>
      <c r="G465" t="s">
        <v>18</v>
      </c>
      <c r="H465" t="s">
        <v>19</v>
      </c>
      <c r="I465" t="s">
        <v>20</v>
      </c>
      <c r="J465">
        <v>2799</v>
      </c>
      <c r="K465">
        <v>2</v>
      </c>
      <c r="L465">
        <v>3025.4</v>
      </c>
      <c r="M465">
        <v>605.08000000000004</v>
      </c>
      <c r="N465">
        <v>6050.8</v>
      </c>
      <c r="O465">
        <v>5445.72</v>
      </c>
      <c r="P465" t="s">
        <v>2111</v>
      </c>
      <c r="Q465" t="s">
        <v>498</v>
      </c>
    </row>
    <row r="466" spans="1:17" x14ac:dyDescent="0.3">
      <c r="A466" t="s">
        <v>1535</v>
      </c>
      <c r="B466" t="s">
        <v>1534</v>
      </c>
      <c r="C466" s="1">
        <v>46147</v>
      </c>
      <c r="D466" t="s">
        <v>16</v>
      </c>
      <c r="E466" t="s">
        <v>42</v>
      </c>
      <c r="F466" t="s">
        <v>60</v>
      </c>
      <c r="G466" t="s">
        <v>355</v>
      </c>
      <c r="H466" t="s">
        <v>356</v>
      </c>
      <c r="I466" t="s">
        <v>82</v>
      </c>
      <c r="J466">
        <v>499</v>
      </c>
      <c r="K466">
        <v>1</v>
      </c>
      <c r="L466">
        <v>468.87</v>
      </c>
      <c r="M466">
        <v>0</v>
      </c>
      <c r="N466">
        <v>468.87</v>
      </c>
      <c r="O466">
        <v>468.87</v>
      </c>
      <c r="P466" t="s">
        <v>2111</v>
      </c>
      <c r="Q466" t="s">
        <v>1479</v>
      </c>
    </row>
    <row r="467" spans="1:17" x14ac:dyDescent="0.3">
      <c r="A467" t="s">
        <v>1623</v>
      </c>
      <c r="B467" t="s">
        <v>1622</v>
      </c>
      <c r="C467" s="1">
        <v>46154</v>
      </c>
      <c r="D467" t="s">
        <v>41</v>
      </c>
      <c r="E467" t="s">
        <v>17</v>
      </c>
      <c r="F467" t="s">
        <v>74</v>
      </c>
      <c r="G467" t="s">
        <v>112</v>
      </c>
      <c r="H467" t="s">
        <v>113</v>
      </c>
      <c r="I467" t="s">
        <v>37</v>
      </c>
      <c r="J467">
        <v>1499</v>
      </c>
      <c r="K467">
        <v>1</v>
      </c>
      <c r="L467">
        <v>1356.84</v>
      </c>
      <c r="M467">
        <v>203.53</v>
      </c>
      <c r="N467">
        <v>1356.84</v>
      </c>
      <c r="O467">
        <v>1153.31</v>
      </c>
      <c r="P467" t="s">
        <v>2111</v>
      </c>
      <c r="Q467" t="s">
        <v>1479</v>
      </c>
    </row>
    <row r="468" spans="1:17" x14ac:dyDescent="0.3">
      <c r="A468" t="s">
        <v>2417</v>
      </c>
      <c r="B468" t="s">
        <v>2418</v>
      </c>
      <c r="C468" s="1">
        <v>46172</v>
      </c>
      <c r="D468" t="s">
        <v>41</v>
      </c>
      <c r="E468" t="s">
        <v>50</v>
      </c>
      <c r="F468" t="s">
        <v>60</v>
      </c>
      <c r="G468" t="s">
        <v>191</v>
      </c>
      <c r="H468" t="s">
        <v>192</v>
      </c>
      <c r="I468" t="s">
        <v>45</v>
      </c>
      <c r="J468">
        <v>699</v>
      </c>
      <c r="K468">
        <v>1</v>
      </c>
      <c r="L468">
        <v>631.94000000000005</v>
      </c>
      <c r="M468">
        <v>63.19</v>
      </c>
      <c r="N468">
        <v>631.94000000000005</v>
      </c>
      <c r="O468">
        <v>568.75</v>
      </c>
      <c r="P468" t="s">
        <v>2111</v>
      </c>
      <c r="Q468" t="s">
        <v>1479</v>
      </c>
    </row>
    <row r="469" spans="1:17" x14ac:dyDescent="0.3">
      <c r="A469" t="s">
        <v>718</v>
      </c>
      <c r="B469" t="s">
        <v>717</v>
      </c>
      <c r="C469" s="1">
        <v>46075</v>
      </c>
      <c r="D469" t="s">
        <v>16</v>
      </c>
      <c r="E469" t="s">
        <v>17</v>
      </c>
      <c r="F469" t="s">
        <v>60</v>
      </c>
      <c r="G469" t="s">
        <v>96</v>
      </c>
      <c r="H469" t="s">
        <v>97</v>
      </c>
      <c r="I469" t="s">
        <v>58</v>
      </c>
      <c r="J469">
        <v>7499</v>
      </c>
      <c r="K469">
        <v>1</v>
      </c>
      <c r="L469">
        <v>7682.45</v>
      </c>
      <c r="M469">
        <v>384.12</v>
      </c>
      <c r="N469">
        <v>7682.45</v>
      </c>
      <c r="O469">
        <v>7298.33</v>
      </c>
      <c r="P469" t="s">
        <v>2111</v>
      </c>
      <c r="Q469" t="s">
        <v>498</v>
      </c>
    </row>
    <row r="470" spans="1:17" x14ac:dyDescent="0.3">
      <c r="A470" t="s">
        <v>2419</v>
      </c>
      <c r="B470" t="s">
        <v>470</v>
      </c>
      <c r="C470" s="1">
        <v>46098</v>
      </c>
      <c r="D470" t="s">
        <v>41</v>
      </c>
      <c r="E470" t="s">
        <v>50</v>
      </c>
      <c r="F470" t="s">
        <v>47</v>
      </c>
      <c r="G470" t="s">
        <v>86</v>
      </c>
      <c r="H470" t="s">
        <v>87</v>
      </c>
      <c r="I470" t="s">
        <v>82</v>
      </c>
      <c r="J470">
        <v>3499</v>
      </c>
      <c r="K470">
        <v>1</v>
      </c>
      <c r="L470">
        <v>3612.14</v>
      </c>
      <c r="M470">
        <v>180.61</v>
      </c>
      <c r="N470">
        <v>3612.14</v>
      </c>
      <c r="O470">
        <v>3431.53</v>
      </c>
      <c r="P470" t="s">
        <v>2111</v>
      </c>
      <c r="Q470" t="s">
        <v>789</v>
      </c>
    </row>
    <row r="471" spans="1:17" x14ac:dyDescent="0.3">
      <c r="A471" t="s">
        <v>1997</v>
      </c>
      <c r="B471" t="s">
        <v>1680</v>
      </c>
      <c r="C471" s="1">
        <v>46194</v>
      </c>
      <c r="D471" t="s">
        <v>26</v>
      </c>
      <c r="E471" t="s">
        <v>42</v>
      </c>
      <c r="F471" t="s">
        <v>74</v>
      </c>
      <c r="G471" t="s">
        <v>101</v>
      </c>
      <c r="H471" t="s">
        <v>102</v>
      </c>
      <c r="I471" t="s">
        <v>45</v>
      </c>
      <c r="J471">
        <v>4999</v>
      </c>
      <c r="K471">
        <v>1</v>
      </c>
      <c r="L471">
        <v>4810.08</v>
      </c>
      <c r="M471">
        <v>721.51</v>
      </c>
      <c r="N471">
        <v>4810.08</v>
      </c>
      <c r="O471">
        <v>4088.57</v>
      </c>
      <c r="P471" t="s">
        <v>2114</v>
      </c>
      <c r="Q471" t="s">
        <v>1809</v>
      </c>
    </row>
    <row r="472" spans="1:17" x14ac:dyDescent="0.3">
      <c r="A472" t="s">
        <v>2400</v>
      </c>
      <c r="B472" t="s">
        <v>2401</v>
      </c>
      <c r="C472" s="1">
        <v>46140</v>
      </c>
      <c r="D472" t="s">
        <v>16</v>
      </c>
      <c r="E472" t="s">
        <v>50</v>
      </c>
      <c r="F472" t="s">
        <v>22</v>
      </c>
      <c r="G472" t="s">
        <v>355</v>
      </c>
      <c r="H472" t="s">
        <v>356</v>
      </c>
      <c r="I472" t="s">
        <v>82</v>
      </c>
      <c r="J472">
        <v>499</v>
      </c>
      <c r="K472">
        <v>3</v>
      </c>
      <c r="L472">
        <v>481.04</v>
      </c>
      <c r="M472">
        <v>144.31</v>
      </c>
      <c r="N472">
        <v>1443.12</v>
      </c>
      <c r="O472">
        <v>1298.81</v>
      </c>
      <c r="P472" t="s">
        <v>2111</v>
      </c>
      <c r="Q472" t="s">
        <v>1170</v>
      </c>
    </row>
    <row r="473" spans="1:17" x14ac:dyDescent="0.3">
      <c r="A473" t="s">
        <v>2061</v>
      </c>
      <c r="B473" t="s">
        <v>2060</v>
      </c>
      <c r="C473" s="1">
        <v>46199</v>
      </c>
      <c r="D473" t="s">
        <v>41</v>
      </c>
      <c r="E473" t="s">
        <v>17</v>
      </c>
      <c r="F473" t="s">
        <v>31</v>
      </c>
      <c r="G473" t="s">
        <v>149</v>
      </c>
      <c r="H473" t="s">
        <v>150</v>
      </c>
      <c r="I473" t="s">
        <v>37</v>
      </c>
      <c r="J473">
        <v>2999</v>
      </c>
      <c r="K473">
        <v>4</v>
      </c>
      <c r="L473">
        <v>2902.73</v>
      </c>
      <c r="M473">
        <v>0</v>
      </c>
      <c r="N473">
        <v>11610.92</v>
      </c>
      <c r="O473">
        <v>11610.92</v>
      </c>
      <c r="P473" t="s">
        <v>2111</v>
      </c>
      <c r="Q473" t="s">
        <v>1809</v>
      </c>
    </row>
    <row r="474" spans="1:17" x14ac:dyDescent="0.3">
      <c r="A474" t="s">
        <v>1383</v>
      </c>
      <c r="B474" t="s">
        <v>1382</v>
      </c>
      <c r="C474" s="1">
        <v>46134</v>
      </c>
      <c r="D474" t="s">
        <v>16</v>
      </c>
      <c r="E474" t="s">
        <v>50</v>
      </c>
      <c r="F474" t="s">
        <v>22</v>
      </c>
      <c r="G474" t="s">
        <v>149</v>
      </c>
      <c r="H474" t="s">
        <v>150</v>
      </c>
      <c r="I474" t="s">
        <v>37</v>
      </c>
      <c r="J474">
        <v>2999</v>
      </c>
      <c r="K474">
        <v>1</v>
      </c>
      <c r="L474">
        <v>3107.06</v>
      </c>
      <c r="M474">
        <v>466.06</v>
      </c>
      <c r="N474">
        <v>3107.06</v>
      </c>
      <c r="O474">
        <v>2641</v>
      </c>
      <c r="P474" t="s">
        <v>2114</v>
      </c>
      <c r="Q474" t="s">
        <v>1170</v>
      </c>
    </row>
    <row r="475" spans="1:17" x14ac:dyDescent="0.3">
      <c r="A475" t="s">
        <v>2420</v>
      </c>
      <c r="B475" t="s">
        <v>2421</v>
      </c>
      <c r="C475" s="1">
        <v>46174</v>
      </c>
      <c r="D475" t="s">
        <v>34</v>
      </c>
      <c r="E475" t="s">
        <v>50</v>
      </c>
      <c r="F475" t="s">
        <v>74</v>
      </c>
      <c r="G475" t="s">
        <v>250</v>
      </c>
      <c r="H475" t="s">
        <v>251</v>
      </c>
      <c r="I475" t="s">
        <v>108</v>
      </c>
      <c r="J475">
        <v>899</v>
      </c>
      <c r="K475">
        <v>1</v>
      </c>
      <c r="L475">
        <v>819.55</v>
      </c>
      <c r="M475">
        <v>81.96</v>
      </c>
      <c r="N475">
        <v>819.55</v>
      </c>
      <c r="O475">
        <v>737.59</v>
      </c>
      <c r="P475" t="s">
        <v>2111</v>
      </c>
      <c r="Q475" t="s">
        <v>1809</v>
      </c>
    </row>
    <row r="476" spans="1:17" x14ac:dyDescent="0.3">
      <c r="A476" t="s">
        <v>323</v>
      </c>
      <c r="B476" t="s">
        <v>322</v>
      </c>
      <c r="C476" s="1">
        <v>46039</v>
      </c>
      <c r="D476" t="s">
        <v>16</v>
      </c>
      <c r="E476" t="s">
        <v>17</v>
      </c>
      <c r="F476" t="s">
        <v>31</v>
      </c>
      <c r="G476" t="s">
        <v>250</v>
      </c>
      <c r="H476" t="s">
        <v>251</v>
      </c>
      <c r="I476" t="s">
        <v>108</v>
      </c>
      <c r="J476">
        <v>899</v>
      </c>
      <c r="K476">
        <v>1</v>
      </c>
      <c r="L476">
        <v>976.16</v>
      </c>
      <c r="M476">
        <v>195.23</v>
      </c>
      <c r="N476">
        <v>976.16</v>
      </c>
      <c r="O476">
        <v>780.93</v>
      </c>
      <c r="P476" t="s">
        <v>2111</v>
      </c>
      <c r="Q476" t="s">
        <v>23</v>
      </c>
    </row>
    <row r="477" spans="1:17" x14ac:dyDescent="0.3">
      <c r="A477" t="s">
        <v>942</v>
      </c>
      <c r="B477" t="s">
        <v>941</v>
      </c>
      <c r="C477" s="1">
        <v>46092</v>
      </c>
      <c r="D477" t="s">
        <v>26</v>
      </c>
      <c r="E477" t="s">
        <v>17</v>
      </c>
      <c r="F477" t="s">
        <v>31</v>
      </c>
      <c r="G477" t="s">
        <v>112</v>
      </c>
      <c r="H477" t="s">
        <v>113</v>
      </c>
      <c r="I477" t="s">
        <v>37</v>
      </c>
      <c r="J477">
        <v>1499</v>
      </c>
      <c r="K477">
        <v>2</v>
      </c>
      <c r="L477">
        <v>1415.81</v>
      </c>
      <c r="M477">
        <v>0</v>
      </c>
      <c r="N477">
        <v>2831.62</v>
      </c>
      <c r="O477">
        <v>2831.62</v>
      </c>
      <c r="P477" t="s">
        <v>2111</v>
      </c>
      <c r="Q477" t="s">
        <v>789</v>
      </c>
    </row>
    <row r="478" spans="1:17" x14ac:dyDescent="0.3">
      <c r="A478" t="s">
        <v>1647</v>
      </c>
      <c r="B478" t="s">
        <v>1646</v>
      </c>
      <c r="C478" s="1">
        <v>46156</v>
      </c>
      <c r="D478" t="s">
        <v>34</v>
      </c>
      <c r="E478" t="s">
        <v>50</v>
      </c>
      <c r="F478" t="s">
        <v>74</v>
      </c>
      <c r="G478" t="s">
        <v>191</v>
      </c>
      <c r="H478" t="s">
        <v>192</v>
      </c>
      <c r="I478" t="s">
        <v>45</v>
      </c>
      <c r="J478">
        <v>699</v>
      </c>
      <c r="K478">
        <v>2</v>
      </c>
      <c r="L478">
        <v>768.85</v>
      </c>
      <c r="M478">
        <v>230.66</v>
      </c>
      <c r="N478">
        <v>1537.7</v>
      </c>
      <c r="O478">
        <v>1307.04</v>
      </c>
      <c r="P478" t="s">
        <v>2111</v>
      </c>
      <c r="Q478" t="s">
        <v>1479</v>
      </c>
    </row>
    <row r="479" spans="1:17" x14ac:dyDescent="0.3">
      <c r="A479" t="s">
        <v>2422</v>
      </c>
      <c r="B479" t="s">
        <v>1414</v>
      </c>
      <c r="C479" s="1">
        <v>46083</v>
      </c>
      <c r="D479" t="s">
        <v>16</v>
      </c>
      <c r="E479" t="s">
        <v>50</v>
      </c>
      <c r="F479" t="s">
        <v>31</v>
      </c>
      <c r="G479" t="s">
        <v>56</v>
      </c>
      <c r="H479" t="s">
        <v>57</v>
      </c>
      <c r="I479" t="s">
        <v>58</v>
      </c>
      <c r="J479">
        <v>8999</v>
      </c>
      <c r="K479">
        <v>1</v>
      </c>
      <c r="L479">
        <v>8407.81</v>
      </c>
      <c r="M479">
        <v>1261.17</v>
      </c>
      <c r="N479">
        <v>8407.81</v>
      </c>
      <c r="O479">
        <v>7146.64</v>
      </c>
      <c r="P479" t="s">
        <v>2111</v>
      </c>
      <c r="Q479" t="s">
        <v>789</v>
      </c>
    </row>
    <row r="480" spans="1:17" x14ac:dyDescent="0.3">
      <c r="A480" t="s">
        <v>2423</v>
      </c>
      <c r="B480" t="s">
        <v>2424</v>
      </c>
      <c r="C480" s="1">
        <v>46198</v>
      </c>
      <c r="D480" t="s">
        <v>41</v>
      </c>
      <c r="E480" t="s">
        <v>17</v>
      </c>
      <c r="F480" t="s">
        <v>60</v>
      </c>
      <c r="G480" t="s">
        <v>355</v>
      </c>
      <c r="H480" t="s">
        <v>356</v>
      </c>
      <c r="I480" t="s">
        <v>82</v>
      </c>
      <c r="J480">
        <v>499</v>
      </c>
      <c r="K480">
        <v>1</v>
      </c>
      <c r="L480">
        <v>526.1</v>
      </c>
      <c r="M480">
        <v>0</v>
      </c>
      <c r="N480">
        <v>526.1</v>
      </c>
      <c r="O480">
        <v>526.1</v>
      </c>
      <c r="P480" t="s">
        <v>2111</v>
      </c>
      <c r="Q480" t="s">
        <v>1809</v>
      </c>
    </row>
    <row r="481" spans="1:17" x14ac:dyDescent="0.3">
      <c r="A481" t="s">
        <v>2425</v>
      </c>
      <c r="B481" t="s">
        <v>1493</v>
      </c>
      <c r="C481" s="1">
        <v>46150</v>
      </c>
      <c r="D481" t="s">
        <v>26</v>
      </c>
      <c r="E481" t="s">
        <v>50</v>
      </c>
      <c r="F481" t="s">
        <v>31</v>
      </c>
      <c r="G481" t="s">
        <v>91</v>
      </c>
      <c r="H481" t="s">
        <v>92</v>
      </c>
      <c r="I481" t="s">
        <v>37</v>
      </c>
      <c r="J481">
        <v>1899</v>
      </c>
      <c r="K481">
        <v>2</v>
      </c>
      <c r="L481">
        <v>1793.95</v>
      </c>
      <c r="M481">
        <v>538.17999999999995</v>
      </c>
      <c r="N481">
        <v>3587.9</v>
      </c>
      <c r="O481">
        <v>3049.72</v>
      </c>
      <c r="P481" t="s">
        <v>2114</v>
      </c>
      <c r="Q481" t="s">
        <v>1479</v>
      </c>
    </row>
    <row r="482" spans="1:17" x14ac:dyDescent="0.3">
      <c r="A482" t="s">
        <v>1057</v>
      </c>
      <c r="B482" t="s">
        <v>1056</v>
      </c>
      <c r="C482" s="1">
        <v>46102</v>
      </c>
      <c r="D482" t="s">
        <v>63</v>
      </c>
      <c r="E482" t="s">
        <v>17</v>
      </c>
      <c r="F482" t="s">
        <v>74</v>
      </c>
      <c r="G482" t="s">
        <v>56</v>
      </c>
      <c r="H482" t="s">
        <v>57</v>
      </c>
      <c r="I482" t="s">
        <v>58</v>
      </c>
      <c r="J482">
        <v>8999</v>
      </c>
      <c r="K482">
        <v>1</v>
      </c>
      <c r="L482">
        <v>8244.61</v>
      </c>
      <c r="M482">
        <v>824.46</v>
      </c>
      <c r="N482">
        <v>8244.61</v>
      </c>
      <c r="O482">
        <v>7420.15</v>
      </c>
      <c r="P482" t="s">
        <v>2111</v>
      </c>
      <c r="Q482" t="s">
        <v>789</v>
      </c>
    </row>
    <row r="483" spans="1:17" x14ac:dyDescent="0.3">
      <c r="A483" t="s">
        <v>53</v>
      </c>
      <c r="B483" t="s">
        <v>49</v>
      </c>
      <c r="C483" s="1">
        <v>46023</v>
      </c>
      <c r="D483" t="s">
        <v>16</v>
      </c>
      <c r="E483" t="s">
        <v>17</v>
      </c>
      <c r="F483" t="s">
        <v>22</v>
      </c>
      <c r="G483" t="s">
        <v>18</v>
      </c>
      <c r="H483" t="s">
        <v>19</v>
      </c>
      <c r="I483" t="s">
        <v>20</v>
      </c>
      <c r="J483">
        <v>2799</v>
      </c>
      <c r="K483">
        <v>1</v>
      </c>
      <c r="L483">
        <v>3008.89</v>
      </c>
      <c r="M483">
        <v>601.78</v>
      </c>
      <c r="N483">
        <v>3008.89</v>
      </c>
      <c r="O483">
        <v>2407.11</v>
      </c>
      <c r="P483" t="s">
        <v>2111</v>
      </c>
      <c r="Q483" t="s">
        <v>23</v>
      </c>
    </row>
    <row r="484" spans="1:17" x14ac:dyDescent="0.3">
      <c r="A484" t="s">
        <v>67</v>
      </c>
      <c r="B484" t="s">
        <v>66</v>
      </c>
      <c r="C484" s="1">
        <v>46023</v>
      </c>
      <c r="D484" t="s">
        <v>41</v>
      </c>
      <c r="E484" t="s">
        <v>17</v>
      </c>
      <c r="F484" t="s">
        <v>22</v>
      </c>
      <c r="G484" t="s">
        <v>112</v>
      </c>
      <c r="H484" t="s">
        <v>113</v>
      </c>
      <c r="I484" t="s">
        <v>37</v>
      </c>
      <c r="J484">
        <v>1499</v>
      </c>
      <c r="K484">
        <v>2</v>
      </c>
      <c r="L484">
        <v>1606.55</v>
      </c>
      <c r="M484">
        <v>0</v>
      </c>
      <c r="N484">
        <v>3213.1</v>
      </c>
      <c r="O484">
        <v>3213.1</v>
      </c>
      <c r="P484" t="s">
        <v>2111</v>
      </c>
      <c r="Q484" t="s">
        <v>23</v>
      </c>
    </row>
    <row r="485" spans="1:17" x14ac:dyDescent="0.3">
      <c r="A485" t="s">
        <v>2339</v>
      </c>
      <c r="B485" t="s">
        <v>1992</v>
      </c>
      <c r="C485" s="1">
        <v>46138</v>
      </c>
      <c r="D485" t="s">
        <v>34</v>
      </c>
      <c r="E485" t="s">
        <v>50</v>
      </c>
      <c r="F485" t="s">
        <v>31</v>
      </c>
      <c r="G485" t="s">
        <v>355</v>
      </c>
      <c r="H485" t="s">
        <v>356</v>
      </c>
      <c r="I485" t="s">
        <v>82</v>
      </c>
      <c r="J485">
        <v>499</v>
      </c>
      <c r="K485">
        <v>1</v>
      </c>
      <c r="L485">
        <v>489.38</v>
      </c>
      <c r="M485">
        <v>73.41</v>
      </c>
      <c r="N485">
        <v>489.38</v>
      </c>
      <c r="O485">
        <v>415.97</v>
      </c>
      <c r="P485" t="s">
        <v>2111</v>
      </c>
      <c r="Q485" t="s">
        <v>1170</v>
      </c>
    </row>
    <row r="486" spans="1:17" x14ac:dyDescent="0.3">
      <c r="A486" t="s">
        <v>1029</v>
      </c>
      <c r="B486" t="s">
        <v>1028</v>
      </c>
      <c r="C486" s="1">
        <v>46098</v>
      </c>
      <c r="D486" t="s">
        <v>26</v>
      </c>
      <c r="E486" t="s">
        <v>50</v>
      </c>
      <c r="F486" t="s">
        <v>47</v>
      </c>
      <c r="G486" t="s">
        <v>91</v>
      </c>
      <c r="H486" t="s">
        <v>92</v>
      </c>
      <c r="I486" t="s">
        <v>37</v>
      </c>
      <c r="J486">
        <v>1899</v>
      </c>
      <c r="K486">
        <v>1</v>
      </c>
      <c r="L486">
        <v>1975.87</v>
      </c>
      <c r="M486">
        <v>197.59</v>
      </c>
      <c r="N486">
        <v>1975.87</v>
      </c>
      <c r="O486">
        <v>1778.28</v>
      </c>
      <c r="P486" t="s">
        <v>2111</v>
      </c>
      <c r="Q486" t="s">
        <v>789</v>
      </c>
    </row>
    <row r="487" spans="1:17" x14ac:dyDescent="0.3">
      <c r="A487" t="s">
        <v>1181</v>
      </c>
      <c r="B487" t="s">
        <v>243</v>
      </c>
      <c r="C487" s="1">
        <v>46115</v>
      </c>
      <c r="D487" t="s">
        <v>34</v>
      </c>
      <c r="E487" t="s">
        <v>17</v>
      </c>
      <c r="F487" t="s">
        <v>74</v>
      </c>
      <c r="G487" t="s">
        <v>35</v>
      </c>
      <c r="H487" t="s">
        <v>36</v>
      </c>
      <c r="I487" t="s">
        <v>37</v>
      </c>
      <c r="J487">
        <v>799</v>
      </c>
      <c r="K487">
        <v>2</v>
      </c>
      <c r="L487">
        <v>808.12</v>
      </c>
      <c r="M487">
        <v>404.06</v>
      </c>
      <c r="N487">
        <v>1616.24</v>
      </c>
      <c r="O487">
        <v>1212.18</v>
      </c>
      <c r="P487" t="s">
        <v>2114</v>
      </c>
      <c r="Q487" t="s">
        <v>1170</v>
      </c>
    </row>
    <row r="488" spans="1:17" x14ac:dyDescent="0.3">
      <c r="A488" t="s">
        <v>2426</v>
      </c>
      <c r="B488" t="s">
        <v>2369</v>
      </c>
      <c r="C488" s="1">
        <v>46156</v>
      </c>
      <c r="D488" t="s">
        <v>26</v>
      </c>
      <c r="E488" t="s">
        <v>17</v>
      </c>
      <c r="F488" t="s">
        <v>31</v>
      </c>
      <c r="G488" t="s">
        <v>355</v>
      </c>
      <c r="H488" t="s">
        <v>356</v>
      </c>
      <c r="I488" t="s">
        <v>82</v>
      </c>
      <c r="J488">
        <v>499</v>
      </c>
      <c r="K488">
        <v>2</v>
      </c>
      <c r="L488">
        <v>534.23</v>
      </c>
      <c r="M488">
        <v>53.42</v>
      </c>
      <c r="N488">
        <v>1068.46</v>
      </c>
      <c r="O488">
        <v>1015.04</v>
      </c>
      <c r="P488" t="s">
        <v>2111</v>
      </c>
      <c r="Q488" t="s">
        <v>1479</v>
      </c>
    </row>
    <row r="489" spans="1:17" x14ac:dyDescent="0.3">
      <c r="A489" t="s">
        <v>410</v>
      </c>
      <c r="B489" t="s">
        <v>409</v>
      </c>
      <c r="C489" s="1">
        <v>46046</v>
      </c>
      <c r="D489" t="s">
        <v>34</v>
      </c>
      <c r="E489" t="s">
        <v>50</v>
      </c>
      <c r="F489" t="s">
        <v>47</v>
      </c>
      <c r="G489" t="s">
        <v>91</v>
      </c>
      <c r="H489" t="s">
        <v>92</v>
      </c>
      <c r="I489" t="s">
        <v>37</v>
      </c>
      <c r="J489">
        <v>1899</v>
      </c>
      <c r="K489">
        <v>1</v>
      </c>
      <c r="L489">
        <v>1828.76</v>
      </c>
      <c r="M489">
        <v>457.19</v>
      </c>
      <c r="N489">
        <v>1828.76</v>
      </c>
      <c r="O489">
        <v>1371.57</v>
      </c>
      <c r="P489" t="s">
        <v>2114</v>
      </c>
      <c r="Q489" t="s">
        <v>23</v>
      </c>
    </row>
    <row r="490" spans="1:17" x14ac:dyDescent="0.3">
      <c r="A490" t="s">
        <v>1935</v>
      </c>
      <c r="B490" t="s">
        <v>1258</v>
      </c>
      <c r="C490" s="1">
        <v>46185</v>
      </c>
      <c r="D490" t="s">
        <v>41</v>
      </c>
      <c r="E490" t="s">
        <v>17</v>
      </c>
      <c r="F490" t="s">
        <v>31</v>
      </c>
      <c r="G490" t="s">
        <v>80</v>
      </c>
      <c r="H490" t="s">
        <v>81</v>
      </c>
      <c r="I490" t="s">
        <v>82</v>
      </c>
      <c r="J490">
        <v>4299</v>
      </c>
      <c r="K490">
        <v>3</v>
      </c>
      <c r="L490">
        <v>4319.3500000000004</v>
      </c>
      <c r="M490">
        <v>2591.61</v>
      </c>
      <c r="N490">
        <v>12958.05</v>
      </c>
      <c r="O490">
        <v>10366.44</v>
      </c>
      <c r="P490" t="s">
        <v>2111</v>
      </c>
      <c r="Q490" t="s">
        <v>1809</v>
      </c>
    </row>
    <row r="491" spans="1:17" x14ac:dyDescent="0.3">
      <c r="A491" t="s">
        <v>2317</v>
      </c>
      <c r="B491" t="s">
        <v>830</v>
      </c>
      <c r="C491" s="1">
        <v>46161</v>
      </c>
      <c r="D491" t="s">
        <v>16</v>
      </c>
      <c r="E491" t="s">
        <v>17</v>
      </c>
      <c r="F491" t="s">
        <v>31</v>
      </c>
      <c r="G491" t="s">
        <v>101</v>
      </c>
      <c r="H491" t="s">
        <v>102</v>
      </c>
      <c r="I491" t="s">
        <v>45</v>
      </c>
      <c r="J491">
        <v>4999</v>
      </c>
      <c r="K491">
        <v>1</v>
      </c>
      <c r="L491">
        <v>4984.38</v>
      </c>
      <c r="M491">
        <v>249.22</v>
      </c>
      <c r="N491">
        <v>4984.38</v>
      </c>
      <c r="O491">
        <v>4735.16</v>
      </c>
      <c r="P491" t="s">
        <v>2111</v>
      </c>
      <c r="Q491" t="s">
        <v>1479</v>
      </c>
    </row>
    <row r="492" spans="1:17" x14ac:dyDescent="0.3">
      <c r="A492" t="s">
        <v>2427</v>
      </c>
      <c r="B492" t="s">
        <v>2393</v>
      </c>
      <c r="C492" s="1">
        <v>46049</v>
      </c>
      <c r="D492" t="s">
        <v>41</v>
      </c>
      <c r="E492" t="s">
        <v>42</v>
      </c>
      <c r="F492" t="s">
        <v>47</v>
      </c>
      <c r="G492" t="s">
        <v>56</v>
      </c>
      <c r="H492" t="s">
        <v>57</v>
      </c>
      <c r="I492" t="s">
        <v>58</v>
      </c>
      <c r="J492">
        <v>8999</v>
      </c>
      <c r="K492">
        <v>2</v>
      </c>
      <c r="L492">
        <v>8736.06</v>
      </c>
      <c r="M492">
        <v>2620.8200000000002</v>
      </c>
      <c r="N492">
        <v>17472.12</v>
      </c>
      <c r="O492">
        <v>14851.3</v>
      </c>
      <c r="P492" t="s">
        <v>2111</v>
      </c>
      <c r="Q492" t="s">
        <v>23</v>
      </c>
    </row>
    <row r="493" spans="1:17" x14ac:dyDescent="0.3">
      <c r="A493" t="s">
        <v>831</v>
      </c>
      <c r="B493" t="s">
        <v>830</v>
      </c>
      <c r="C493" s="1">
        <v>46084</v>
      </c>
      <c r="D493" t="s">
        <v>16</v>
      </c>
      <c r="E493" t="s">
        <v>50</v>
      </c>
      <c r="F493" t="s">
        <v>60</v>
      </c>
      <c r="G493" t="s">
        <v>250</v>
      </c>
      <c r="H493" t="s">
        <v>251</v>
      </c>
      <c r="I493" t="s">
        <v>108</v>
      </c>
      <c r="J493">
        <v>899</v>
      </c>
      <c r="K493">
        <v>1</v>
      </c>
      <c r="L493">
        <v>969.38</v>
      </c>
      <c r="M493">
        <v>242.34</v>
      </c>
      <c r="N493">
        <v>969.38</v>
      </c>
      <c r="O493">
        <v>727.04</v>
      </c>
      <c r="P493" t="s">
        <v>2111</v>
      </c>
      <c r="Q493" t="s">
        <v>789</v>
      </c>
    </row>
    <row r="494" spans="1:17" x14ac:dyDescent="0.3">
      <c r="A494" t="s">
        <v>973</v>
      </c>
      <c r="B494" t="s">
        <v>972</v>
      </c>
      <c r="C494" s="1">
        <v>46095</v>
      </c>
      <c r="D494" t="s">
        <v>16</v>
      </c>
      <c r="E494" t="s">
        <v>17</v>
      </c>
      <c r="F494" t="s">
        <v>47</v>
      </c>
      <c r="G494" t="s">
        <v>165</v>
      </c>
      <c r="H494" t="s">
        <v>166</v>
      </c>
      <c r="I494" t="s">
        <v>29</v>
      </c>
      <c r="J494">
        <v>449</v>
      </c>
      <c r="K494">
        <v>3</v>
      </c>
      <c r="L494">
        <v>419</v>
      </c>
      <c r="M494">
        <v>62.85</v>
      </c>
      <c r="N494">
        <v>1257</v>
      </c>
      <c r="O494">
        <v>1194.1500000000001</v>
      </c>
      <c r="P494" t="s">
        <v>2111</v>
      </c>
      <c r="Q494" t="s">
        <v>789</v>
      </c>
    </row>
    <row r="495" spans="1:17" x14ac:dyDescent="0.3">
      <c r="A495" t="s">
        <v>2428</v>
      </c>
      <c r="B495" t="s">
        <v>448</v>
      </c>
      <c r="C495" s="1">
        <v>46072</v>
      </c>
      <c r="D495" t="s">
        <v>41</v>
      </c>
      <c r="E495" t="s">
        <v>17</v>
      </c>
      <c r="F495" t="s">
        <v>22</v>
      </c>
      <c r="G495" t="s">
        <v>18</v>
      </c>
      <c r="H495" t="s">
        <v>19</v>
      </c>
      <c r="I495" t="s">
        <v>20</v>
      </c>
      <c r="J495">
        <v>2799</v>
      </c>
      <c r="K495">
        <v>3</v>
      </c>
      <c r="L495">
        <v>2602.79</v>
      </c>
      <c r="M495">
        <v>780.84</v>
      </c>
      <c r="N495">
        <v>7808.37</v>
      </c>
      <c r="O495">
        <v>7027.53</v>
      </c>
      <c r="P495" t="s">
        <v>2111</v>
      </c>
      <c r="Q495" t="s">
        <v>498</v>
      </c>
    </row>
    <row r="496" spans="1:17" x14ac:dyDescent="0.3">
      <c r="A496" t="s">
        <v>869</v>
      </c>
      <c r="B496" t="s">
        <v>868</v>
      </c>
      <c r="C496" s="1">
        <v>46088</v>
      </c>
      <c r="D496" t="s">
        <v>34</v>
      </c>
      <c r="E496" t="s">
        <v>17</v>
      </c>
      <c r="F496" t="s">
        <v>47</v>
      </c>
      <c r="G496" t="s">
        <v>51</v>
      </c>
      <c r="H496" t="s">
        <v>52</v>
      </c>
      <c r="I496" t="s">
        <v>20</v>
      </c>
      <c r="J496">
        <v>999</v>
      </c>
      <c r="K496">
        <v>1</v>
      </c>
      <c r="L496">
        <v>1014.37</v>
      </c>
      <c r="M496">
        <v>101.44</v>
      </c>
      <c r="N496">
        <v>1014.37</v>
      </c>
      <c r="O496">
        <v>912.93</v>
      </c>
      <c r="P496" t="s">
        <v>2111</v>
      </c>
      <c r="Q496" t="s">
        <v>789</v>
      </c>
    </row>
    <row r="497" spans="1:17" x14ac:dyDescent="0.3">
      <c r="A497" t="s">
        <v>528</v>
      </c>
      <c r="B497" t="s">
        <v>527</v>
      </c>
      <c r="C497" s="1">
        <v>46056</v>
      </c>
      <c r="D497" t="s">
        <v>34</v>
      </c>
      <c r="E497" t="s">
        <v>50</v>
      </c>
      <c r="F497" t="s">
        <v>31</v>
      </c>
      <c r="G497" t="s">
        <v>35</v>
      </c>
      <c r="H497" t="s">
        <v>36</v>
      </c>
      <c r="I497" t="s">
        <v>37</v>
      </c>
      <c r="J497">
        <v>799</v>
      </c>
      <c r="K497">
        <v>3</v>
      </c>
      <c r="L497">
        <v>824.17</v>
      </c>
      <c r="M497">
        <v>123.63</v>
      </c>
      <c r="N497">
        <v>2472.5100000000002</v>
      </c>
      <c r="O497">
        <v>2348.88</v>
      </c>
      <c r="P497" t="s">
        <v>2111</v>
      </c>
      <c r="Q497" t="s">
        <v>498</v>
      </c>
    </row>
    <row r="498" spans="1:17" x14ac:dyDescent="0.3">
      <c r="A498" t="s">
        <v>1740</v>
      </c>
      <c r="B498" t="s">
        <v>479</v>
      </c>
      <c r="C498" s="1">
        <v>46166</v>
      </c>
      <c r="D498" t="s">
        <v>34</v>
      </c>
      <c r="E498" t="s">
        <v>17</v>
      </c>
      <c r="F498" t="s">
        <v>22</v>
      </c>
      <c r="G498" t="s">
        <v>43</v>
      </c>
      <c r="H498" t="s">
        <v>44</v>
      </c>
      <c r="I498" t="s">
        <v>45</v>
      </c>
      <c r="J498">
        <v>3299</v>
      </c>
      <c r="K498">
        <v>2</v>
      </c>
      <c r="L498">
        <v>3097.51</v>
      </c>
      <c r="M498">
        <v>0</v>
      </c>
      <c r="N498">
        <v>6195.02</v>
      </c>
      <c r="O498">
        <v>6195.02</v>
      </c>
      <c r="P498" t="s">
        <v>2111</v>
      </c>
      <c r="Q498" t="s">
        <v>1479</v>
      </c>
    </row>
    <row r="499" spans="1:17" x14ac:dyDescent="0.3">
      <c r="A499" t="s">
        <v>1704</v>
      </c>
      <c r="B499" t="s">
        <v>1703</v>
      </c>
      <c r="C499" s="1">
        <v>46163</v>
      </c>
      <c r="D499" t="s">
        <v>41</v>
      </c>
      <c r="E499" t="s">
        <v>17</v>
      </c>
      <c r="F499" t="s">
        <v>74</v>
      </c>
      <c r="G499" t="s">
        <v>355</v>
      </c>
      <c r="H499" t="s">
        <v>356</v>
      </c>
      <c r="I499" t="s">
        <v>82</v>
      </c>
      <c r="J499">
        <v>499</v>
      </c>
      <c r="K499">
        <v>2</v>
      </c>
      <c r="L499">
        <v>488.09</v>
      </c>
      <c r="M499">
        <v>48.81</v>
      </c>
      <c r="N499">
        <v>976.18</v>
      </c>
      <c r="O499">
        <v>927.37</v>
      </c>
      <c r="P499" t="s">
        <v>2111</v>
      </c>
      <c r="Q499" t="s">
        <v>1479</v>
      </c>
    </row>
    <row r="500" spans="1:17" x14ac:dyDescent="0.3">
      <c r="A500" t="s">
        <v>2429</v>
      </c>
      <c r="B500" t="s">
        <v>2430</v>
      </c>
      <c r="C500" s="1">
        <v>46025</v>
      </c>
      <c r="D500" t="s">
        <v>34</v>
      </c>
      <c r="E500" t="s">
        <v>50</v>
      </c>
      <c r="F500" t="s">
        <v>74</v>
      </c>
      <c r="G500" t="s">
        <v>51</v>
      </c>
      <c r="H500" t="s">
        <v>52</v>
      </c>
      <c r="I500" t="s">
        <v>20</v>
      </c>
      <c r="J500">
        <v>999</v>
      </c>
      <c r="K500">
        <v>1</v>
      </c>
      <c r="L500">
        <v>1088.22</v>
      </c>
      <c r="M500">
        <v>54.41</v>
      </c>
      <c r="N500">
        <v>1088.22</v>
      </c>
      <c r="O500">
        <v>1033.81</v>
      </c>
      <c r="P500" t="s">
        <v>2111</v>
      </c>
      <c r="Q500" t="s">
        <v>23</v>
      </c>
    </row>
    <row r="501" spans="1:17" x14ac:dyDescent="0.3">
      <c r="A501" t="s">
        <v>1378</v>
      </c>
      <c r="B501" t="s">
        <v>1377</v>
      </c>
      <c r="C501" s="1">
        <v>46134</v>
      </c>
      <c r="D501" t="s">
        <v>34</v>
      </c>
      <c r="E501" t="s">
        <v>42</v>
      </c>
      <c r="F501" t="s">
        <v>60</v>
      </c>
      <c r="G501" t="s">
        <v>191</v>
      </c>
      <c r="H501" t="s">
        <v>192</v>
      </c>
      <c r="I501" t="s">
        <v>45</v>
      </c>
      <c r="J501">
        <v>699</v>
      </c>
      <c r="K501">
        <v>2</v>
      </c>
      <c r="L501">
        <v>663.58</v>
      </c>
      <c r="M501">
        <v>132.72</v>
      </c>
      <c r="N501">
        <v>1327.16</v>
      </c>
      <c r="O501">
        <v>1194.44</v>
      </c>
      <c r="P501" t="s">
        <v>2111</v>
      </c>
      <c r="Q501" t="s">
        <v>1170</v>
      </c>
    </row>
    <row r="502" spans="1:17" x14ac:dyDescent="0.3">
      <c r="A502" t="s">
        <v>2431</v>
      </c>
      <c r="B502" t="s">
        <v>2432</v>
      </c>
      <c r="C502" s="1">
        <v>46167</v>
      </c>
      <c r="D502" t="s">
        <v>26</v>
      </c>
      <c r="E502" t="s">
        <v>17</v>
      </c>
      <c r="F502" t="s">
        <v>74</v>
      </c>
      <c r="G502" t="s">
        <v>101</v>
      </c>
      <c r="H502" t="s">
        <v>102</v>
      </c>
      <c r="I502" t="s">
        <v>45</v>
      </c>
      <c r="J502">
        <v>4999</v>
      </c>
      <c r="K502">
        <v>2</v>
      </c>
      <c r="L502">
        <v>5167.33</v>
      </c>
      <c r="M502">
        <v>0</v>
      </c>
      <c r="N502">
        <v>10334.66</v>
      </c>
      <c r="O502">
        <v>10334.66</v>
      </c>
      <c r="P502" t="s">
        <v>2111</v>
      </c>
      <c r="Q502" t="s">
        <v>1479</v>
      </c>
    </row>
    <row r="503" spans="1:17" x14ac:dyDescent="0.3">
      <c r="A503" t="s">
        <v>1316</v>
      </c>
      <c r="B503" t="s">
        <v>782</v>
      </c>
      <c r="C503" s="1">
        <v>46130</v>
      </c>
      <c r="D503" t="s">
        <v>16</v>
      </c>
      <c r="E503" t="s">
        <v>50</v>
      </c>
      <c r="F503" t="s">
        <v>74</v>
      </c>
      <c r="G503" t="s">
        <v>126</v>
      </c>
      <c r="H503" t="s">
        <v>127</v>
      </c>
      <c r="I503" t="s">
        <v>45</v>
      </c>
      <c r="J503">
        <v>2499</v>
      </c>
      <c r="K503">
        <v>1</v>
      </c>
      <c r="L503">
        <v>2619.0300000000002</v>
      </c>
      <c r="M503">
        <v>523.80999999999995</v>
      </c>
      <c r="N503">
        <v>2619.0300000000002</v>
      </c>
      <c r="O503">
        <v>2095.2199999999998</v>
      </c>
      <c r="P503" t="s">
        <v>2111</v>
      </c>
      <c r="Q503" t="s">
        <v>1170</v>
      </c>
    </row>
    <row r="504" spans="1:17" x14ac:dyDescent="0.3">
      <c r="A504" t="s">
        <v>2372</v>
      </c>
      <c r="B504" t="s">
        <v>571</v>
      </c>
      <c r="C504" s="1">
        <v>46129</v>
      </c>
      <c r="D504" t="s">
        <v>26</v>
      </c>
      <c r="E504" t="s">
        <v>42</v>
      </c>
      <c r="F504" t="s">
        <v>60</v>
      </c>
      <c r="G504" t="s">
        <v>106</v>
      </c>
      <c r="H504" t="s">
        <v>107</v>
      </c>
      <c r="I504" t="s">
        <v>108</v>
      </c>
      <c r="J504">
        <v>599</v>
      </c>
      <c r="K504">
        <v>3</v>
      </c>
      <c r="L504">
        <v>592.79</v>
      </c>
      <c r="M504">
        <v>266.76</v>
      </c>
      <c r="N504">
        <v>1778.37</v>
      </c>
      <c r="O504">
        <v>1511.61</v>
      </c>
      <c r="P504" t="s">
        <v>2111</v>
      </c>
      <c r="Q504" t="s">
        <v>1170</v>
      </c>
    </row>
    <row r="505" spans="1:17" x14ac:dyDescent="0.3">
      <c r="A505" t="s">
        <v>2433</v>
      </c>
      <c r="B505" t="s">
        <v>1805</v>
      </c>
      <c r="C505" s="1">
        <v>46165</v>
      </c>
      <c r="D505" t="s">
        <v>34</v>
      </c>
      <c r="E505" t="s">
        <v>50</v>
      </c>
      <c r="F505" t="s">
        <v>31</v>
      </c>
      <c r="G505" t="s">
        <v>56</v>
      </c>
      <c r="H505" t="s">
        <v>57</v>
      </c>
      <c r="I505" t="s">
        <v>58</v>
      </c>
      <c r="J505">
        <v>8999</v>
      </c>
      <c r="K505">
        <v>1</v>
      </c>
      <c r="L505">
        <v>9786.4599999999991</v>
      </c>
      <c r="M505">
        <v>0</v>
      </c>
      <c r="N505">
        <v>9786.4599999999991</v>
      </c>
      <c r="O505">
        <v>9786.4599999999991</v>
      </c>
      <c r="P505" t="s">
        <v>2111</v>
      </c>
      <c r="Q505" t="s">
        <v>1479</v>
      </c>
    </row>
    <row r="506" spans="1:17" x14ac:dyDescent="0.3">
      <c r="A506" t="s">
        <v>2434</v>
      </c>
      <c r="B506" t="s">
        <v>2435</v>
      </c>
      <c r="C506" s="1">
        <v>46087</v>
      </c>
      <c r="D506" t="s">
        <v>41</v>
      </c>
      <c r="E506" t="s">
        <v>17</v>
      </c>
      <c r="F506" t="s">
        <v>31</v>
      </c>
      <c r="G506" t="s">
        <v>126</v>
      </c>
      <c r="H506" t="s">
        <v>127</v>
      </c>
      <c r="I506" t="s">
        <v>45</v>
      </c>
      <c r="J506">
        <v>2499</v>
      </c>
      <c r="K506">
        <v>1</v>
      </c>
      <c r="L506">
        <v>2617.2800000000002</v>
      </c>
      <c r="M506">
        <v>392.59</v>
      </c>
      <c r="N506">
        <v>2617.2800000000002</v>
      </c>
      <c r="O506">
        <v>2224.69</v>
      </c>
      <c r="P506" t="s">
        <v>2111</v>
      </c>
      <c r="Q506" t="s">
        <v>789</v>
      </c>
    </row>
    <row r="507" spans="1:17" x14ac:dyDescent="0.3">
      <c r="A507" t="s">
        <v>1184</v>
      </c>
      <c r="B507" t="s">
        <v>1183</v>
      </c>
      <c r="C507" s="1">
        <v>46115</v>
      </c>
      <c r="D507" t="s">
        <v>34</v>
      </c>
      <c r="E507" t="s">
        <v>17</v>
      </c>
      <c r="F507" t="s">
        <v>22</v>
      </c>
      <c r="G507" t="s">
        <v>91</v>
      </c>
      <c r="H507" t="s">
        <v>92</v>
      </c>
      <c r="I507" t="s">
        <v>37</v>
      </c>
      <c r="J507">
        <v>1899</v>
      </c>
      <c r="K507">
        <v>1</v>
      </c>
      <c r="L507">
        <v>1883.02</v>
      </c>
      <c r="M507">
        <v>282.45</v>
      </c>
      <c r="N507">
        <v>1883.02</v>
      </c>
      <c r="O507">
        <v>1600.57</v>
      </c>
      <c r="P507" t="s">
        <v>2111</v>
      </c>
      <c r="Q507" t="s">
        <v>1170</v>
      </c>
    </row>
    <row r="508" spans="1:17" x14ac:dyDescent="0.3">
      <c r="A508" t="s">
        <v>2436</v>
      </c>
      <c r="B508" t="s">
        <v>2437</v>
      </c>
      <c r="C508" s="1">
        <v>46073</v>
      </c>
      <c r="D508" t="s">
        <v>16</v>
      </c>
      <c r="E508" t="s">
        <v>17</v>
      </c>
      <c r="F508" t="s">
        <v>22</v>
      </c>
      <c r="G508" t="s">
        <v>149</v>
      </c>
      <c r="H508" t="s">
        <v>150</v>
      </c>
      <c r="I508" t="s">
        <v>37</v>
      </c>
      <c r="J508">
        <v>2999</v>
      </c>
      <c r="K508">
        <v>1</v>
      </c>
      <c r="L508">
        <v>3040.59</v>
      </c>
      <c r="M508">
        <v>760.15</v>
      </c>
      <c r="N508">
        <v>3040.59</v>
      </c>
      <c r="O508">
        <v>2280.44</v>
      </c>
      <c r="P508" t="s">
        <v>2111</v>
      </c>
      <c r="Q508" t="s">
        <v>498</v>
      </c>
    </row>
    <row r="509" spans="1:17" x14ac:dyDescent="0.3">
      <c r="A509" t="s">
        <v>357</v>
      </c>
      <c r="B509" t="s">
        <v>190</v>
      </c>
      <c r="C509" s="1">
        <v>46041</v>
      </c>
      <c r="D509" t="s">
        <v>16</v>
      </c>
      <c r="E509" t="s">
        <v>50</v>
      </c>
      <c r="F509" t="s">
        <v>31</v>
      </c>
      <c r="G509" t="s">
        <v>250</v>
      </c>
      <c r="H509" t="s">
        <v>251</v>
      </c>
      <c r="I509" t="s">
        <v>108</v>
      </c>
      <c r="J509">
        <v>899</v>
      </c>
      <c r="K509">
        <v>2</v>
      </c>
      <c r="L509">
        <v>933.63</v>
      </c>
      <c r="M509">
        <v>0</v>
      </c>
      <c r="N509">
        <v>1867.26</v>
      </c>
      <c r="O509">
        <v>1867.26</v>
      </c>
      <c r="P509" t="s">
        <v>2111</v>
      </c>
      <c r="Q509" t="s">
        <v>23</v>
      </c>
    </row>
    <row r="510" spans="1:17" x14ac:dyDescent="0.3">
      <c r="A510" t="s">
        <v>2171</v>
      </c>
      <c r="B510" t="s">
        <v>2172</v>
      </c>
      <c r="C510" s="1">
        <v>46061</v>
      </c>
      <c r="D510" t="s">
        <v>16</v>
      </c>
      <c r="E510" t="s">
        <v>17</v>
      </c>
      <c r="F510" t="s">
        <v>31</v>
      </c>
      <c r="G510" t="s">
        <v>96</v>
      </c>
      <c r="H510" t="s">
        <v>97</v>
      </c>
      <c r="I510" t="s">
        <v>58</v>
      </c>
      <c r="J510">
        <v>7499</v>
      </c>
      <c r="K510">
        <v>1</v>
      </c>
      <c r="L510">
        <v>7637.27</v>
      </c>
      <c r="M510">
        <v>381.86</v>
      </c>
      <c r="N510">
        <v>7637.27</v>
      </c>
      <c r="O510">
        <v>7255.41</v>
      </c>
      <c r="P510" t="s">
        <v>2111</v>
      </c>
      <c r="Q510" t="s">
        <v>498</v>
      </c>
    </row>
    <row r="511" spans="1:17" x14ac:dyDescent="0.3">
      <c r="A511" t="s">
        <v>911</v>
      </c>
      <c r="B511" t="s">
        <v>500</v>
      </c>
      <c r="C511" s="1">
        <v>46090</v>
      </c>
      <c r="D511" t="s">
        <v>34</v>
      </c>
      <c r="E511" t="s">
        <v>17</v>
      </c>
      <c r="F511" t="s">
        <v>22</v>
      </c>
      <c r="G511" t="s">
        <v>91</v>
      </c>
      <c r="H511" t="s">
        <v>92</v>
      </c>
      <c r="I511" t="s">
        <v>37</v>
      </c>
      <c r="J511">
        <v>1899</v>
      </c>
      <c r="K511">
        <v>4</v>
      </c>
      <c r="L511">
        <v>2042.83</v>
      </c>
      <c r="M511">
        <v>1634.26</v>
      </c>
      <c r="N511">
        <v>8171.32</v>
      </c>
      <c r="O511">
        <v>6537.06</v>
      </c>
      <c r="P511" t="s">
        <v>2111</v>
      </c>
      <c r="Q511" t="s">
        <v>789</v>
      </c>
    </row>
    <row r="512" spans="1:17" x14ac:dyDescent="0.3">
      <c r="A512" t="s">
        <v>509</v>
      </c>
      <c r="B512" t="s">
        <v>508</v>
      </c>
      <c r="C512" s="1">
        <v>46054</v>
      </c>
      <c r="D512" t="s">
        <v>34</v>
      </c>
      <c r="E512" t="s">
        <v>17</v>
      </c>
      <c r="F512" t="s">
        <v>60</v>
      </c>
      <c r="G512" t="s">
        <v>112</v>
      </c>
      <c r="H512" t="s">
        <v>113</v>
      </c>
      <c r="I512" t="s">
        <v>37</v>
      </c>
      <c r="J512">
        <v>1499</v>
      </c>
      <c r="K512">
        <v>1</v>
      </c>
      <c r="L512">
        <v>1456.1</v>
      </c>
      <c r="M512">
        <v>291.22000000000003</v>
      </c>
      <c r="N512">
        <v>1456.1</v>
      </c>
      <c r="O512">
        <v>1164.8800000000001</v>
      </c>
      <c r="P512" t="s">
        <v>2111</v>
      </c>
      <c r="Q512" t="s">
        <v>498</v>
      </c>
    </row>
    <row r="513" spans="1:17" x14ac:dyDescent="0.3">
      <c r="A513" t="s">
        <v>614</v>
      </c>
      <c r="B513" t="s">
        <v>613</v>
      </c>
      <c r="C513" s="1">
        <v>46064</v>
      </c>
      <c r="D513" t="s">
        <v>16</v>
      </c>
      <c r="E513" t="s">
        <v>17</v>
      </c>
      <c r="F513" t="s">
        <v>47</v>
      </c>
      <c r="G513" t="s">
        <v>56</v>
      </c>
      <c r="H513" t="s">
        <v>57</v>
      </c>
      <c r="I513" t="s">
        <v>58</v>
      </c>
      <c r="J513">
        <v>8999</v>
      </c>
      <c r="K513">
        <v>1</v>
      </c>
      <c r="L513">
        <v>8638.83</v>
      </c>
      <c r="M513">
        <v>1295.82</v>
      </c>
      <c r="N513">
        <v>8638.83</v>
      </c>
      <c r="O513">
        <v>7343.01</v>
      </c>
      <c r="P513" t="s">
        <v>2111</v>
      </c>
      <c r="Q513" t="s">
        <v>498</v>
      </c>
    </row>
    <row r="514" spans="1:17" x14ac:dyDescent="0.3">
      <c r="A514" t="s">
        <v>2383</v>
      </c>
      <c r="B514" t="s">
        <v>2384</v>
      </c>
      <c r="C514" s="1">
        <v>46148</v>
      </c>
      <c r="D514" t="s">
        <v>63</v>
      </c>
      <c r="E514" t="s">
        <v>17</v>
      </c>
      <c r="F514" t="s">
        <v>74</v>
      </c>
      <c r="G514" t="s">
        <v>27</v>
      </c>
      <c r="H514" t="s">
        <v>28</v>
      </c>
      <c r="I514" t="s">
        <v>29</v>
      </c>
      <c r="J514">
        <v>1599</v>
      </c>
      <c r="K514">
        <v>1</v>
      </c>
      <c r="L514">
        <v>1507.49</v>
      </c>
      <c r="M514">
        <v>226.12</v>
      </c>
      <c r="N514">
        <v>1507.49</v>
      </c>
      <c r="O514">
        <v>1281.3699999999999</v>
      </c>
      <c r="P514" t="s">
        <v>2114</v>
      </c>
      <c r="Q514" t="s">
        <v>1479</v>
      </c>
    </row>
    <row r="515" spans="1:17" x14ac:dyDescent="0.3">
      <c r="A515" t="s">
        <v>2438</v>
      </c>
      <c r="B515" t="s">
        <v>761</v>
      </c>
      <c r="C515" s="1">
        <v>46095</v>
      </c>
      <c r="D515" t="s">
        <v>16</v>
      </c>
      <c r="E515" t="s">
        <v>50</v>
      </c>
      <c r="F515" t="s">
        <v>74</v>
      </c>
      <c r="G515" t="s">
        <v>101</v>
      </c>
      <c r="H515" t="s">
        <v>102</v>
      </c>
      <c r="I515" t="s">
        <v>45</v>
      </c>
      <c r="J515">
        <v>4999</v>
      </c>
      <c r="K515">
        <v>1</v>
      </c>
      <c r="L515">
        <v>4536.88</v>
      </c>
      <c r="M515">
        <v>0</v>
      </c>
      <c r="N515">
        <v>4536.88</v>
      </c>
      <c r="O515">
        <v>4536.88</v>
      </c>
      <c r="P515" t="s">
        <v>2111</v>
      </c>
      <c r="Q515" t="s">
        <v>789</v>
      </c>
    </row>
    <row r="516" spans="1:17" x14ac:dyDescent="0.3">
      <c r="A516" t="s">
        <v>2439</v>
      </c>
      <c r="B516" t="s">
        <v>1915</v>
      </c>
      <c r="C516" s="1">
        <v>46035</v>
      </c>
      <c r="D516" t="s">
        <v>63</v>
      </c>
      <c r="E516" t="s">
        <v>17</v>
      </c>
      <c r="F516" t="s">
        <v>74</v>
      </c>
      <c r="G516" t="s">
        <v>250</v>
      </c>
      <c r="H516" t="s">
        <v>251</v>
      </c>
      <c r="I516" t="s">
        <v>108</v>
      </c>
      <c r="J516">
        <v>899</v>
      </c>
      <c r="K516">
        <v>3</v>
      </c>
      <c r="L516">
        <v>816.83</v>
      </c>
      <c r="M516">
        <v>245.05</v>
      </c>
      <c r="N516">
        <v>2450.4899999999998</v>
      </c>
      <c r="O516">
        <v>2205.44</v>
      </c>
      <c r="P516" t="s">
        <v>2111</v>
      </c>
      <c r="Q516" t="s">
        <v>23</v>
      </c>
    </row>
    <row r="517" spans="1:17" x14ac:dyDescent="0.3">
      <c r="A517" t="s">
        <v>2440</v>
      </c>
      <c r="B517" t="s">
        <v>1183</v>
      </c>
      <c r="C517" s="1">
        <v>46181</v>
      </c>
      <c r="D517" t="s">
        <v>63</v>
      </c>
      <c r="E517" t="s">
        <v>17</v>
      </c>
      <c r="F517" t="s">
        <v>74</v>
      </c>
      <c r="G517" t="s">
        <v>18</v>
      </c>
      <c r="H517" t="s">
        <v>19</v>
      </c>
      <c r="I517" t="s">
        <v>20</v>
      </c>
      <c r="J517">
        <v>2799</v>
      </c>
      <c r="K517">
        <v>2</v>
      </c>
      <c r="L517">
        <v>3006.16</v>
      </c>
      <c r="M517">
        <v>300.62</v>
      </c>
      <c r="N517">
        <v>6012.32</v>
      </c>
      <c r="O517">
        <v>5711.7</v>
      </c>
      <c r="P517" t="s">
        <v>2111</v>
      </c>
      <c r="Q517" t="s">
        <v>1809</v>
      </c>
    </row>
    <row r="518" spans="1:17" x14ac:dyDescent="0.3">
      <c r="A518" t="s">
        <v>2441</v>
      </c>
      <c r="B518" t="s">
        <v>2442</v>
      </c>
      <c r="C518" s="1">
        <v>46157</v>
      </c>
      <c r="D518" t="s">
        <v>63</v>
      </c>
      <c r="E518" t="s">
        <v>42</v>
      </c>
      <c r="F518" t="s">
        <v>47</v>
      </c>
      <c r="G518" t="s">
        <v>250</v>
      </c>
      <c r="H518" t="s">
        <v>251</v>
      </c>
      <c r="I518" t="s">
        <v>108</v>
      </c>
      <c r="J518">
        <v>899</v>
      </c>
      <c r="K518">
        <v>2</v>
      </c>
      <c r="L518">
        <v>931.08</v>
      </c>
      <c r="M518">
        <v>0</v>
      </c>
      <c r="N518">
        <v>1862.16</v>
      </c>
      <c r="O518">
        <v>1862.16</v>
      </c>
      <c r="P518" t="s">
        <v>2111</v>
      </c>
      <c r="Q518" t="s">
        <v>1479</v>
      </c>
    </row>
    <row r="519" spans="1:17" x14ac:dyDescent="0.3">
      <c r="A519" t="s">
        <v>1367</v>
      </c>
      <c r="B519" t="s">
        <v>1343</v>
      </c>
      <c r="C519" s="1">
        <v>46133</v>
      </c>
      <c r="D519" t="s">
        <v>16</v>
      </c>
      <c r="E519" t="s">
        <v>50</v>
      </c>
      <c r="F519" t="s">
        <v>31</v>
      </c>
      <c r="G519" t="s">
        <v>51</v>
      </c>
      <c r="H519" t="s">
        <v>52</v>
      </c>
      <c r="I519" t="s">
        <v>20</v>
      </c>
      <c r="J519">
        <v>999</v>
      </c>
      <c r="K519">
        <v>1</v>
      </c>
      <c r="L519">
        <v>1031.07</v>
      </c>
      <c r="M519">
        <v>154.66</v>
      </c>
      <c r="N519">
        <v>1031.07</v>
      </c>
      <c r="O519">
        <v>876.41</v>
      </c>
      <c r="P519" t="s">
        <v>2111</v>
      </c>
      <c r="Q519" t="s">
        <v>1170</v>
      </c>
    </row>
    <row r="520" spans="1:17" x14ac:dyDescent="0.3">
      <c r="A520" t="s">
        <v>329</v>
      </c>
      <c r="B520" t="s">
        <v>328</v>
      </c>
      <c r="C520" s="1">
        <v>46039</v>
      </c>
      <c r="D520" t="s">
        <v>26</v>
      </c>
      <c r="E520" t="s">
        <v>17</v>
      </c>
      <c r="F520" t="s">
        <v>22</v>
      </c>
      <c r="G520" t="s">
        <v>91</v>
      </c>
      <c r="H520" t="s">
        <v>92</v>
      </c>
      <c r="I520" t="s">
        <v>37</v>
      </c>
      <c r="J520">
        <v>1899</v>
      </c>
      <c r="K520">
        <v>1</v>
      </c>
      <c r="L520">
        <v>1942.54</v>
      </c>
      <c r="M520">
        <v>0</v>
      </c>
      <c r="N520">
        <v>1942.54</v>
      </c>
      <c r="O520">
        <v>1942.54</v>
      </c>
      <c r="P520" t="s">
        <v>2111</v>
      </c>
      <c r="Q520" t="s">
        <v>23</v>
      </c>
    </row>
    <row r="521" spans="1:17" x14ac:dyDescent="0.3">
      <c r="A521" t="s">
        <v>2230</v>
      </c>
      <c r="B521" t="s">
        <v>2231</v>
      </c>
      <c r="C521" s="1">
        <v>46125</v>
      </c>
      <c r="D521" t="s">
        <v>16</v>
      </c>
      <c r="E521" t="s">
        <v>17</v>
      </c>
      <c r="F521" t="s">
        <v>74</v>
      </c>
      <c r="G521" t="s">
        <v>35</v>
      </c>
      <c r="H521" t="s">
        <v>36</v>
      </c>
      <c r="I521" t="s">
        <v>37</v>
      </c>
      <c r="J521">
        <v>799</v>
      </c>
      <c r="K521">
        <v>1</v>
      </c>
      <c r="L521">
        <v>854.81</v>
      </c>
      <c r="M521">
        <v>85.48</v>
      </c>
      <c r="N521">
        <v>854.81</v>
      </c>
      <c r="O521">
        <v>769.33</v>
      </c>
      <c r="P521" t="s">
        <v>2111</v>
      </c>
      <c r="Q521" t="s">
        <v>1170</v>
      </c>
    </row>
    <row r="522" spans="1:17" x14ac:dyDescent="0.3">
      <c r="A522" t="s">
        <v>2443</v>
      </c>
      <c r="B522" t="s">
        <v>607</v>
      </c>
      <c r="C522" s="1">
        <v>46098</v>
      </c>
      <c r="D522" t="s">
        <v>63</v>
      </c>
      <c r="E522" t="s">
        <v>17</v>
      </c>
      <c r="F522" t="s">
        <v>47</v>
      </c>
      <c r="G522" t="s">
        <v>91</v>
      </c>
      <c r="H522" t="s">
        <v>92</v>
      </c>
      <c r="I522" t="s">
        <v>37</v>
      </c>
      <c r="J522">
        <v>1899</v>
      </c>
      <c r="K522">
        <v>1</v>
      </c>
      <c r="L522">
        <v>1891.51</v>
      </c>
      <c r="M522">
        <v>378.3</v>
      </c>
      <c r="N522">
        <v>1891.51</v>
      </c>
      <c r="O522">
        <v>1513.21</v>
      </c>
      <c r="P522" t="s">
        <v>2111</v>
      </c>
      <c r="Q522" t="s">
        <v>789</v>
      </c>
    </row>
    <row r="523" spans="1:17" x14ac:dyDescent="0.3">
      <c r="A523" t="s">
        <v>1635</v>
      </c>
      <c r="B523" t="s">
        <v>1634</v>
      </c>
      <c r="C523" s="1">
        <v>46155</v>
      </c>
      <c r="D523" t="s">
        <v>34</v>
      </c>
      <c r="E523" t="s">
        <v>50</v>
      </c>
      <c r="F523" t="s">
        <v>60</v>
      </c>
      <c r="G523" t="s">
        <v>165</v>
      </c>
      <c r="H523" t="s">
        <v>166</v>
      </c>
      <c r="I523" t="s">
        <v>29</v>
      </c>
      <c r="J523">
        <v>449</v>
      </c>
      <c r="K523">
        <v>1</v>
      </c>
      <c r="L523">
        <v>482.26</v>
      </c>
      <c r="M523">
        <v>0</v>
      </c>
      <c r="N523">
        <v>482.26</v>
      </c>
      <c r="O523">
        <v>482.26</v>
      </c>
      <c r="P523" t="s">
        <v>2111</v>
      </c>
      <c r="Q523" t="s">
        <v>1479</v>
      </c>
    </row>
    <row r="524" spans="1:17" x14ac:dyDescent="0.3">
      <c r="A524" t="s">
        <v>1355</v>
      </c>
      <c r="B524" t="s">
        <v>207</v>
      </c>
      <c r="C524" s="1">
        <v>46133</v>
      </c>
      <c r="D524" t="s">
        <v>26</v>
      </c>
      <c r="E524" t="s">
        <v>50</v>
      </c>
      <c r="F524" t="s">
        <v>60</v>
      </c>
      <c r="G524" t="s">
        <v>43</v>
      </c>
      <c r="H524" t="s">
        <v>44</v>
      </c>
      <c r="I524" t="s">
        <v>45</v>
      </c>
      <c r="J524">
        <v>3299</v>
      </c>
      <c r="K524">
        <v>2</v>
      </c>
      <c r="L524">
        <v>3206.26</v>
      </c>
      <c r="M524">
        <v>1603.13</v>
      </c>
      <c r="N524">
        <v>6412.52</v>
      </c>
      <c r="O524">
        <v>4809.3900000000003</v>
      </c>
      <c r="P524" t="s">
        <v>2111</v>
      </c>
      <c r="Q524" t="s">
        <v>1170</v>
      </c>
    </row>
    <row r="525" spans="1:17" x14ac:dyDescent="0.3">
      <c r="A525" t="s">
        <v>2444</v>
      </c>
      <c r="B525" t="s">
        <v>2445</v>
      </c>
      <c r="C525" s="1">
        <v>46100</v>
      </c>
      <c r="D525" t="s">
        <v>34</v>
      </c>
      <c r="E525" t="s">
        <v>17</v>
      </c>
      <c r="F525" t="s">
        <v>31</v>
      </c>
      <c r="G525" t="s">
        <v>165</v>
      </c>
      <c r="H525" t="s">
        <v>166</v>
      </c>
      <c r="I525" t="s">
        <v>29</v>
      </c>
      <c r="J525">
        <v>449</v>
      </c>
      <c r="K525">
        <v>1</v>
      </c>
      <c r="L525">
        <v>487.32</v>
      </c>
      <c r="M525">
        <v>121.83</v>
      </c>
      <c r="N525">
        <v>487.32</v>
      </c>
      <c r="O525">
        <v>365.49</v>
      </c>
      <c r="P525" t="s">
        <v>2111</v>
      </c>
      <c r="Q525" t="s">
        <v>789</v>
      </c>
    </row>
    <row r="526" spans="1:17" x14ac:dyDescent="0.3">
      <c r="A526" t="s">
        <v>1666</v>
      </c>
      <c r="B526" t="s">
        <v>1665</v>
      </c>
      <c r="C526" s="1">
        <v>46157</v>
      </c>
      <c r="D526" t="s">
        <v>16</v>
      </c>
      <c r="E526" t="s">
        <v>17</v>
      </c>
      <c r="F526" t="s">
        <v>22</v>
      </c>
      <c r="G526" t="s">
        <v>35</v>
      </c>
      <c r="H526" t="s">
        <v>36</v>
      </c>
      <c r="I526" t="s">
        <v>37</v>
      </c>
      <c r="J526">
        <v>799</v>
      </c>
      <c r="K526">
        <v>2</v>
      </c>
      <c r="L526">
        <v>830.75</v>
      </c>
      <c r="M526">
        <v>166.15</v>
      </c>
      <c r="N526">
        <v>1661.5</v>
      </c>
      <c r="O526">
        <v>1495.35</v>
      </c>
      <c r="P526" t="s">
        <v>2111</v>
      </c>
      <c r="Q526" t="s">
        <v>1479</v>
      </c>
    </row>
    <row r="527" spans="1:17" x14ac:dyDescent="0.3">
      <c r="A527" t="s">
        <v>1924</v>
      </c>
      <c r="B527" t="s">
        <v>1923</v>
      </c>
      <c r="C527" s="1">
        <v>46185</v>
      </c>
      <c r="D527" t="s">
        <v>26</v>
      </c>
      <c r="E527" t="s">
        <v>17</v>
      </c>
      <c r="F527" t="s">
        <v>31</v>
      </c>
      <c r="G527" t="s">
        <v>80</v>
      </c>
      <c r="H527" t="s">
        <v>81</v>
      </c>
      <c r="I527" t="s">
        <v>82</v>
      </c>
      <c r="J527">
        <v>4299</v>
      </c>
      <c r="K527">
        <v>1</v>
      </c>
      <c r="L527">
        <v>4090.22</v>
      </c>
      <c r="M527">
        <v>0</v>
      </c>
      <c r="N527">
        <v>4090.22</v>
      </c>
      <c r="O527">
        <v>4090.22</v>
      </c>
      <c r="P527" t="s">
        <v>2111</v>
      </c>
      <c r="Q527" t="s">
        <v>1809</v>
      </c>
    </row>
    <row r="528" spans="1:17" x14ac:dyDescent="0.3">
      <c r="A528" t="s">
        <v>2301</v>
      </c>
      <c r="B528" t="s">
        <v>2302</v>
      </c>
      <c r="C528" s="1">
        <v>46114</v>
      </c>
      <c r="D528" t="s">
        <v>34</v>
      </c>
      <c r="E528" t="s">
        <v>50</v>
      </c>
      <c r="F528" t="s">
        <v>74</v>
      </c>
      <c r="G528" t="s">
        <v>27</v>
      </c>
      <c r="H528" t="s">
        <v>28</v>
      </c>
      <c r="I528" t="s">
        <v>29</v>
      </c>
      <c r="J528">
        <v>1599</v>
      </c>
      <c r="K528">
        <v>1</v>
      </c>
      <c r="L528">
        <v>1619.49</v>
      </c>
      <c r="M528">
        <v>80.97</v>
      </c>
      <c r="N528">
        <v>1619.49</v>
      </c>
      <c r="O528">
        <v>1538.52</v>
      </c>
      <c r="P528" t="s">
        <v>2111</v>
      </c>
      <c r="Q528" t="s">
        <v>1170</v>
      </c>
    </row>
    <row r="529" spans="1:17" x14ac:dyDescent="0.3">
      <c r="A529" t="s">
        <v>2446</v>
      </c>
      <c r="B529" t="s">
        <v>322</v>
      </c>
      <c r="C529" s="1">
        <v>46141</v>
      </c>
      <c r="D529" t="s">
        <v>34</v>
      </c>
      <c r="E529" t="s">
        <v>17</v>
      </c>
      <c r="F529" t="s">
        <v>31</v>
      </c>
      <c r="G529" t="s">
        <v>160</v>
      </c>
      <c r="H529" t="s">
        <v>161</v>
      </c>
      <c r="I529" t="s">
        <v>82</v>
      </c>
      <c r="J529">
        <v>799</v>
      </c>
      <c r="K529">
        <v>2</v>
      </c>
      <c r="L529">
        <v>804.28</v>
      </c>
      <c r="M529">
        <v>160.86000000000001</v>
      </c>
      <c r="N529">
        <v>1608.56</v>
      </c>
      <c r="O529">
        <v>1447.7</v>
      </c>
      <c r="P529" t="s">
        <v>2111</v>
      </c>
      <c r="Q529" t="s">
        <v>1170</v>
      </c>
    </row>
    <row r="530" spans="1:17" x14ac:dyDescent="0.3">
      <c r="A530" t="s">
        <v>550</v>
      </c>
      <c r="B530" t="s">
        <v>536</v>
      </c>
      <c r="C530" s="1">
        <v>46058</v>
      </c>
      <c r="D530" t="s">
        <v>34</v>
      </c>
      <c r="E530" t="s">
        <v>42</v>
      </c>
      <c r="F530" t="s">
        <v>22</v>
      </c>
      <c r="G530" t="s">
        <v>80</v>
      </c>
      <c r="H530" t="s">
        <v>81</v>
      </c>
      <c r="I530" t="s">
        <v>82</v>
      </c>
      <c r="J530">
        <v>4299</v>
      </c>
      <c r="K530">
        <v>1</v>
      </c>
      <c r="L530">
        <v>3987.67</v>
      </c>
      <c r="M530">
        <v>199.38</v>
      </c>
      <c r="N530">
        <v>3987.67</v>
      </c>
      <c r="O530">
        <v>3788.29</v>
      </c>
      <c r="P530" t="s">
        <v>2111</v>
      </c>
      <c r="Q530" t="s">
        <v>498</v>
      </c>
    </row>
    <row r="531" spans="1:17" x14ac:dyDescent="0.3">
      <c r="A531" t="s">
        <v>452</v>
      </c>
      <c r="B531" t="s">
        <v>451</v>
      </c>
      <c r="C531" s="1">
        <v>46049</v>
      </c>
      <c r="D531" t="s">
        <v>41</v>
      </c>
      <c r="E531" t="s">
        <v>17</v>
      </c>
      <c r="F531" t="s">
        <v>31</v>
      </c>
      <c r="G531" t="s">
        <v>126</v>
      </c>
      <c r="H531" t="s">
        <v>127</v>
      </c>
      <c r="I531" t="s">
        <v>45</v>
      </c>
      <c r="J531">
        <v>2499</v>
      </c>
      <c r="K531">
        <v>3</v>
      </c>
      <c r="L531">
        <v>2544.6</v>
      </c>
      <c r="M531">
        <v>381.69</v>
      </c>
      <c r="N531">
        <v>7633.8</v>
      </c>
      <c r="O531">
        <v>7252.11</v>
      </c>
      <c r="P531" t="s">
        <v>2111</v>
      </c>
      <c r="Q531" t="s">
        <v>23</v>
      </c>
    </row>
    <row r="532" spans="1:17" x14ac:dyDescent="0.3">
      <c r="A532" t="s">
        <v>2447</v>
      </c>
      <c r="B532" t="s">
        <v>2448</v>
      </c>
      <c r="C532" s="1">
        <v>46035</v>
      </c>
      <c r="D532" t="s">
        <v>41</v>
      </c>
      <c r="E532" t="s">
        <v>50</v>
      </c>
      <c r="F532" t="s">
        <v>47</v>
      </c>
      <c r="G532" t="s">
        <v>112</v>
      </c>
      <c r="H532" t="s">
        <v>113</v>
      </c>
      <c r="I532" t="s">
        <v>37</v>
      </c>
      <c r="J532">
        <v>1499</v>
      </c>
      <c r="K532">
        <v>1</v>
      </c>
      <c r="L532">
        <v>1443.47</v>
      </c>
      <c r="M532">
        <v>360.87</v>
      </c>
      <c r="N532">
        <v>1443.47</v>
      </c>
      <c r="O532">
        <v>1082.5999999999999</v>
      </c>
      <c r="P532" t="s">
        <v>2111</v>
      </c>
      <c r="Q532" t="s">
        <v>23</v>
      </c>
    </row>
    <row r="533" spans="1:17" x14ac:dyDescent="0.3">
      <c r="A533" t="s">
        <v>1808</v>
      </c>
      <c r="B533" t="s">
        <v>1200</v>
      </c>
      <c r="C533" s="1">
        <v>46174</v>
      </c>
      <c r="D533" t="s">
        <v>16</v>
      </c>
      <c r="E533" t="s">
        <v>17</v>
      </c>
      <c r="F533" t="s">
        <v>60</v>
      </c>
      <c r="G533" t="s">
        <v>80</v>
      </c>
      <c r="H533" t="s">
        <v>81</v>
      </c>
      <c r="I533" t="s">
        <v>82</v>
      </c>
      <c r="J533">
        <v>4299</v>
      </c>
      <c r="K533">
        <v>1</v>
      </c>
      <c r="L533">
        <v>3914.11</v>
      </c>
      <c r="M533">
        <v>0</v>
      </c>
      <c r="N533">
        <v>3914.11</v>
      </c>
      <c r="O533">
        <v>3914.11</v>
      </c>
      <c r="P533" t="s">
        <v>2111</v>
      </c>
      <c r="Q533" t="s">
        <v>1809</v>
      </c>
    </row>
    <row r="534" spans="1:17" x14ac:dyDescent="0.3">
      <c r="A534" t="s">
        <v>2449</v>
      </c>
      <c r="B534" t="s">
        <v>2450</v>
      </c>
      <c r="C534" s="1">
        <v>46146</v>
      </c>
      <c r="D534" t="s">
        <v>34</v>
      </c>
      <c r="E534" t="s">
        <v>17</v>
      </c>
      <c r="F534" t="s">
        <v>60</v>
      </c>
      <c r="G534" t="s">
        <v>18</v>
      </c>
      <c r="H534" t="s">
        <v>19</v>
      </c>
      <c r="I534" t="s">
        <v>20</v>
      </c>
      <c r="J534">
        <v>2799</v>
      </c>
      <c r="K534">
        <v>4</v>
      </c>
      <c r="L534">
        <v>3050.16</v>
      </c>
      <c r="M534">
        <v>1830.1</v>
      </c>
      <c r="N534">
        <v>12200.64</v>
      </c>
      <c r="O534">
        <v>10370.540000000001</v>
      </c>
      <c r="P534" t="s">
        <v>2111</v>
      </c>
      <c r="Q534" t="s">
        <v>1479</v>
      </c>
    </row>
    <row r="535" spans="1:17" x14ac:dyDescent="0.3">
      <c r="A535" t="s">
        <v>244</v>
      </c>
      <c r="B535" t="s">
        <v>243</v>
      </c>
      <c r="C535" s="1">
        <v>46034</v>
      </c>
      <c r="D535" t="s">
        <v>63</v>
      </c>
      <c r="E535" t="s">
        <v>17</v>
      </c>
      <c r="F535" t="s">
        <v>74</v>
      </c>
      <c r="G535" t="s">
        <v>160</v>
      </c>
      <c r="H535" t="s">
        <v>161</v>
      </c>
      <c r="I535" t="s">
        <v>82</v>
      </c>
      <c r="J535">
        <v>799</v>
      </c>
      <c r="K535">
        <v>1</v>
      </c>
      <c r="L535">
        <v>821.61</v>
      </c>
      <c r="M535">
        <v>0</v>
      </c>
      <c r="N535">
        <v>821.61</v>
      </c>
      <c r="O535">
        <v>821.61</v>
      </c>
      <c r="P535" t="s">
        <v>2111</v>
      </c>
      <c r="Q535" t="s">
        <v>23</v>
      </c>
    </row>
    <row r="536" spans="1:17" x14ac:dyDescent="0.3">
      <c r="A536" t="s">
        <v>2451</v>
      </c>
      <c r="B536" t="s">
        <v>2275</v>
      </c>
      <c r="C536" s="1">
        <v>46025</v>
      </c>
      <c r="D536" t="s">
        <v>26</v>
      </c>
      <c r="E536" t="s">
        <v>50</v>
      </c>
      <c r="F536" t="s">
        <v>74</v>
      </c>
      <c r="G536" t="s">
        <v>250</v>
      </c>
      <c r="H536" t="s">
        <v>251</v>
      </c>
      <c r="I536" t="s">
        <v>108</v>
      </c>
      <c r="J536">
        <v>899</v>
      </c>
      <c r="K536">
        <v>1</v>
      </c>
      <c r="L536">
        <v>966.77</v>
      </c>
      <c r="M536">
        <v>96.68</v>
      </c>
      <c r="N536">
        <v>966.77</v>
      </c>
      <c r="O536">
        <v>870.09</v>
      </c>
      <c r="P536" t="s">
        <v>2111</v>
      </c>
      <c r="Q536" t="s">
        <v>23</v>
      </c>
    </row>
    <row r="537" spans="1:17" x14ac:dyDescent="0.3">
      <c r="A537" t="s">
        <v>93</v>
      </c>
      <c r="B537" t="s">
        <v>90</v>
      </c>
      <c r="C537" s="1">
        <v>46024</v>
      </c>
      <c r="D537" t="s">
        <v>16</v>
      </c>
      <c r="E537" t="s">
        <v>17</v>
      </c>
      <c r="F537" t="s">
        <v>22</v>
      </c>
      <c r="G537" t="s">
        <v>250</v>
      </c>
      <c r="H537" t="s">
        <v>251</v>
      </c>
      <c r="I537" t="s">
        <v>108</v>
      </c>
      <c r="J537">
        <v>899</v>
      </c>
      <c r="K537">
        <v>2</v>
      </c>
      <c r="L537">
        <v>930.65</v>
      </c>
      <c r="M537">
        <v>372.26</v>
      </c>
      <c r="N537">
        <v>1861.3</v>
      </c>
      <c r="O537">
        <v>1489.04</v>
      </c>
      <c r="P537" t="s">
        <v>2111</v>
      </c>
      <c r="Q537" t="s">
        <v>23</v>
      </c>
    </row>
    <row r="538" spans="1:17" x14ac:dyDescent="0.3">
      <c r="A538" t="s">
        <v>955</v>
      </c>
      <c r="B538" t="s">
        <v>598</v>
      </c>
      <c r="C538" s="1">
        <v>46093</v>
      </c>
      <c r="D538" t="s">
        <v>16</v>
      </c>
      <c r="E538" t="s">
        <v>50</v>
      </c>
      <c r="F538" t="s">
        <v>22</v>
      </c>
      <c r="G538" t="s">
        <v>18</v>
      </c>
      <c r="H538" t="s">
        <v>19</v>
      </c>
      <c r="I538" t="s">
        <v>20</v>
      </c>
      <c r="J538">
        <v>2799</v>
      </c>
      <c r="K538">
        <v>1</v>
      </c>
      <c r="L538">
        <v>2718.94</v>
      </c>
      <c r="M538">
        <v>135.94999999999999</v>
      </c>
      <c r="N538">
        <v>2718.94</v>
      </c>
      <c r="O538">
        <v>2582.9899999999998</v>
      </c>
      <c r="P538" t="s">
        <v>2111</v>
      </c>
      <c r="Q538" t="s">
        <v>789</v>
      </c>
    </row>
    <row r="539" spans="1:17" x14ac:dyDescent="0.3">
      <c r="A539" t="s">
        <v>386</v>
      </c>
      <c r="B539" t="s">
        <v>385</v>
      </c>
      <c r="C539" s="1">
        <v>46044</v>
      </c>
      <c r="D539" t="s">
        <v>26</v>
      </c>
      <c r="E539" t="s">
        <v>17</v>
      </c>
      <c r="F539" t="s">
        <v>22</v>
      </c>
      <c r="G539" t="s">
        <v>43</v>
      </c>
      <c r="H539" t="s">
        <v>44</v>
      </c>
      <c r="I539" t="s">
        <v>45</v>
      </c>
      <c r="J539">
        <v>3299</v>
      </c>
      <c r="K539">
        <v>2</v>
      </c>
      <c r="L539">
        <v>3307.37</v>
      </c>
      <c r="M539">
        <v>0</v>
      </c>
      <c r="N539">
        <v>6614.74</v>
      </c>
      <c r="O539">
        <v>6614.74</v>
      </c>
      <c r="P539" t="s">
        <v>2111</v>
      </c>
      <c r="Q539" t="s">
        <v>23</v>
      </c>
    </row>
    <row r="540" spans="1:17" x14ac:dyDescent="0.3">
      <c r="A540" t="s">
        <v>1347</v>
      </c>
      <c r="B540" t="s">
        <v>1346</v>
      </c>
      <c r="C540" s="1">
        <v>46132</v>
      </c>
      <c r="D540" t="s">
        <v>34</v>
      </c>
      <c r="E540" t="s">
        <v>17</v>
      </c>
      <c r="F540" t="s">
        <v>74</v>
      </c>
      <c r="G540" t="s">
        <v>51</v>
      </c>
      <c r="H540" t="s">
        <v>52</v>
      </c>
      <c r="I540" t="s">
        <v>20</v>
      </c>
      <c r="J540">
        <v>999</v>
      </c>
      <c r="K540">
        <v>2</v>
      </c>
      <c r="L540">
        <v>1034.1099999999999</v>
      </c>
      <c r="M540">
        <v>310.23</v>
      </c>
      <c r="N540">
        <v>2068.2199999999998</v>
      </c>
      <c r="O540">
        <v>1757.99</v>
      </c>
      <c r="P540" t="s">
        <v>2114</v>
      </c>
      <c r="Q540" t="s">
        <v>1170</v>
      </c>
    </row>
    <row r="541" spans="1:17" x14ac:dyDescent="0.3">
      <c r="A541" t="s">
        <v>2452</v>
      </c>
      <c r="B541" t="s">
        <v>2453</v>
      </c>
      <c r="C541" s="1">
        <v>46200</v>
      </c>
      <c r="D541" t="s">
        <v>34</v>
      </c>
      <c r="E541" t="s">
        <v>17</v>
      </c>
      <c r="F541" t="s">
        <v>74</v>
      </c>
      <c r="G541" t="s">
        <v>18</v>
      </c>
      <c r="H541" t="s">
        <v>19</v>
      </c>
      <c r="I541" t="s">
        <v>20</v>
      </c>
      <c r="J541">
        <v>2799</v>
      </c>
      <c r="K541">
        <v>4</v>
      </c>
      <c r="L541">
        <v>3056.65</v>
      </c>
      <c r="M541">
        <v>1833.99</v>
      </c>
      <c r="N541">
        <v>12226.6</v>
      </c>
      <c r="O541">
        <v>10392.61</v>
      </c>
      <c r="P541" t="s">
        <v>2111</v>
      </c>
      <c r="Q541" t="s">
        <v>1809</v>
      </c>
    </row>
    <row r="542" spans="1:17" x14ac:dyDescent="0.3">
      <c r="A542" t="s">
        <v>2454</v>
      </c>
      <c r="B542" t="s">
        <v>861</v>
      </c>
      <c r="C542" s="1">
        <v>46080</v>
      </c>
      <c r="D542" t="s">
        <v>63</v>
      </c>
      <c r="E542" t="s">
        <v>42</v>
      </c>
      <c r="F542" t="s">
        <v>74</v>
      </c>
      <c r="G542" t="s">
        <v>112</v>
      </c>
      <c r="H542" t="s">
        <v>113</v>
      </c>
      <c r="I542" t="s">
        <v>37</v>
      </c>
      <c r="J542">
        <v>1499</v>
      </c>
      <c r="K542">
        <v>1</v>
      </c>
      <c r="L542">
        <v>1425.15</v>
      </c>
      <c r="M542">
        <v>213.77</v>
      </c>
      <c r="N542">
        <v>1425.15</v>
      </c>
      <c r="O542">
        <v>1211.3800000000001</v>
      </c>
      <c r="P542" t="s">
        <v>2111</v>
      </c>
      <c r="Q542" t="s">
        <v>498</v>
      </c>
    </row>
    <row r="543" spans="1:17" x14ac:dyDescent="0.3">
      <c r="A543" t="s">
        <v>1367</v>
      </c>
      <c r="B543" t="s">
        <v>1343</v>
      </c>
      <c r="C543" s="1">
        <v>46133</v>
      </c>
      <c r="D543" t="s">
        <v>16</v>
      </c>
      <c r="E543" t="s">
        <v>50</v>
      </c>
      <c r="F543" t="s">
        <v>31</v>
      </c>
      <c r="G543" t="s">
        <v>86</v>
      </c>
      <c r="H543" t="s">
        <v>87</v>
      </c>
      <c r="I543" t="s">
        <v>82</v>
      </c>
      <c r="J543">
        <v>3499</v>
      </c>
      <c r="K543">
        <v>1</v>
      </c>
      <c r="L543">
        <v>3761.41</v>
      </c>
      <c r="M543">
        <v>188.07</v>
      </c>
      <c r="N543">
        <v>3761.41</v>
      </c>
      <c r="O543">
        <v>3573.34</v>
      </c>
      <c r="P543" t="s">
        <v>2111</v>
      </c>
      <c r="Q543" t="s">
        <v>1170</v>
      </c>
    </row>
    <row r="544" spans="1:17" x14ac:dyDescent="0.3">
      <c r="A544" t="s">
        <v>1075</v>
      </c>
      <c r="B544" t="s">
        <v>1074</v>
      </c>
      <c r="C544" s="1">
        <v>46103</v>
      </c>
      <c r="D544" t="s">
        <v>41</v>
      </c>
      <c r="E544" t="s">
        <v>17</v>
      </c>
      <c r="F544" t="s">
        <v>22</v>
      </c>
      <c r="G544" t="s">
        <v>106</v>
      </c>
      <c r="H544" t="s">
        <v>107</v>
      </c>
      <c r="I544" t="s">
        <v>108</v>
      </c>
      <c r="J544">
        <v>599</v>
      </c>
      <c r="K544">
        <v>2</v>
      </c>
      <c r="L544">
        <v>649.79999999999995</v>
      </c>
      <c r="M544">
        <v>64.98</v>
      </c>
      <c r="N544">
        <v>1299.5999999999999</v>
      </c>
      <c r="O544">
        <v>1234.6199999999999</v>
      </c>
      <c r="P544" t="s">
        <v>2111</v>
      </c>
      <c r="Q544" t="s">
        <v>789</v>
      </c>
    </row>
    <row r="545" spans="1:17" x14ac:dyDescent="0.3">
      <c r="A545" t="s">
        <v>528</v>
      </c>
      <c r="B545" t="s">
        <v>527</v>
      </c>
      <c r="C545" s="1">
        <v>46056</v>
      </c>
      <c r="D545" t="s">
        <v>34</v>
      </c>
      <c r="E545" t="s">
        <v>50</v>
      </c>
      <c r="F545" t="s">
        <v>31</v>
      </c>
      <c r="G545" t="s">
        <v>86</v>
      </c>
      <c r="H545" t="s">
        <v>87</v>
      </c>
      <c r="I545" t="s">
        <v>82</v>
      </c>
      <c r="J545">
        <v>3499</v>
      </c>
      <c r="K545">
        <v>1</v>
      </c>
      <c r="L545">
        <v>3618.26</v>
      </c>
      <c r="M545">
        <v>904.56</v>
      </c>
      <c r="N545">
        <v>3618.26</v>
      </c>
      <c r="O545">
        <v>2713.7</v>
      </c>
      <c r="P545" t="s">
        <v>2111</v>
      </c>
      <c r="Q545" t="s">
        <v>498</v>
      </c>
    </row>
    <row r="546" spans="1:17" x14ac:dyDescent="0.3">
      <c r="A546" t="s">
        <v>486</v>
      </c>
      <c r="B546" t="s">
        <v>485</v>
      </c>
      <c r="C546" s="1">
        <v>46053</v>
      </c>
      <c r="D546" t="s">
        <v>16</v>
      </c>
      <c r="E546" t="s">
        <v>17</v>
      </c>
      <c r="F546" t="s">
        <v>74</v>
      </c>
      <c r="G546" t="s">
        <v>27</v>
      </c>
      <c r="H546" t="s">
        <v>28</v>
      </c>
      <c r="I546" t="s">
        <v>29</v>
      </c>
      <c r="J546">
        <v>1599</v>
      </c>
      <c r="K546">
        <v>1</v>
      </c>
      <c r="L546">
        <v>1736.92</v>
      </c>
      <c r="M546">
        <v>347.38</v>
      </c>
      <c r="N546">
        <v>1736.92</v>
      </c>
      <c r="O546">
        <v>1389.54</v>
      </c>
      <c r="P546" t="s">
        <v>2111</v>
      </c>
      <c r="Q546" t="s">
        <v>23</v>
      </c>
    </row>
    <row r="547" spans="1:17" x14ac:dyDescent="0.3">
      <c r="A547" t="s">
        <v>1876</v>
      </c>
      <c r="B547" t="s">
        <v>1175</v>
      </c>
      <c r="C547" s="1">
        <v>46178</v>
      </c>
      <c r="D547" t="s">
        <v>16</v>
      </c>
      <c r="E547" t="s">
        <v>17</v>
      </c>
      <c r="F547" t="s">
        <v>47</v>
      </c>
      <c r="G547" t="s">
        <v>165</v>
      </c>
      <c r="H547" t="s">
        <v>166</v>
      </c>
      <c r="I547" t="s">
        <v>29</v>
      </c>
      <c r="J547">
        <v>449</v>
      </c>
      <c r="K547">
        <v>1</v>
      </c>
      <c r="L547">
        <v>439.83</v>
      </c>
      <c r="M547">
        <v>43.98</v>
      </c>
      <c r="N547">
        <v>439.83</v>
      </c>
      <c r="O547">
        <v>395.85</v>
      </c>
      <c r="P547" t="s">
        <v>2111</v>
      </c>
      <c r="Q547" t="s">
        <v>1809</v>
      </c>
    </row>
    <row r="548" spans="1:17" x14ac:dyDescent="0.3">
      <c r="A548" t="s">
        <v>964</v>
      </c>
      <c r="B548" t="s">
        <v>963</v>
      </c>
      <c r="C548" s="1">
        <v>46094</v>
      </c>
      <c r="D548" t="s">
        <v>34</v>
      </c>
      <c r="E548" t="s">
        <v>50</v>
      </c>
      <c r="F548" t="s">
        <v>47</v>
      </c>
      <c r="G548" t="s">
        <v>35</v>
      </c>
      <c r="H548" t="s">
        <v>36</v>
      </c>
      <c r="I548" t="s">
        <v>37</v>
      </c>
      <c r="J548">
        <v>799</v>
      </c>
      <c r="K548">
        <v>1</v>
      </c>
      <c r="L548">
        <v>871.39</v>
      </c>
      <c r="M548">
        <v>174.28</v>
      </c>
      <c r="N548">
        <v>871.39</v>
      </c>
      <c r="O548">
        <v>697.11</v>
      </c>
      <c r="P548" t="s">
        <v>2111</v>
      </c>
      <c r="Q548" t="s">
        <v>789</v>
      </c>
    </row>
    <row r="549" spans="1:17" x14ac:dyDescent="0.3">
      <c r="A549" t="s">
        <v>2455</v>
      </c>
      <c r="B549" t="s">
        <v>2456</v>
      </c>
      <c r="C549" s="1">
        <v>46055</v>
      </c>
      <c r="D549" t="s">
        <v>41</v>
      </c>
      <c r="E549" t="s">
        <v>17</v>
      </c>
      <c r="F549" t="s">
        <v>74</v>
      </c>
      <c r="G549" t="s">
        <v>86</v>
      </c>
      <c r="H549" t="s">
        <v>87</v>
      </c>
      <c r="I549" t="s">
        <v>82</v>
      </c>
      <c r="J549">
        <v>3499</v>
      </c>
      <c r="K549">
        <v>1</v>
      </c>
      <c r="L549">
        <v>3640.91</v>
      </c>
      <c r="M549">
        <v>364.09</v>
      </c>
      <c r="N549">
        <v>3640.91</v>
      </c>
      <c r="O549">
        <v>3276.82</v>
      </c>
      <c r="P549" t="s">
        <v>2111</v>
      </c>
      <c r="Q549" t="s">
        <v>498</v>
      </c>
    </row>
    <row r="550" spans="1:17" x14ac:dyDescent="0.3">
      <c r="A550" t="s">
        <v>1851</v>
      </c>
      <c r="B550" t="s">
        <v>1850</v>
      </c>
      <c r="C550" s="1">
        <v>46177</v>
      </c>
      <c r="D550" t="s">
        <v>26</v>
      </c>
      <c r="E550" t="s">
        <v>50</v>
      </c>
      <c r="F550" t="s">
        <v>22</v>
      </c>
      <c r="G550" t="s">
        <v>126</v>
      </c>
      <c r="H550" t="s">
        <v>127</v>
      </c>
      <c r="I550" t="s">
        <v>45</v>
      </c>
      <c r="J550">
        <v>2499</v>
      </c>
      <c r="K550">
        <v>2</v>
      </c>
      <c r="L550">
        <v>2270.09</v>
      </c>
      <c r="M550">
        <v>454.02</v>
      </c>
      <c r="N550">
        <v>4540.18</v>
      </c>
      <c r="O550">
        <v>4086.16</v>
      </c>
      <c r="P550" t="s">
        <v>2111</v>
      </c>
      <c r="Q550" t="s">
        <v>1809</v>
      </c>
    </row>
    <row r="551" spans="1:17" x14ac:dyDescent="0.3">
      <c r="A551" t="s">
        <v>2256</v>
      </c>
      <c r="B551" t="s">
        <v>2257</v>
      </c>
      <c r="C551" s="1">
        <v>46155</v>
      </c>
      <c r="D551" t="s">
        <v>63</v>
      </c>
      <c r="E551" t="s">
        <v>17</v>
      </c>
      <c r="F551" t="s">
        <v>74</v>
      </c>
      <c r="G551" t="s">
        <v>126</v>
      </c>
      <c r="H551" t="s">
        <v>127</v>
      </c>
      <c r="I551" t="s">
        <v>45</v>
      </c>
      <c r="J551">
        <v>2499</v>
      </c>
      <c r="K551">
        <v>2</v>
      </c>
      <c r="L551">
        <v>2702.36</v>
      </c>
      <c r="M551">
        <v>0</v>
      </c>
      <c r="N551">
        <v>5404.72</v>
      </c>
      <c r="O551">
        <v>5404.72</v>
      </c>
      <c r="P551" t="s">
        <v>2111</v>
      </c>
      <c r="Q551" t="s">
        <v>1479</v>
      </c>
    </row>
    <row r="552" spans="1:17" x14ac:dyDescent="0.3">
      <c r="A552" t="s">
        <v>2457</v>
      </c>
      <c r="B552" t="s">
        <v>500</v>
      </c>
      <c r="C552" s="1">
        <v>46171</v>
      </c>
      <c r="D552" t="s">
        <v>34</v>
      </c>
      <c r="E552" t="s">
        <v>17</v>
      </c>
      <c r="F552" t="s">
        <v>60</v>
      </c>
      <c r="G552" t="s">
        <v>35</v>
      </c>
      <c r="H552" t="s">
        <v>36</v>
      </c>
      <c r="I552" t="s">
        <v>37</v>
      </c>
      <c r="J552">
        <v>799</v>
      </c>
      <c r="K552">
        <v>1</v>
      </c>
      <c r="L552">
        <v>796.52</v>
      </c>
      <c r="M552">
        <v>79.650000000000006</v>
      </c>
      <c r="N552">
        <v>796.52</v>
      </c>
      <c r="O552">
        <v>716.87</v>
      </c>
      <c r="P552" t="s">
        <v>2111</v>
      </c>
      <c r="Q552" t="s">
        <v>1479</v>
      </c>
    </row>
    <row r="553" spans="1:17" x14ac:dyDescent="0.3">
      <c r="A553" t="s">
        <v>46</v>
      </c>
      <c r="B553" t="s">
        <v>40</v>
      </c>
      <c r="C553" s="1">
        <v>46023</v>
      </c>
      <c r="D553" t="s">
        <v>16</v>
      </c>
      <c r="E553" t="s">
        <v>17</v>
      </c>
      <c r="F553" t="s">
        <v>31</v>
      </c>
      <c r="G553" t="s">
        <v>56</v>
      </c>
      <c r="H553" t="s">
        <v>57</v>
      </c>
      <c r="I553" t="s">
        <v>58</v>
      </c>
      <c r="J553">
        <v>8999</v>
      </c>
      <c r="K553">
        <v>1</v>
      </c>
      <c r="L553">
        <v>8927.6</v>
      </c>
      <c r="M553">
        <v>892.76</v>
      </c>
      <c r="N553">
        <v>8927.6</v>
      </c>
      <c r="O553">
        <v>8034.84</v>
      </c>
      <c r="P553" t="s">
        <v>2111</v>
      </c>
      <c r="Q553" t="s">
        <v>23</v>
      </c>
    </row>
    <row r="554" spans="1:17" x14ac:dyDescent="0.3">
      <c r="A554" t="s">
        <v>788</v>
      </c>
      <c r="B554" t="s">
        <v>278</v>
      </c>
      <c r="C554" s="1">
        <v>46082</v>
      </c>
      <c r="D554" t="s">
        <v>63</v>
      </c>
      <c r="E554" t="s">
        <v>42</v>
      </c>
      <c r="F554" t="s">
        <v>31</v>
      </c>
      <c r="G554" t="s">
        <v>27</v>
      </c>
      <c r="H554" t="s">
        <v>28</v>
      </c>
      <c r="I554" t="s">
        <v>29</v>
      </c>
      <c r="J554">
        <v>1599</v>
      </c>
      <c r="K554">
        <v>1</v>
      </c>
      <c r="L554">
        <v>1620.26</v>
      </c>
      <c r="M554">
        <v>0</v>
      </c>
      <c r="N554">
        <v>1620.26</v>
      </c>
      <c r="O554">
        <v>1620.26</v>
      </c>
      <c r="P554" t="s">
        <v>2111</v>
      </c>
      <c r="Q554" t="s">
        <v>789</v>
      </c>
    </row>
    <row r="555" spans="1:17" x14ac:dyDescent="0.3">
      <c r="A555" t="s">
        <v>2458</v>
      </c>
      <c r="B555" t="s">
        <v>2459</v>
      </c>
      <c r="C555" s="1">
        <v>46057</v>
      </c>
      <c r="D555" t="s">
        <v>41</v>
      </c>
      <c r="E555" t="s">
        <v>42</v>
      </c>
      <c r="F555" t="s">
        <v>47</v>
      </c>
      <c r="G555" t="s">
        <v>112</v>
      </c>
      <c r="H555" t="s">
        <v>113</v>
      </c>
      <c r="I555" t="s">
        <v>37</v>
      </c>
      <c r="J555">
        <v>1499</v>
      </c>
      <c r="K555">
        <v>3</v>
      </c>
      <c r="L555">
        <v>1393.89</v>
      </c>
      <c r="M555">
        <v>418.17</v>
      </c>
      <c r="N555">
        <v>4181.67</v>
      </c>
      <c r="O555">
        <v>3763.5</v>
      </c>
      <c r="P555" t="s">
        <v>2111</v>
      </c>
      <c r="Q555" t="s">
        <v>498</v>
      </c>
    </row>
    <row r="556" spans="1:17" x14ac:dyDescent="0.3">
      <c r="A556" t="s">
        <v>1784</v>
      </c>
      <c r="B556" t="s">
        <v>219</v>
      </c>
      <c r="C556" s="1">
        <v>46170</v>
      </c>
      <c r="D556" t="s">
        <v>63</v>
      </c>
      <c r="E556" t="s">
        <v>17</v>
      </c>
      <c r="F556" t="s">
        <v>22</v>
      </c>
      <c r="G556" t="s">
        <v>56</v>
      </c>
      <c r="H556" t="s">
        <v>57</v>
      </c>
      <c r="I556" t="s">
        <v>58</v>
      </c>
      <c r="J556">
        <v>8999</v>
      </c>
      <c r="K556">
        <v>1</v>
      </c>
      <c r="L556">
        <v>8943.51</v>
      </c>
      <c r="M556">
        <v>1341.53</v>
      </c>
      <c r="N556">
        <v>8943.51</v>
      </c>
      <c r="O556">
        <v>7601.98</v>
      </c>
      <c r="P556" t="s">
        <v>2111</v>
      </c>
      <c r="Q556" t="s">
        <v>1479</v>
      </c>
    </row>
    <row r="557" spans="1:17" x14ac:dyDescent="0.3">
      <c r="A557" t="s">
        <v>2460</v>
      </c>
      <c r="B557" t="s">
        <v>2461</v>
      </c>
      <c r="C557" s="1">
        <v>46103</v>
      </c>
      <c r="D557" t="s">
        <v>16</v>
      </c>
      <c r="E557" t="s">
        <v>50</v>
      </c>
      <c r="F557" t="s">
        <v>47</v>
      </c>
      <c r="G557" t="s">
        <v>112</v>
      </c>
      <c r="H557" t="s">
        <v>113</v>
      </c>
      <c r="I557" t="s">
        <v>37</v>
      </c>
      <c r="J557">
        <v>1499</v>
      </c>
      <c r="K557">
        <v>2</v>
      </c>
      <c r="L557">
        <v>1598.27</v>
      </c>
      <c r="M557">
        <v>479.48</v>
      </c>
      <c r="N557">
        <v>3196.54</v>
      </c>
      <c r="O557">
        <v>2717.06</v>
      </c>
      <c r="P557" t="s">
        <v>2111</v>
      </c>
      <c r="Q557" t="s">
        <v>789</v>
      </c>
    </row>
    <row r="558" spans="1:17" x14ac:dyDescent="0.3">
      <c r="A558" t="s">
        <v>2170</v>
      </c>
      <c r="B558" t="s">
        <v>266</v>
      </c>
      <c r="C558" s="1">
        <v>46052</v>
      </c>
      <c r="D558" t="s">
        <v>26</v>
      </c>
      <c r="E558" t="s">
        <v>50</v>
      </c>
      <c r="F558" t="s">
        <v>47</v>
      </c>
      <c r="G558" t="s">
        <v>80</v>
      </c>
      <c r="H558" t="s">
        <v>81</v>
      </c>
      <c r="I558" t="s">
        <v>82</v>
      </c>
      <c r="J558">
        <v>4299</v>
      </c>
      <c r="K558">
        <v>1</v>
      </c>
      <c r="L558">
        <v>3882.41</v>
      </c>
      <c r="M558">
        <v>582.36</v>
      </c>
      <c r="N558">
        <v>3882.41</v>
      </c>
      <c r="O558">
        <v>3300.05</v>
      </c>
      <c r="P558" t="s">
        <v>2111</v>
      </c>
      <c r="Q558" t="s">
        <v>23</v>
      </c>
    </row>
    <row r="559" spans="1:17" x14ac:dyDescent="0.3">
      <c r="A559" t="s">
        <v>428</v>
      </c>
      <c r="B559" t="s">
        <v>427</v>
      </c>
      <c r="C559" s="1">
        <v>46047</v>
      </c>
      <c r="D559" t="s">
        <v>41</v>
      </c>
      <c r="E559" t="s">
        <v>50</v>
      </c>
      <c r="F559" t="s">
        <v>31</v>
      </c>
      <c r="G559" t="s">
        <v>355</v>
      </c>
      <c r="H559" t="s">
        <v>356</v>
      </c>
      <c r="I559" t="s">
        <v>82</v>
      </c>
      <c r="J559">
        <v>499</v>
      </c>
      <c r="K559">
        <v>2</v>
      </c>
      <c r="L559">
        <v>476.34</v>
      </c>
      <c r="M559">
        <v>190.54</v>
      </c>
      <c r="N559">
        <v>952.68</v>
      </c>
      <c r="O559">
        <v>762.14</v>
      </c>
      <c r="P559" t="s">
        <v>2111</v>
      </c>
      <c r="Q559" t="s">
        <v>23</v>
      </c>
    </row>
    <row r="560" spans="1:17" x14ac:dyDescent="0.3">
      <c r="A560" t="s">
        <v>2029</v>
      </c>
      <c r="B560" t="s">
        <v>2028</v>
      </c>
      <c r="C560" s="1">
        <v>46196</v>
      </c>
      <c r="D560" t="s">
        <v>34</v>
      </c>
      <c r="E560" t="s">
        <v>50</v>
      </c>
      <c r="F560" t="s">
        <v>74</v>
      </c>
      <c r="G560" t="s">
        <v>35</v>
      </c>
      <c r="H560" t="s">
        <v>36</v>
      </c>
      <c r="I560" t="s">
        <v>37</v>
      </c>
      <c r="J560">
        <v>799</v>
      </c>
      <c r="K560">
        <v>1</v>
      </c>
      <c r="L560">
        <v>719.49</v>
      </c>
      <c r="M560">
        <v>0</v>
      </c>
      <c r="N560">
        <v>719.49</v>
      </c>
      <c r="O560">
        <v>719.49</v>
      </c>
      <c r="P560" t="s">
        <v>2111</v>
      </c>
      <c r="Q560" t="s">
        <v>1809</v>
      </c>
    </row>
    <row r="561" spans="1:17" x14ac:dyDescent="0.3">
      <c r="A561" t="s">
        <v>1823</v>
      </c>
      <c r="B561" t="s">
        <v>1822</v>
      </c>
      <c r="C561" s="1">
        <v>46174</v>
      </c>
      <c r="D561" t="s">
        <v>26</v>
      </c>
      <c r="E561" t="s">
        <v>42</v>
      </c>
      <c r="F561" t="s">
        <v>31</v>
      </c>
      <c r="G561" t="s">
        <v>27</v>
      </c>
      <c r="H561" t="s">
        <v>28</v>
      </c>
      <c r="I561" t="s">
        <v>29</v>
      </c>
      <c r="J561">
        <v>1599</v>
      </c>
      <c r="K561">
        <v>2</v>
      </c>
      <c r="L561">
        <v>1572.04</v>
      </c>
      <c r="M561">
        <v>314.41000000000003</v>
      </c>
      <c r="N561">
        <v>3144.08</v>
      </c>
      <c r="O561">
        <v>2829.67</v>
      </c>
      <c r="P561" t="s">
        <v>2111</v>
      </c>
      <c r="Q561" t="s">
        <v>1809</v>
      </c>
    </row>
    <row r="562" spans="1:17" x14ac:dyDescent="0.3">
      <c r="A562" t="s">
        <v>2301</v>
      </c>
      <c r="B562" t="s">
        <v>2302</v>
      </c>
      <c r="C562" s="1">
        <v>46114</v>
      </c>
      <c r="D562" t="s">
        <v>34</v>
      </c>
      <c r="E562" t="s">
        <v>50</v>
      </c>
      <c r="F562" t="s">
        <v>74</v>
      </c>
      <c r="G562" t="s">
        <v>101</v>
      </c>
      <c r="H562" t="s">
        <v>102</v>
      </c>
      <c r="I562" t="s">
        <v>45</v>
      </c>
      <c r="J562">
        <v>4999</v>
      </c>
      <c r="K562">
        <v>1</v>
      </c>
      <c r="L562">
        <v>5227.2700000000004</v>
      </c>
      <c r="M562">
        <v>784.09</v>
      </c>
      <c r="N562">
        <v>5227.2700000000004</v>
      </c>
      <c r="O562">
        <v>4443.18</v>
      </c>
      <c r="P562" t="s">
        <v>2111</v>
      </c>
      <c r="Q562" t="s">
        <v>1170</v>
      </c>
    </row>
    <row r="563" spans="1:17" x14ac:dyDescent="0.3">
      <c r="A563" t="s">
        <v>2455</v>
      </c>
      <c r="B563" t="s">
        <v>2456</v>
      </c>
      <c r="C563" s="1">
        <v>46055</v>
      </c>
      <c r="D563" t="s">
        <v>41</v>
      </c>
      <c r="E563" t="s">
        <v>17</v>
      </c>
      <c r="F563" t="s">
        <v>74</v>
      </c>
      <c r="G563" t="s">
        <v>191</v>
      </c>
      <c r="H563" t="s">
        <v>192</v>
      </c>
      <c r="I563" t="s">
        <v>45</v>
      </c>
      <c r="J563">
        <v>699</v>
      </c>
      <c r="K563">
        <v>2</v>
      </c>
      <c r="L563">
        <v>740.77</v>
      </c>
      <c r="M563">
        <v>148.15</v>
      </c>
      <c r="N563">
        <v>1481.54</v>
      </c>
      <c r="O563">
        <v>1333.39</v>
      </c>
      <c r="P563" t="s">
        <v>2111</v>
      </c>
      <c r="Q563" t="s">
        <v>498</v>
      </c>
    </row>
    <row r="564" spans="1:17" x14ac:dyDescent="0.3">
      <c r="A564" t="s">
        <v>2044</v>
      </c>
      <c r="B564" t="s">
        <v>849</v>
      </c>
      <c r="C564" s="1">
        <v>46199</v>
      </c>
      <c r="D564" t="s">
        <v>16</v>
      </c>
      <c r="E564" t="s">
        <v>50</v>
      </c>
      <c r="F564" t="s">
        <v>47</v>
      </c>
      <c r="G564" t="s">
        <v>250</v>
      </c>
      <c r="H564" t="s">
        <v>251</v>
      </c>
      <c r="I564" t="s">
        <v>108</v>
      </c>
      <c r="J564">
        <v>899</v>
      </c>
      <c r="K564">
        <v>1</v>
      </c>
      <c r="L564">
        <v>979.05</v>
      </c>
      <c r="M564">
        <v>48.95</v>
      </c>
      <c r="N564">
        <v>979.05</v>
      </c>
      <c r="O564">
        <v>930.1</v>
      </c>
      <c r="P564" t="s">
        <v>2111</v>
      </c>
      <c r="Q564" t="s">
        <v>1809</v>
      </c>
    </row>
    <row r="565" spans="1:17" x14ac:dyDescent="0.3">
      <c r="A565" t="s">
        <v>2462</v>
      </c>
      <c r="B565" t="s">
        <v>1559</v>
      </c>
      <c r="C565" s="1">
        <v>46151</v>
      </c>
      <c r="D565" t="s">
        <v>41</v>
      </c>
      <c r="E565" t="s">
        <v>50</v>
      </c>
      <c r="F565" t="s">
        <v>22</v>
      </c>
      <c r="G565" t="s">
        <v>101</v>
      </c>
      <c r="H565" t="s">
        <v>102</v>
      </c>
      <c r="I565" t="s">
        <v>45</v>
      </c>
      <c r="J565">
        <v>4999</v>
      </c>
      <c r="K565">
        <v>2</v>
      </c>
      <c r="L565">
        <v>5107.4799999999996</v>
      </c>
      <c r="M565">
        <v>0</v>
      </c>
      <c r="N565">
        <v>10214.959999999999</v>
      </c>
      <c r="O565">
        <v>10214.959999999999</v>
      </c>
      <c r="P565" t="s">
        <v>2111</v>
      </c>
      <c r="Q565" t="s">
        <v>1479</v>
      </c>
    </row>
    <row r="566" spans="1:17" x14ac:dyDescent="0.3">
      <c r="A566" t="s">
        <v>2066</v>
      </c>
      <c r="B566" t="s">
        <v>371</v>
      </c>
      <c r="C566" s="1">
        <v>46200</v>
      </c>
      <c r="D566" t="s">
        <v>26</v>
      </c>
      <c r="E566" t="s">
        <v>17</v>
      </c>
      <c r="F566" t="s">
        <v>60</v>
      </c>
      <c r="G566" t="s">
        <v>96</v>
      </c>
      <c r="H566" t="s">
        <v>97</v>
      </c>
      <c r="I566" t="s">
        <v>58</v>
      </c>
      <c r="J566">
        <v>7499</v>
      </c>
      <c r="K566">
        <v>3</v>
      </c>
      <c r="L566">
        <v>7130.99</v>
      </c>
      <c r="M566">
        <v>4278.59</v>
      </c>
      <c r="N566">
        <v>21392.97</v>
      </c>
      <c r="O566">
        <v>17114.38</v>
      </c>
      <c r="P566" t="s">
        <v>2111</v>
      </c>
      <c r="Q566" t="s">
        <v>1809</v>
      </c>
    </row>
    <row r="567" spans="1:17" x14ac:dyDescent="0.3">
      <c r="A567" t="s">
        <v>2463</v>
      </c>
      <c r="B567" t="s">
        <v>2464</v>
      </c>
      <c r="C567" s="1">
        <v>46057</v>
      </c>
      <c r="D567" t="s">
        <v>16</v>
      </c>
      <c r="E567" t="s">
        <v>50</v>
      </c>
      <c r="F567" t="s">
        <v>47</v>
      </c>
      <c r="G567" t="s">
        <v>101</v>
      </c>
      <c r="H567" t="s">
        <v>102</v>
      </c>
      <c r="I567" t="s">
        <v>45</v>
      </c>
      <c r="J567">
        <v>4999</v>
      </c>
      <c r="K567">
        <v>1</v>
      </c>
      <c r="L567">
        <v>5423.06</v>
      </c>
      <c r="M567">
        <v>542.30999999999995</v>
      </c>
      <c r="N567">
        <v>5423.06</v>
      </c>
      <c r="O567">
        <v>4880.75</v>
      </c>
      <c r="P567" t="s">
        <v>2111</v>
      </c>
      <c r="Q567" t="s">
        <v>498</v>
      </c>
    </row>
    <row r="568" spans="1:17" x14ac:dyDescent="0.3">
      <c r="A568" t="s">
        <v>1015</v>
      </c>
      <c r="B568" t="s">
        <v>1014</v>
      </c>
      <c r="C568" s="1">
        <v>46098</v>
      </c>
      <c r="D568" t="s">
        <v>34</v>
      </c>
      <c r="E568" t="s">
        <v>50</v>
      </c>
      <c r="F568" t="s">
        <v>22</v>
      </c>
      <c r="G568" t="s">
        <v>101</v>
      </c>
      <c r="H568" t="s">
        <v>102</v>
      </c>
      <c r="I568" t="s">
        <v>45</v>
      </c>
      <c r="J568">
        <v>4999</v>
      </c>
      <c r="K568">
        <v>2</v>
      </c>
      <c r="L568">
        <v>5274.26</v>
      </c>
      <c r="M568">
        <v>2109.6999999999998</v>
      </c>
      <c r="N568">
        <v>10548.52</v>
      </c>
      <c r="O568">
        <v>8438.82</v>
      </c>
      <c r="P568" t="s">
        <v>2111</v>
      </c>
      <c r="Q568" t="s">
        <v>789</v>
      </c>
    </row>
    <row r="569" spans="1:17" x14ac:dyDescent="0.3">
      <c r="A569" t="s">
        <v>300</v>
      </c>
      <c r="B569" t="s">
        <v>299</v>
      </c>
      <c r="C569" s="1">
        <v>46037</v>
      </c>
      <c r="D569" t="s">
        <v>63</v>
      </c>
      <c r="E569" t="s">
        <v>50</v>
      </c>
      <c r="F569" t="s">
        <v>47</v>
      </c>
      <c r="G569" t="s">
        <v>51</v>
      </c>
      <c r="H569" t="s">
        <v>52</v>
      </c>
      <c r="I569" t="s">
        <v>20</v>
      </c>
      <c r="J569">
        <v>999</v>
      </c>
      <c r="K569">
        <v>1</v>
      </c>
      <c r="L569">
        <v>1013.87</v>
      </c>
      <c r="M569">
        <v>101.39</v>
      </c>
      <c r="N569">
        <v>1013.87</v>
      </c>
      <c r="O569">
        <v>912.48</v>
      </c>
      <c r="P569" t="s">
        <v>2111</v>
      </c>
      <c r="Q569" t="s">
        <v>23</v>
      </c>
    </row>
    <row r="570" spans="1:17" x14ac:dyDescent="0.3">
      <c r="A570" t="s">
        <v>1475</v>
      </c>
      <c r="B570" t="s">
        <v>1474</v>
      </c>
      <c r="C570" s="1">
        <v>46142</v>
      </c>
      <c r="D570" t="s">
        <v>26</v>
      </c>
      <c r="E570" t="s">
        <v>17</v>
      </c>
      <c r="F570" t="s">
        <v>22</v>
      </c>
      <c r="G570" t="s">
        <v>106</v>
      </c>
      <c r="H570" t="s">
        <v>107</v>
      </c>
      <c r="I570" t="s">
        <v>108</v>
      </c>
      <c r="J570">
        <v>599</v>
      </c>
      <c r="K570">
        <v>1</v>
      </c>
      <c r="L570">
        <v>622.44000000000005</v>
      </c>
      <c r="M570">
        <v>93.37</v>
      </c>
      <c r="N570">
        <v>622.44000000000005</v>
      </c>
      <c r="O570">
        <v>529.07000000000005</v>
      </c>
      <c r="P570" t="s">
        <v>2111</v>
      </c>
      <c r="Q570" t="s">
        <v>1170</v>
      </c>
    </row>
    <row r="571" spans="1:17" x14ac:dyDescent="0.3">
      <c r="A571" t="s">
        <v>252</v>
      </c>
      <c r="B571" t="s">
        <v>249</v>
      </c>
      <c r="C571" s="1">
        <v>46034</v>
      </c>
      <c r="D571" t="s">
        <v>41</v>
      </c>
      <c r="E571" t="s">
        <v>17</v>
      </c>
      <c r="F571" t="s">
        <v>22</v>
      </c>
      <c r="G571" t="s">
        <v>35</v>
      </c>
      <c r="H571" t="s">
        <v>36</v>
      </c>
      <c r="I571" t="s">
        <v>37</v>
      </c>
      <c r="J571">
        <v>799</v>
      </c>
      <c r="K571">
        <v>1</v>
      </c>
      <c r="L571">
        <v>866.81</v>
      </c>
      <c r="M571">
        <v>130.02000000000001</v>
      </c>
      <c r="N571">
        <v>866.81</v>
      </c>
      <c r="O571">
        <v>736.79</v>
      </c>
      <c r="P571" t="s">
        <v>2111</v>
      </c>
      <c r="Q571" t="s">
        <v>23</v>
      </c>
    </row>
    <row r="572" spans="1:17" x14ac:dyDescent="0.3">
      <c r="A572" t="s">
        <v>2465</v>
      </c>
      <c r="B572" t="s">
        <v>2189</v>
      </c>
      <c r="C572" s="1">
        <v>46076</v>
      </c>
      <c r="D572" t="s">
        <v>63</v>
      </c>
      <c r="E572" t="s">
        <v>42</v>
      </c>
      <c r="F572" t="s">
        <v>22</v>
      </c>
      <c r="G572" t="s">
        <v>101</v>
      </c>
      <c r="H572" t="s">
        <v>102</v>
      </c>
      <c r="I572" t="s">
        <v>45</v>
      </c>
      <c r="J572">
        <v>4999</v>
      </c>
      <c r="K572">
        <v>1</v>
      </c>
      <c r="L572">
        <v>5211.3500000000004</v>
      </c>
      <c r="M572">
        <v>781.7</v>
      </c>
      <c r="N572">
        <v>5211.3500000000004</v>
      </c>
      <c r="O572">
        <v>4429.6499999999996</v>
      </c>
      <c r="P572" t="s">
        <v>2114</v>
      </c>
      <c r="Q572" t="s">
        <v>498</v>
      </c>
    </row>
    <row r="573" spans="1:17" x14ac:dyDescent="0.3">
      <c r="A573" t="s">
        <v>2466</v>
      </c>
      <c r="B573" t="s">
        <v>2118</v>
      </c>
      <c r="C573" s="1">
        <v>46130</v>
      </c>
      <c r="D573" t="s">
        <v>34</v>
      </c>
      <c r="E573" t="s">
        <v>50</v>
      </c>
      <c r="F573" t="s">
        <v>22</v>
      </c>
      <c r="G573" t="s">
        <v>165</v>
      </c>
      <c r="H573" t="s">
        <v>166</v>
      </c>
      <c r="I573" t="s">
        <v>29</v>
      </c>
      <c r="J573">
        <v>449</v>
      </c>
      <c r="K573">
        <v>2</v>
      </c>
      <c r="L573">
        <v>437.18</v>
      </c>
      <c r="M573">
        <v>87.44</v>
      </c>
      <c r="N573">
        <v>874.36</v>
      </c>
      <c r="O573">
        <v>786.92</v>
      </c>
      <c r="P573" t="s">
        <v>2111</v>
      </c>
      <c r="Q573" t="s">
        <v>1170</v>
      </c>
    </row>
    <row r="574" spans="1:17" x14ac:dyDescent="0.3">
      <c r="A574" t="s">
        <v>2467</v>
      </c>
      <c r="B574" t="s">
        <v>2322</v>
      </c>
      <c r="C574" s="1">
        <v>46069</v>
      </c>
      <c r="D574" t="s">
        <v>63</v>
      </c>
      <c r="E574" t="s">
        <v>50</v>
      </c>
      <c r="F574" t="s">
        <v>47</v>
      </c>
      <c r="G574" t="s">
        <v>126</v>
      </c>
      <c r="H574" t="s">
        <v>127</v>
      </c>
      <c r="I574" t="s">
        <v>45</v>
      </c>
      <c r="J574">
        <v>2499</v>
      </c>
      <c r="K574">
        <v>2</v>
      </c>
      <c r="L574">
        <v>2605.4699999999998</v>
      </c>
      <c r="M574">
        <v>521.09</v>
      </c>
      <c r="N574">
        <v>5210.9399999999996</v>
      </c>
      <c r="O574">
        <v>4689.8500000000004</v>
      </c>
      <c r="P574" t="s">
        <v>2111</v>
      </c>
      <c r="Q574" t="s">
        <v>498</v>
      </c>
    </row>
    <row r="575" spans="1:17" x14ac:dyDescent="0.3">
      <c r="A575" t="s">
        <v>1190</v>
      </c>
      <c r="B575" t="s">
        <v>1189</v>
      </c>
      <c r="C575" s="1">
        <v>46115</v>
      </c>
      <c r="D575" t="s">
        <v>26</v>
      </c>
      <c r="E575" t="s">
        <v>17</v>
      </c>
      <c r="F575" t="s">
        <v>31</v>
      </c>
      <c r="G575" t="s">
        <v>27</v>
      </c>
      <c r="H575" t="s">
        <v>28</v>
      </c>
      <c r="I575" t="s">
        <v>29</v>
      </c>
      <c r="J575">
        <v>1599</v>
      </c>
      <c r="K575">
        <v>1</v>
      </c>
      <c r="L575">
        <v>1451.98</v>
      </c>
      <c r="M575">
        <v>217.8</v>
      </c>
      <c r="N575">
        <v>1451.98</v>
      </c>
      <c r="O575">
        <v>1234.18</v>
      </c>
      <c r="P575" t="s">
        <v>2111</v>
      </c>
      <c r="Q575" t="s">
        <v>1170</v>
      </c>
    </row>
    <row r="576" spans="1:17" x14ac:dyDescent="0.3">
      <c r="A576" t="s">
        <v>1383</v>
      </c>
      <c r="B576" t="s">
        <v>1382</v>
      </c>
      <c r="C576" s="1">
        <v>46134</v>
      </c>
      <c r="D576" t="s">
        <v>16</v>
      </c>
      <c r="E576" t="s">
        <v>50</v>
      </c>
      <c r="F576" t="s">
        <v>22</v>
      </c>
      <c r="G576" t="s">
        <v>35</v>
      </c>
      <c r="H576" t="s">
        <v>36</v>
      </c>
      <c r="I576" t="s">
        <v>37</v>
      </c>
      <c r="J576">
        <v>799</v>
      </c>
      <c r="K576">
        <v>1</v>
      </c>
      <c r="L576">
        <v>780.85</v>
      </c>
      <c r="M576">
        <v>39.04</v>
      </c>
      <c r="N576">
        <v>780.85</v>
      </c>
      <c r="O576">
        <v>741.81</v>
      </c>
      <c r="P576" t="s">
        <v>2111</v>
      </c>
      <c r="Q576" t="s">
        <v>1170</v>
      </c>
    </row>
    <row r="577" spans="1:17" x14ac:dyDescent="0.3">
      <c r="A577" t="s">
        <v>2399</v>
      </c>
      <c r="B577" t="s">
        <v>1207</v>
      </c>
      <c r="C577" s="1">
        <v>46194</v>
      </c>
      <c r="D577" t="s">
        <v>41</v>
      </c>
      <c r="E577" t="s">
        <v>17</v>
      </c>
      <c r="F577" t="s">
        <v>31</v>
      </c>
      <c r="G577" t="s">
        <v>18</v>
      </c>
      <c r="H577" t="s">
        <v>19</v>
      </c>
      <c r="I577" t="s">
        <v>20</v>
      </c>
      <c r="J577">
        <v>2799</v>
      </c>
      <c r="K577">
        <v>2</v>
      </c>
      <c r="L577">
        <v>2746.56</v>
      </c>
      <c r="M577">
        <v>549.30999999999995</v>
      </c>
      <c r="N577">
        <v>5493.12</v>
      </c>
      <c r="O577">
        <v>4943.8100000000004</v>
      </c>
      <c r="P577" t="s">
        <v>2111</v>
      </c>
      <c r="Q577" t="s">
        <v>1809</v>
      </c>
    </row>
    <row r="578" spans="1:17" x14ac:dyDescent="0.3">
      <c r="A578" t="s">
        <v>2468</v>
      </c>
      <c r="B578" t="s">
        <v>2353</v>
      </c>
      <c r="C578" s="1">
        <v>46186</v>
      </c>
      <c r="D578" t="s">
        <v>26</v>
      </c>
      <c r="E578" t="s">
        <v>50</v>
      </c>
      <c r="F578" t="s">
        <v>22</v>
      </c>
      <c r="G578" t="s">
        <v>355</v>
      </c>
      <c r="H578" t="s">
        <v>356</v>
      </c>
      <c r="I578" t="s">
        <v>82</v>
      </c>
      <c r="J578">
        <v>499</v>
      </c>
      <c r="K578">
        <v>3</v>
      </c>
      <c r="L578">
        <v>465.75</v>
      </c>
      <c r="M578">
        <v>0</v>
      </c>
      <c r="N578">
        <v>1397.25</v>
      </c>
      <c r="O578">
        <v>1397.25</v>
      </c>
      <c r="P578" t="s">
        <v>2111</v>
      </c>
      <c r="Q578" t="s">
        <v>1809</v>
      </c>
    </row>
    <row r="579" spans="1:17" x14ac:dyDescent="0.3">
      <c r="A579" t="s">
        <v>2086</v>
      </c>
      <c r="B579" t="s">
        <v>2085</v>
      </c>
      <c r="C579" s="1">
        <v>46202</v>
      </c>
      <c r="D579" t="s">
        <v>34</v>
      </c>
      <c r="E579" t="s">
        <v>17</v>
      </c>
      <c r="F579" t="s">
        <v>47</v>
      </c>
      <c r="G579" t="s">
        <v>355</v>
      </c>
      <c r="H579" t="s">
        <v>356</v>
      </c>
      <c r="I579" t="s">
        <v>82</v>
      </c>
      <c r="J579">
        <v>499</v>
      </c>
      <c r="K579">
        <v>1</v>
      </c>
      <c r="L579">
        <v>451.4</v>
      </c>
      <c r="M579">
        <v>90.28</v>
      </c>
      <c r="N579">
        <v>451.4</v>
      </c>
      <c r="O579">
        <v>361.12</v>
      </c>
      <c r="P579" t="s">
        <v>2111</v>
      </c>
      <c r="Q579" t="s">
        <v>1809</v>
      </c>
    </row>
    <row r="580" spans="1:17" x14ac:dyDescent="0.3">
      <c r="A580" t="s">
        <v>1995</v>
      </c>
      <c r="B580" t="s">
        <v>1236</v>
      </c>
      <c r="C580" s="1">
        <v>46193</v>
      </c>
      <c r="D580" t="s">
        <v>34</v>
      </c>
      <c r="E580" t="s">
        <v>17</v>
      </c>
      <c r="F580" t="s">
        <v>74</v>
      </c>
      <c r="G580" t="s">
        <v>43</v>
      </c>
      <c r="H580" t="s">
        <v>44</v>
      </c>
      <c r="I580" t="s">
        <v>45</v>
      </c>
      <c r="J580">
        <v>3299</v>
      </c>
      <c r="K580">
        <v>3</v>
      </c>
      <c r="L580">
        <v>3057.1</v>
      </c>
      <c r="M580">
        <v>0</v>
      </c>
      <c r="N580">
        <v>9171.2999999999993</v>
      </c>
      <c r="O580">
        <v>9171.2999999999993</v>
      </c>
      <c r="P580" t="s">
        <v>2111</v>
      </c>
      <c r="Q580" t="s">
        <v>1809</v>
      </c>
    </row>
    <row r="581" spans="1:17" x14ac:dyDescent="0.3">
      <c r="A581" t="s">
        <v>2469</v>
      </c>
      <c r="B581" t="s">
        <v>2470</v>
      </c>
      <c r="C581" s="1">
        <v>46068</v>
      </c>
      <c r="D581" t="s">
        <v>16</v>
      </c>
      <c r="E581" t="s">
        <v>50</v>
      </c>
      <c r="F581" t="s">
        <v>22</v>
      </c>
      <c r="G581" t="s">
        <v>149</v>
      </c>
      <c r="H581" t="s">
        <v>150</v>
      </c>
      <c r="I581" t="s">
        <v>37</v>
      </c>
      <c r="J581">
        <v>2999</v>
      </c>
      <c r="K581">
        <v>1</v>
      </c>
      <c r="L581">
        <v>3091.74</v>
      </c>
      <c r="M581">
        <v>463.76</v>
      </c>
      <c r="N581">
        <v>3091.74</v>
      </c>
      <c r="O581">
        <v>2627.98</v>
      </c>
      <c r="P581" t="s">
        <v>2111</v>
      </c>
      <c r="Q581" t="s">
        <v>498</v>
      </c>
    </row>
    <row r="582" spans="1:17" x14ac:dyDescent="0.3">
      <c r="A582" t="s">
        <v>1587</v>
      </c>
      <c r="B582" t="s">
        <v>1586</v>
      </c>
      <c r="C582" s="1">
        <v>46152</v>
      </c>
      <c r="D582" t="s">
        <v>26</v>
      </c>
      <c r="E582" t="s">
        <v>17</v>
      </c>
      <c r="F582" t="s">
        <v>31</v>
      </c>
      <c r="G582" t="s">
        <v>80</v>
      </c>
      <c r="H582" t="s">
        <v>81</v>
      </c>
      <c r="I582" t="s">
        <v>82</v>
      </c>
      <c r="J582">
        <v>4299</v>
      </c>
      <c r="K582">
        <v>1</v>
      </c>
      <c r="L582">
        <v>4558.91</v>
      </c>
      <c r="M582">
        <v>455.89</v>
      </c>
      <c r="N582">
        <v>4558.91</v>
      </c>
      <c r="O582">
        <v>4103.0200000000004</v>
      </c>
      <c r="P582" t="s">
        <v>2111</v>
      </c>
      <c r="Q582" t="s">
        <v>1479</v>
      </c>
    </row>
    <row r="583" spans="1:17" x14ac:dyDescent="0.3">
      <c r="A583" t="s">
        <v>2471</v>
      </c>
      <c r="B583" t="s">
        <v>278</v>
      </c>
      <c r="C583" s="1">
        <v>46038</v>
      </c>
      <c r="D583" t="s">
        <v>16</v>
      </c>
      <c r="E583" t="s">
        <v>50</v>
      </c>
      <c r="F583" t="s">
        <v>60</v>
      </c>
      <c r="G583" t="s">
        <v>126</v>
      </c>
      <c r="H583" t="s">
        <v>127</v>
      </c>
      <c r="I583" t="s">
        <v>45</v>
      </c>
      <c r="J583">
        <v>2499</v>
      </c>
      <c r="K583">
        <v>2</v>
      </c>
      <c r="L583">
        <v>2743</v>
      </c>
      <c r="M583">
        <v>548.6</v>
      </c>
      <c r="N583">
        <v>5486</v>
      </c>
      <c r="O583">
        <v>4937.3999999999996</v>
      </c>
      <c r="P583" t="s">
        <v>2111</v>
      </c>
      <c r="Q583" t="s">
        <v>23</v>
      </c>
    </row>
    <row r="584" spans="1:17" x14ac:dyDescent="0.3">
      <c r="A584" t="s">
        <v>2472</v>
      </c>
      <c r="B584" t="s">
        <v>1065</v>
      </c>
      <c r="C584" s="1">
        <v>46089</v>
      </c>
      <c r="D584" t="s">
        <v>26</v>
      </c>
      <c r="E584" t="s">
        <v>50</v>
      </c>
      <c r="F584" t="s">
        <v>22</v>
      </c>
      <c r="G584" t="s">
        <v>18</v>
      </c>
      <c r="H584" t="s">
        <v>19</v>
      </c>
      <c r="I584" t="s">
        <v>20</v>
      </c>
      <c r="J584">
        <v>2799</v>
      </c>
      <c r="K584">
        <v>1</v>
      </c>
      <c r="L584">
        <v>2712.99</v>
      </c>
      <c r="M584">
        <v>406.95</v>
      </c>
      <c r="N584">
        <v>2712.99</v>
      </c>
      <c r="O584">
        <v>2306.04</v>
      </c>
      <c r="P584" t="s">
        <v>2111</v>
      </c>
      <c r="Q584" t="s">
        <v>789</v>
      </c>
    </row>
    <row r="585" spans="1:17" x14ac:dyDescent="0.3">
      <c r="A585" t="s">
        <v>2473</v>
      </c>
      <c r="B585" t="s">
        <v>2474</v>
      </c>
      <c r="C585" s="1">
        <v>46159</v>
      </c>
      <c r="D585" t="s">
        <v>26</v>
      </c>
      <c r="E585" t="s">
        <v>17</v>
      </c>
      <c r="F585" t="s">
        <v>22</v>
      </c>
      <c r="G585" t="s">
        <v>51</v>
      </c>
      <c r="H585" t="s">
        <v>52</v>
      </c>
      <c r="I585" t="s">
        <v>20</v>
      </c>
      <c r="J585">
        <v>999</v>
      </c>
      <c r="K585">
        <v>1</v>
      </c>
      <c r="L585">
        <v>1018.86</v>
      </c>
      <c r="M585">
        <v>0</v>
      </c>
      <c r="N585">
        <v>1018.86</v>
      </c>
      <c r="O585">
        <v>1018.86</v>
      </c>
      <c r="P585" t="s">
        <v>2111</v>
      </c>
      <c r="Q585" t="s">
        <v>1479</v>
      </c>
    </row>
    <row r="586" spans="1:17" x14ac:dyDescent="0.3">
      <c r="A586" t="s">
        <v>2475</v>
      </c>
      <c r="B586" t="s">
        <v>2476</v>
      </c>
      <c r="C586" s="1">
        <v>46105</v>
      </c>
      <c r="D586" t="s">
        <v>34</v>
      </c>
      <c r="E586" t="s">
        <v>17</v>
      </c>
      <c r="F586" t="s">
        <v>31</v>
      </c>
      <c r="G586" t="s">
        <v>112</v>
      </c>
      <c r="H586" t="s">
        <v>113</v>
      </c>
      <c r="I586" t="s">
        <v>37</v>
      </c>
      <c r="J586">
        <v>1499</v>
      </c>
      <c r="K586">
        <v>1</v>
      </c>
      <c r="L586">
        <v>1630.06</v>
      </c>
      <c r="M586">
        <v>163.01</v>
      </c>
      <c r="N586">
        <v>1630.06</v>
      </c>
      <c r="O586">
        <v>1467.05</v>
      </c>
      <c r="P586" t="s">
        <v>2111</v>
      </c>
      <c r="Q586" t="s">
        <v>789</v>
      </c>
    </row>
    <row r="587" spans="1:17" x14ac:dyDescent="0.3">
      <c r="A587" t="s">
        <v>2477</v>
      </c>
      <c r="B587" t="s">
        <v>2478</v>
      </c>
      <c r="C587" s="1">
        <v>46140</v>
      </c>
      <c r="D587" t="s">
        <v>26</v>
      </c>
      <c r="E587" t="s">
        <v>50</v>
      </c>
      <c r="F587" t="s">
        <v>47</v>
      </c>
      <c r="G587" t="s">
        <v>165</v>
      </c>
      <c r="H587" t="s">
        <v>166</v>
      </c>
      <c r="I587" t="s">
        <v>29</v>
      </c>
      <c r="J587">
        <v>449</v>
      </c>
      <c r="K587">
        <v>2</v>
      </c>
      <c r="L587">
        <v>419.1</v>
      </c>
      <c r="M587">
        <v>125.73</v>
      </c>
      <c r="N587">
        <v>838.2</v>
      </c>
      <c r="O587">
        <v>712.47</v>
      </c>
      <c r="P587" t="s">
        <v>2111</v>
      </c>
      <c r="Q587" t="s">
        <v>1170</v>
      </c>
    </row>
    <row r="588" spans="1:17" x14ac:dyDescent="0.3">
      <c r="A588" t="s">
        <v>540</v>
      </c>
      <c r="B588" t="s">
        <v>539</v>
      </c>
      <c r="C588" s="1">
        <v>46058</v>
      </c>
      <c r="D588" t="s">
        <v>41</v>
      </c>
      <c r="E588" t="s">
        <v>17</v>
      </c>
      <c r="F588" t="s">
        <v>31</v>
      </c>
      <c r="G588" t="s">
        <v>35</v>
      </c>
      <c r="H588" t="s">
        <v>36</v>
      </c>
      <c r="I588" t="s">
        <v>37</v>
      </c>
      <c r="J588">
        <v>799</v>
      </c>
      <c r="K588">
        <v>2</v>
      </c>
      <c r="L588">
        <v>833.78</v>
      </c>
      <c r="M588">
        <v>250.13</v>
      </c>
      <c r="N588">
        <v>1667.56</v>
      </c>
      <c r="O588">
        <v>1417.43</v>
      </c>
      <c r="P588" t="s">
        <v>2111</v>
      </c>
      <c r="Q588" t="s">
        <v>498</v>
      </c>
    </row>
    <row r="589" spans="1:17" x14ac:dyDescent="0.3">
      <c r="A589" t="s">
        <v>1152</v>
      </c>
      <c r="B589" t="s">
        <v>1151</v>
      </c>
      <c r="C589" s="1">
        <v>46111</v>
      </c>
      <c r="D589" t="s">
        <v>34</v>
      </c>
      <c r="E589" t="s">
        <v>50</v>
      </c>
      <c r="F589" t="s">
        <v>47</v>
      </c>
      <c r="G589" t="s">
        <v>101</v>
      </c>
      <c r="H589" t="s">
        <v>102</v>
      </c>
      <c r="I589" t="s">
        <v>45</v>
      </c>
      <c r="J589">
        <v>4999</v>
      </c>
      <c r="K589">
        <v>1</v>
      </c>
      <c r="L589">
        <v>5253.93</v>
      </c>
      <c r="M589">
        <v>0</v>
      </c>
      <c r="N589">
        <v>5253.93</v>
      </c>
      <c r="O589">
        <v>5253.93</v>
      </c>
      <c r="P589" t="s">
        <v>2111</v>
      </c>
      <c r="Q589" t="s">
        <v>789</v>
      </c>
    </row>
    <row r="590" spans="1:17" x14ac:dyDescent="0.3">
      <c r="A590" t="s">
        <v>1765</v>
      </c>
      <c r="B590" t="s">
        <v>1764</v>
      </c>
      <c r="C590" s="1">
        <v>46169</v>
      </c>
      <c r="D590" t="s">
        <v>26</v>
      </c>
      <c r="E590" t="s">
        <v>17</v>
      </c>
      <c r="F590" t="s">
        <v>31</v>
      </c>
      <c r="G590" t="s">
        <v>191</v>
      </c>
      <c r="H590" t="s">
        <v>192</v>
      </c>
      <c r="I590" t="s">
        <v>45</v>
      </c>
      <c r="J590">
        <v>699</v>
      </c>
      <c r="K590">
        <v>1</v>
      </c>
      <c r="L590">
        <v>641.54</v>
      </c>
      <c r="M590">
        <v>128.31</v>
      </c>
      <c r="N590">
        <v>641.54</v>
      </c>
      <c r="O590">
        <v>513.23</v>
      </c>
      <c r="P590" t="s">
        <v>2111</v>
      </c>
      <c r="Q590" t="s">
        <v>1479</v>
      </c>
    </row>
    <row r="591" spans="1:17" x14ac:dyDescent="0.3">
      <c r="A591" t="s">
        <v>2429</v>
      </c>
      <c r="B591" t="s">
        <v>2430</v>
      </c>
      <c r="C591" s="1">
        <v>46025</v>
      </c>
      <c r="D591" t="s">
        <v>34</v>
      </c>
      <c r="E591" t="s">
        <v>50</v>
      </c>
      <c r="F591" t="s">
        <v>74</v>
      </c>
      <c r="G591" t="s">
        <v>106</v>
      </c>
      <c r="H591" t="s">
        <v>107</v>
      </c>
      <c r="I591" t="s">
        <v>108</v>
      </c>
      <c r="J591">
        <v>599</v>
      </c>
      <c r="K591">
        <v>1</v>
      </c>
      <c r="L591">
        <v>642.28</v>
      </c>
      <c r="M591">
        <v>96.34</v>
      </c>
      <c r="N591">
        <v>642.28</v>
      </c>
      <c r="O591">
        <v>545.94000000000005</v>
      </c>
      <c r="P591" t="s">
        <v>2111</v>
      </c>
      <c r="Q591" t="s">
        <v>23</v>
      </c>
    </row>
    <row r="592" spans="1:17" x14ac:dyDescent="0.3">
      <c r="A592" t="s">
        <v>2479</v>
      </c>
      <c r="B592" t="s">
        <v>1020</v>
      </c>
      <c r="C592" s="1">
        <v>46104</v>
      </c>
      <c r="D592" t="s">
        <v>34</v>
      </c>
      <c r="E592" t="s">
        <v>17</v>
      </c>
      <c r="F592" t="s">
        <v>74</v>
      </c>
      <c r="G592" t="s">
        <v>112</v>
      </c>
      <c r="H592" t="s">
        <v>113</v>
      </c>
      <c r="I592" t="s">
        <v>37</v>
      </c>
      <c r="J592">
        <v>1499</v>
      </c>
      <c r="K592">
        <v>1</v>
      </c>
      <c r="L592">
        <v>1592.87</v>
      </c>
      <c r="M592">
        <v>318.57</v>
      </c>
      <c r="N592">
        <v>1592.87</v>
      </c>
      <c r="O592">
        <v>1274.3</v>
      </c>
      <c r="P592" t="s">
        <v>2111</v>
      </c>
      <c r="Q592" t="s">
        <v>789</v>
      </c>
    </row>
    <row r="593" spans="1:17" x14ac:dyDescent="0.3">
      <c r="A593" t="s">
        <v>2480</v>
      </c>
      <c r="B593" t="s">
        <v>1906</v>
      </c>
      <c r="C593" s="1">
        <v>46031</v>
      </c>
      <c r="D593" t="s">
        <v>16</v>
      </c>
      <c r="E593" t="s">
        <v>50</v>
      </c>
      <c r="F593" t="s">
        <v>74</v>
      </c>
      <c r="G593" t="s">
        <v>51</v>
      </c>
      <c r="H593" t="s">
        <v>52</v>
      </c>
      <c r="I593" t="s">
        <v>20</v>
      </c>
      <c r="J593">
        <v>999</v>
      </c>
      <c r="K593">
        <v>1</v>
      </c>
      <c r="L593">
        <v>905.77</v>
      </c>
      <c r="M593">
        <v>90.58</v>
      </c>
      <c r="N593">
        <v>905.77</v>
      </c>
      <c r="O593">
        <v>815.19</v>
      </c>
      <c r="P593" t="s">
        <v>2111</v>
      </c>
      <c r="Q593" t="s">
        <v>23</v>
      </c>
    </row>
    <row r="594" spans="1:17" x14ac:dyDescent="0.3">
      <c r="A594" t="s">
        <v>973</v>
      </c>
      <c r="B594" t="s">
        <v>972</v>
      </c>
      <c r="C594" s="1">
        <v>46095</v>
      </c>
      <c r="D594" t="s">
        <v>16</v>
      </c>
      <c r="E594" t="s">
        <v>17</v>
      </c>
      <c r="F594" t="s">
        <v>47</v>
      </c>
      <c r="G594" t="s">
        <v>106</v>
      </c>
      <c r="H594" t="s">
        <v>107</v>
      </c>
      <c r="I594" t="s">
        <v>108</v>
      </c>
      <c r="J594">
        <v>599</v>
      </c>
      <c r="K594">
        <v>2</v>
      </c>
      <c r="L594">
        <v>550.01</v>
      </c>
      <c r="M594">
        <v>110</v>
      </c>
      <c r="N594">
        <v>1100.02</v>
      </c>
      <c r="O594">
        <v>990.02</v>
      </c>
      <c r="P594" t="s">
        <v>2111</v>
      </c>
      <c r="Q594" t="s">
        <v>789</v>
      </c>
    </row>
    <row r="595" spans="1:17" x14ac:dyDescent="0.3">
      <c r="A595" t="s">
        <v>1782</v>
      </c>
      <c r="B595" t="s">
        <v>1781</v>
      </c>
      <c r="C595" s="1">
        <v>46170</v>
      </c>
      <c r="D595" t="s">
        <v>26</v>
      </c>
      <c r="E595" t="s">
        <v>17</v>
      </c>
      <c r="F595" t="s">
        <v>22</v>
      </c>
      <c r="G595" t="s">
        <v>160</v>
      </c>
      <c r="H595" t="s">
        <v>161</v>
      </c>
      <c r="I595" t="s">
        <v>82</v>
      </c>
      <c r="J595">
        <v>799</v>
      </c>
      <c r="K595">
        <v>1</v>
      </c>
      <c r="L595">
        <v>726.95</v>
      </c>
      <c r="M595">
        <v>145.38999999999999</v>
      </c>
      <c r="N595">
        <v>726.95</v>
      </c>
      <c r="O595">
        <v>581.55999999999995</v>
      </c>
      <c r="P595" t="s">
        <v>2111</v>
      </c>
      <c r="Q595" t="s">
        <v>1479</v>
      </c>
    </row>
    <row r="596" spans="1:17" x14ac:dyDescent="0.3">
      <c r="A596" t="s">
        <v>2481</v>
      </c>
      <c r="B596" t="s">
        <v>219</v>
      </c>
      <c r="C596" s="1">
        <v>46173</v>
      </c>
      <c r="D596" t="s">
        <v>63</v>
      </c>
      <c r="E596" t="s">
        <v>17</v>
      </c>
      <c r="F596" t="s">
        <v>60</v>
      </c>
      <c r="G596" t="s">
        <v>250</v>
      </c>
      <c r="H596" t="s">
        <v>251</v>
      </c>
      <c r="I596" t="s">
        <v>108</v>
      </c>
      <c r="J596">
        <v>899</v>
      </c>
      <c r="K596">
        <v>1</v>
      </c>
      <c r="L596">
        <v>869.29</v>
      </c>
      <c r="M596">
        <v>173.86</v>
      </c>
      <c r="N596">
        <v>869.29</v>
      </c>
      <c r="O596">
        <v>695.43</v>
      </c>
      <c r="P596" t="s">
        <v>2111</v>
      </c>
      <c r="Q596" t="s">
        <v>1479</v>
      </c>
    </row>
    <row r="597" spans="1:17" x14ac:dyDescent="0.3">
      <c r="A597" t="s">
        <v>783</v>
      </c>
      <c r="B597" t="s">
        <v>782</v>
      </c>
      <c r="C597" s="1">
        <v>46081</v>
      </c>
      <c r="D597" t="s">
        <v>41</v>
      </c>
      <c r="E597" t="s">
        <v>50</v>
      </c>
      <c r="F597" t="s">
        <v>74</v>
      </c>
      <c r="G597" t="s">
        <v>43</v>
      </c>
      <c r="H597" t="s">
        <v>44</v>
      </c>
      <c r="I597" t="s">
        <v>45</v>
      </c>
      <c r="J597">
        <v>3299</v>
      </c>
      <c r="K597">
        <v>1</v>
      </c>
      <c r="L597">
        <v>3305.13</v>
      </c>
      <c r="M597">
        <v>330.51</v>
      </c>
      <c r="N597">
        <v>3305.13</v>
      </c>
      <c r="O597">
        <v>2974.62</v>
      </c>
      <c r="P597" t="s">
        <v>2114</v>
      </c>
      <c r="Q597" t="s">
        <v>498</v>
      </c>
    </row>
    <row r="598" spans="1:17" x14ac:dyDescent="0.3">
      <c r="A598" t="s">
        <v>2399</v>
      </c>
      <c r="B598" t="s">
        <v>1207</v>
      </c>
      <c r="C598" s="1">
        <v>46194</v>
      </c>
      <c r="D598" t="s">
        <v>41</v>
      </c>
      <c r="E598" t="s">
        <v>17</v>
      </c>
      <c r="F598" t="s">
        <v>31</v>
      </c>
      <c r="G598" t="s">
        <v>18</v>
      </c>
      <c r="H598" t="s">
        <v>19</v>
      </c>
      <c r="I598" t="s">
        <v>20</v>
      </c>
      <c r="J598">
        <v>2799</v>
      </c>
      <c r="K598">
        <v>1</v>
      </c>
      <c r="L598">
        <v>2817.11</v>
      </c>
      <c r="M598">
        <v>140.86000000000001</v>
      </c>
      <c r="N598">
        <v>2817.11</v>
      </c>
      <c r="O598">
        <v>2676.25</v>
      </c>
      <c r="P598" t="s">
        <v>2111</v>
      </c>
      <c r="Q598" t="s">
        <v>1809</v>
      </c>
    </row>
    <row r="599" spans="1:17" x14ac:dyDescent="0.3">
      <c r="A599" t="s">
        <v>2482</v>
      </c>
      <c r="B599" t="s">
        <v>2483</v>
      </c>
      <c r="C599" s="1">
        <v>46120</v>
      </c>
      <c r="D599" t="s">
        <v>41</v>
      </c>
      <c r="E599" t="s">
        <v>17</v>
      </c>
      <c r="F599" t="s">
        <v>22</v>
      </c>
      <c r="G599" t="s">
        <v>160</v>
      </c>
      <c r="H599" t="s">
        <v>161</v>
      </c>
      <c r="I599" t="s">
        <v>82</v>
      </c>
      <c r="J599">
        <v>799</v>
      </c>
      <c r="K599">
        <v>3</v>
      </c>
      <c r="L599">
        <v>761.87</v>
      </c>
      <c r="M599">
        <v>228.56</v>
      </c>
      <c r="N599">
        <v>2285.61</v>
      </c>
      <c r="O599">
        <v>2057.0500000000002</v>
      </c>
      <c r="P599" t="s">
        <v>2111</v>
      </c>
      <c r="Q599" t="s">
        <v>1170</v>
      </c>
    </row>
    <row r="600" spans="1:17" x14ac:dyDescent="0.3">
      <c r="A600" t="s">
        <v>2006</v>
      </c>
      <c r="B600" t="s">
        <v>2005</v>
      </c>
      <c r="C600" s="1">
        <v>46195</v>
      </c>
      <c r="D600" t="s">
        <v>16</v>
      </c>
      <c r="E600" t="s">
        <v>50</v>
      </c>
      <c r="F600" t="s">
        <v>74</v>
      </c>
      <c r="G600" t="s">
        <v>160</v>
      </c>
      <c r="H600" t="s">
        <v>161</v>
      </c>
      <c r="I600" t="s">
        <v>82</v>
      </c>
      <c r="J600">
        <v>799</v>
      </c>
      <c r="K600">
        <v>1</v>
      </c>
      <c r="L600">
        <v>864.77</v>
      </c>
      <c r="M600">
        <v>86.48</v>
      </c>
      <c r="N600">
        <v>864.77</v>
      </c>
      <c r="O600">
        <v>778.29</v>
      </c>
      <c r="P600" t="s">
        <v>2111</v>
      </c>
      <c r="Q600" t="s">
        <v>1809</v>
      </c>
    </row>
    <row r="601" spans="1:17" x14ac:dyDescent="0.3">
      <c r="A601" t="s">
        <v>2484</v>
      </c>
      <c r="B601" t="s">
        <v>33</v>
      </c>
      <c r="C601" s="1">
        <v>46136</v>
      </c>
      <c r="D601" t="s">
        <v>34</v>
      </c>
      <c r="E601" t="s">
        <v>50</v>
      </c>
      <c r="F601" t="s">
        <v>31</v>
      </c>
      <c r="G601" t="s">
        <v>101</v>
      </c>
      <c r="H601" t="s">
        <v>102</v>
      </c>
      <c r="I601" t="s">
        <v>45</v>
      </c>
      <c r="J601">
        <v>4999</v>
      </c>
      <c r="K601">
        <v>1</v>
      </c>
      <c r="L601">
        <v>4867.29</v>
      </c>
      <c r="M601">
        <v>243.36</v>
      </c>
      <c r="N601">
        <v>4867.29</v>
      </c>
      <c r="O601">
        <v>4623.93</v>
      </c>
      <c r="P601" t="s">
        <v>2114</v>
      </c>
      <c r="Q601" t="s">
        <v>1170</v>
      </c>
    </row>
    <row r="602" spans="1:17" x14ac:dyDescent="0.3">
      <c r="A602" t="s">
        <v>2485</v>
      </c>
      <c r="B602" t="s">
        <v>2435</v>
      </c>
      <c r="C602" s="1">
        <v>46111</v>
      </c>
      <c r="D602" t="s">
        <v>41</v>
      </c>
      <c r="E602" t="s">
        <v>17</v>
      </c>
      <c r="F602" t="s">
        <v>31</v>
      </c>
      <c r="G602" t="s">
        <v>126</v>
      </c>
      <c r="H602" t="s">
        <v>127</v>
      </c>
      <c r="I602" t="s">
        <v>45</v>
      </c>
      <c r="J602">
        <v>2499</v>
      </c>
      <c r="K602">
        <v>1</v>
      </c>
      <c r="L602">
        <v>2271.87</v>
      </c>
      <c r="M602">
        <v>113.59</v>
      </c>
      <c r="N602">
        <v>2271.87</v>
      </c>
      <c r="O602">
        <v>2158.2800000000002</v>
      </c>
      <c r="P602" t="s">
        <v>2111</v>
      </c>
      <c r="Q602" t="s">
        <v>789</v>
      </c>
    </row>
    <row r="603" spans="1:17" x14ac:dyDescent="0.3">
      <c r="A603" t="s">
        <v>731</v>
      </c>
      <c r="B603" t="s">
        <v>730</v>
      </c>
      <c r="C603" s="1">
        <v>46076</v>
      </c>
      <c r="D603" t="s">
        <v>16</v>
      </c>
      <c r="E603" t="s">
        <v>17</v>
      </c>
      <c r="F603" t="s">
        <v>60</v>
      </c>
      <c r="G603" t="s">
        <v>43</v>
      </c>
      <c r="H603" t="s">
        <v>44</v>
      </c>
      <c r="I603" t="s">
        <v>45</v>
      </c>
      <c r="J603">
        <v>3299</v>
      </c>
      <c r="K603">
        <v>1</v>
      </c>
      <c r="L603">
        <v>3167.19</v>
      </c>
      <c r="M603">
        <v>633.44000000000005</v>
      </c>
      <c r="N603">
        <v>3167.19</v>
      </c>
      <c r="O603">
        <v>2533.75</v>
      </c>
      <c r="P603" t="s">
        <v>2111</v>
      </c>
      <c r="Q603" t="s">
        <v>498</v>
      </c>
    </row>
    <row r="604" spans="1:17" x14ac:dyDescent="0.3">
      <c r="A604" t="s">
        <v>1075</v>
      </c>
      <c r="B604" t="s">
        <v>1074</v>
      </c>
      <c r="C604" s="1">
        <v>46103</v>
      </c>
      <c r="D604" t="s">
        <v>41</v>
      </c>
      <c r="E604" t="s">
        <v>17</v>
      </c>
      <c r="F604" t="s">
        <v>22</v>
      </c>
      <c r="G604" t="s">
        <v>101</v>
      </c>
      <c r="H604" t="s">
        <v>102</v>
      </c>
      <c r="I604" t="s">
        <v>45</v>
      </c>
      <c r="J604">
        <v>4999</v>
      </c>
      <c r="K604">
        <v>1</v>
      </c>
      <c r="L604">
        <v>5030.1000000000004</v>
      </c>
      <c r="M604">
        <v>0</v>
      </c>
      <c r="N604">
        <v>5030.1000000000004</v>
      </c>
      <c r="O604">
        <v>5030.1000000000004</v>
      </c>
      <c r="P604" t="s">
        <v>2111</v>
      </c>
      <c r="Q604" t="s">
        <v>789</v>
      </c>
    </row>
    <row r="605" spans="1:17" x14ac:dyDescent="0.3">
      <c r="A605" t="s">
        <v>1520</v>
      </c>
      <c r="B605" t="s">
        <v>1519</v>
      </c>
      <c r="C605" s="1">
        <v>46146</v>
      </c>
      <c r="D605" t="s">
        <v>34</v>
      </c>
      <c r="E605" t="s">
        <v>17</v>
      </c>
      <c r="F605" t="s">
        <v>31</v>
      </c>
      <c r="G605" t="s">
        <v>43</v>
      </c>
      <c r="H605" t="s">
        <v>44</v>
      </c>
      <c r="I605" t="s">
        <v>45</v>
      </c>
      <c r="J605">
        <v>3299</v>
      </c>
      <c r="K605">
        <v>1</v>
      </c>
      <c r="L605">
        <v>3238.44</v>
      </c>
      <c r="M605">
        <v>485.77</v>
      </c>
      <c r="N605">
        <v>3238.44</v>
      </c>
      <c r="O605">
        <v>2752.67</v>
      </c>
      <c r="P605" t="s">
        <v>2111</v>
      </c>
      <c r="Q605" t="s">
        <v>1479</v>
      </c>
    </row>
    <row r="606" spans="1:17" x14ac:dyDescent="0.3">
      <c r="A606" t="s">
        <v>2141</v>
      </c>
      <c r="B606" t="s">
        <v>2142</v>
      </c>
      <c r="C606" s="1">
        <v>46098</v>
      </c>
      <c r="D606" t="s">
        <v>16</v>
      </c>
      <c r="E606" t="s">
        <v>17</v>
      </c>
      <c r="F606" t="s">
        <v>31</v>
      </c>
      <c r="G606" t="s">
        <v>27</v>
      </c>
      <c r="H606" t="s">
        <v>28</v>
      </c>
      <c r="I606" t="s">
        <v>29</v>
      </c>
      <c r="J606">
        <v>1599</v>
      </c>
      <c r="K606">
        <v>1</v>
      </c>
      <c r="L606">
        <v>1526.67</v>
      </c>
      <c r="M606">
        <v>0</v>
      </c>
      <c r="N606">
        <v>1526.67</v>
      </c>
      <c r="O606">
        <v>1526.67</v>
      </c>
      <c r="P606" t="s">
        <v>2111</v>
      </c>
      <c r="Q606" t="s">
        <v>789</v>
      </c>
    </row>
    <row r="607" spans="1:17" x14ac:dyDescent="0.3">
      <c r="A607" t="s">
        <v>2486</v>
      </c>
      <c r="B607" t="s">
        <v>388</v>
      </c>
      <c r="C607" s="1">
        <v>46036</v>
      </c>
      <c r="D607" t="s">
        <v>26</v>
      </c>
      <c r="E607" t="s">
        <v>50</v>
      </c>
      <c r="F607" t="s">
        <v>22</v>
      </c>
      <c r="G607" t="s">
        <v>112</v>
      </c>
      <c r="H607" t="s">
        <v>113</v>
      </c>
      <c r="I607" t="s">
        <v>37</v>
      </c>
      <c r="J607">
        <v>1499</v>
      </c>
      <c r="K607">
        <v>1</v>
      </c>
      <c r="L607">
        <v>1388.47</v>
      </c>
      <c r="M607">
        <v>69.42</v>
      </c>
      <c r="N607">
        <v>1388.47</v>
      </c>
      <c r="O607">
        <v>1319.05</v>
      </c>
      <c r="P607" t="s">
        <v>2114</v>
      </c>
      <c r="Q607" t="s">
        <v>23</v>
      </c>
    </row>
    <row r="608" spans="1:17" x14ac:dyDescent="0.3">
      <c r="A608" t="s">
        <v>93</v>
      </c>
      <c r="B608" t="s">
        <v>90</v>
      </c>
      <c r="C608" s="1">
        <v>46024</v>
      </c>
      <c r="D608" t="s">
        <v>16</v>
      </c>
      <c r="E608" t="s">
        <v>17</v>
      </c>
      <c r="F608" t="s">
        <v>22</v>
      </c>
      <c r="G608" t="s">
        <v>18</v>
      </c>
      <c r="H608" t="s">
        <v>19</v>
      </c>
      <c r="I608" t="s">
        <v>20</v>
      </c>
      <c r="J608">
        <v>2799</v>
      </c>
      <c r="K608">
        <v>1</v>
      </c>
      <c r="L608">
        <v>2977.67</v>
      </c>
      <c r="M608">
        <v>0</v>
      </c>
      <c r="N608">
        <v>2977.67</v>
      </c>
      <c r="O608">
        <v>2977.67</v>
      </c>
      <c r="P608" t="s">
        <v>2111</v>
      </c>
      <c r="Q608" t="s">
        <v>23</v>
      </c>
    </row>
    <row r="609" spans="1:17" x14ac:dyDescent="0.3">
      <c r="A609" t="s">
        <v>2487</v>
      </c>
      <c r="B609" t="s">
        <v>1160</v>
      </c>
      <c r="C609" s="1">
        <v>46048</v>
      </c>
      <c r="D609" t="s">
        <v>41</v>
      </c>
      <c r="E609" t="s">
        <v>17</v>
      </c>
      <c r="F609" t="s">
        <v>22</v>
      </c>
      <c r="G609" t="s">
        <v>149</v>
      </c>
      <c r="H609" t="s">
        <v>150</v>
      </c>
      <c r="I609" t="s">
        <v>37</v>
      </c>
      <c r="J609">
        <v>2999</v>
      </c>
      <c r="K609">
        <v>1</v>
      </c>
      <c r="L609">
        <v>3296.59</v>
      </c>
      <c r="M609">
        <v>164.83</v>
      </c>
      <c r="N609">
        <v>3296.59</v>
      </c>
      <c r="O609">
        <v>3131.76</v>
      </c>
      <c r="P609" t="s">
        <v>2111</v>
      </c>
      <c r="Q609" t="s">
        <v>23</v>
      </c>
    </row>
    <row r="610" spans="1:17" x14ac:dyDescent="0.3">
      <c r="A610" t="s">
        <v>2488</v>
      </c>
      <c r="B610" t="s">
        <v>2489</v>
      </c>
      <c r="C610" s="1">
        <v>46094</v>
      </c>
      <c r="D610" t="s">
        <v>26</v>
      </c>
      <c r="E610" t="s">
        <v>50</v>
      </c>
      <c r="F610" t="s">
        <v>22</v>
      </c>
      <c r="G610" t="s">
        <v>160</v>
      </c>
      <c r="H610" t="s">
        <v>161</v>
      </c>
      <c r="I610" t="s">
        <v>82</v>
      </c>
      <c r="J610">
        <v>799</v>
      </c>
      <c r="K610">
        <v>4</v>
      </c>
      <c r="L610">
        <v>771.76</v>
      </c>
      <c r="M610">
        <v>463.06</v>
      </c>
      <c r="N610">
        <v>3087.04</v>
      </c>
      <c r="O610">
        <v>2623.98</v>
      </c>
      <c r="P610" t="s">
        <v>2111</v>
      </c>
      <c r="Q610" t="s">
        <v>789</v>
      </c>
    </row>
    <row r="611" spans="1:17" x14ac:dyDescent="0.3">
      <c r="A611" t="s">
        <v>2490</v>
      </c>
      <c r="B611" t="s">
        <v>1125</v>
      </c>
      <c r="C611" s="1">
        <v>46158</v>
      </c>
      <c r="D611" t="s">
        <v>34</v>
      </c>
      <c r="E611" t="s">
        <v>50</v>
      </c>
      <c r="F611" t="s">
        <v>47</v>
      </c>
      <c r="G611" t="s">
        <v>86</v>
      </c>
      <c r="H611" t="s">
        <v>87</v>
      </c>
      <c r="I611" t="s">
        <v>82</v>
      </c>
      <c r="J611">
        <v>3499</v>
      </c>
      <c r="K611">
        <v>1</v>
      </c>
      <c r="L611">
        <v>3416.16</v>
      </c>
      <c r="M611">
        <v>683.23</v>
      </c>
      <c r="N611">
        <v>3416.16</v>
      </c>
      <c r="O611">
        <v>2732.93</v>
      </c>
      <c r="P611" t="s">
        <v>2111</v>
      </c>
      <c r="Q611" t="s">
        <v>1479</v>
      </c>
    </row>
    <row r="612" spans="1:17" x14ac:dyDescent="0.3">
      <c r="A612" t="s">
        <v>864</v>
      </c>
      <c r="B612" t="s">
        <v>855</v>
      </c>
      <c r="C612" s="1">
        <v>46087</v>
      </c>
      <c r="D612" t="s">
        <v>16</v>
      </c>
      <c r="E612" t="s">
        <v>17</v>
      </c>
      <c r="F612" t="s">
        <v>47</v>
      </c>
      <c r="G612" t="s">
        <v>160</v>
      </c>
      <c r="H612" t="s">
        <v>161</v>
      </c>
      <c r="I612" t="s">
        <v>82</v>
      </c>
      <c r="J612">
        <v>799</v>
      </c>
      <c r="K612">
        <v>1</v>
      </c>
      <c r="L612">
        <v>817.86</v>
      </c>
      <c r="M612">
        <v>40.89</v>
      </c>
      <c r="N612">
        <v>817.86</v>
      </c>
      <c r="O612">
        <v>776.97</v>
      </c>
      <c r="P612" t="s">
        <v>2111</v>
      </c>
      <c r="Q612" t="s">
        <v>789</v>
      </c>
    </row>
    <row r="613" spans="1:17" x14ac:dyDescent="0.3">
      <c r="A613" t="s">
        <v>1851</v>
      </c>
      <c r="B613" t="s">
        <v>1850</v>
      </c>
      <c r="C613" s="1">
        <v>46177</v>
      </c>
      <c r="D613" t="s">
        <v>26</v>
      </c>
      <c r="E613" t="s">
        <v>50</v>
      </c>
      <c r="F613" t="s">
        <v>22</v>
      </c>
      <c r="G613" t="s">
        <v>191</v>
      </c>
      <c r="H613" t="s">
        <v>192</v>
      </c>
      <c r="I613" t="s">
        <v>45</v>
      </c>
      <c r="J613">
        <v>699</v>
      </c>
      <c r="K613">
        <v>1</v>
      </c>
      <c r="L613">
        <v>729.54</v>
      </c>
      <c r="M613">
        <v>72.95</v>
      </c>
      <c r="N613">
        <v>729.54</v>
      </c>
      <c r="O613">
        <v>656.59</v>
      </c>
      <c r="P613" t="s">
        <v>2111</v>
      </c>
      <c r="Q613" t="s">
        <v>1809</v>
      </c>
    </row>
    <row r="614" spans="1:17" x14ac:dyDescent="0.3">
      <c r="A614" t="s">
        <v>2491</v>
      </c>
      <c r="B614" t="s">
        <v>2492</v>
      </c>
      <c r="C614" s="1">
        <v>46088</v>
      </c>
      <c r="D614" t="s">
        <v>16</v>
      </c>
      <c r="E614" t="s">
        <v>17</v>
      </c>
      <c r="F614" t="s">
        <v>22</v>
      </c>
      <c r="G614" t="s">
        <v>80</v>
      </c>
      <c r="H614" t="s">
        <v>81</v>
      </c>
      <c r="I614" t="s">
        <v>82</v>
      </c>
      <c r="J614">
        <v>4299</v>
      </c>
      <c r="K614">
        <v>1</v>
      </c>
      <c r="L614">
        <v>4206.17</v>
      </c>
      <c r="M614">
        <v>420.62</v>
      </c>
      <c r="N614">
        <v>4206.17</v>
      </c>
      <c r="O614">
        <v>3785.55</v>
      </c>
      <c r="P614" t="s">
        <v>2111</v>
      </c>
      <c r="Q614" t="s">
        <v>789</v>
      </c>
    </row>
    <row r="615" spans="1:17" x14ac:dyDescent="0.3">
      <c r="A615" t="s">
        <v>2493</v>
      </c>
      <c r="B615" t="s">
        <v>2494</v>
      </c>
      <c r="C615" s="1">
        <v>46042</v>
      </c>
      <c r="D615" t="s">
        <v>26</v>
      </c>
      <c r="E615" t="s">
        <v>17</v>
      </c>
      <c r="F615" t="s">
        <v>22</v>
      </c>
      <c r="G615" t="s">
        <v>149</v>
      </c>
      <c r="H615" t="s">
        <v>150</v>
      </c>
      <c r="I615" t="s">
        <v>37</v>
      </c>
      <c r="J615">
        <v>2999</v>
      </c>
      <c r="K615">
        <v>2</v>
      </c>
      <c r="L615">
        <v>3241.88</v>
      </c>
      <c r="M615">
        <v>1296.75</v>
      </c>
      <c r="N615">
        <v>6483.76</v>
      </c>
      <c r="O615">
        <v>5187.01</v>
      </c>
      <c r="P615" t="s">
        <v>2114</v>
      </c>
      <c r="Q615" t="s">
        <v>23</v>
      </c>
    </row>
    <row r="616" spans="1:17" x14ac:dyDescent="0.3">
      <c r="A616" t="s">
        <v>2016</v>
      </c>
      <c r="B616" t="s">
        <v>2015</v>
      </c>
      <c r="C616" s="1">
        <v>46195</v>
      </c>
      <c r="D616" t="s">
        <v>41</v>
      </c>
      <c r="E616" t="s">
        <v>17</v>
      </c>
      <c r="F616" t="s">
        <v>60</v>
      </c>
      <c r="G616" t="s">
        <v>191</v>
      </c>
      <c r="H616" t="s">
        <v>192</v>
      </c>
      <c r="I616" t="s">
        <v>45</v>
      </c>
      <c r="J616">
        <v>699</v>
      </c>
      <c r="K616">
        <v>1</v>
      </c>
      <c r="L616">
        <v>707.39</v>
      </c>
      <c r="M616">
        <v>106.11</v>
      </c>
      <c r="N616">
        <v>707.39</v>
      </c>
      <c r="O616">
        <v>601.28</v>
      </c>
      <c r="P616" t="s">
        <v>2111</v>
      </c>
      <c r="Q616" t="s">
        <v>1809</v>
      </c>
    </row>
    <row r="617" spans="1:17" x14ac:dyDescent="0.3">
      <c r="A617" t="s">
        <v>2495</v>
      </c>
      <c r="B617" t="s">
        <v>1028</v>
      </c>
      <c r="C617" s="1">
        <v>46085</v>
      </c>
      <c r="D617" t="s">
        <v>41</v>
      </c>
      <c r="E617" t="s">
        <v>42</v>
      </c>
      <c r="F617" t="s">
        <v>22</v>
      </c>
      <c r="G617" t="s">
        <v>250</v>
      </c>
      <c r="H617" t="s">
        <v>251</v>
      </c>
      <c r="I617" t="s">
        <v>108</v>
      </c>
      <c r="J617">
        <v>899</v>
      </c>
      <c r="K617">
        <v>2</v>
      </c>
      <c r="L617">
        <v>890.08</v>
      </c>
      <c r="M617">
        <v>178.02</v>
      </c>
      <c r="N617">
        <v>1780.16</v>
      </c>
      <c r="O617">
        <v>1602.14</v>
      </c>
      <c r="P617" t="s">
        <v>2111</v>
      </c>
      <c r="Q617" t="s">
        <v>789</v>
      </c>
    </row>
    <row r="618" spans="1:17" x14ac:dyDescent="0.3">
      <c r="A618" t="s">
        <v>2496</v>
      </c>
      <c r="B618" t="s">
        <v>2497</v>
      </c>
      <c r="C618" s="1">
        <v>46024</v>
      </c>
      <c r="D618" t="s">
        <v>16</v>
      </c>
      <c r="E618" t="s">
        <v>50</v>
      </c>
      <c r="F618" t="s">
        <v>31</v>
      </c>
      <c r="G618" t="s">
        <v>149</v>
      </c>
      <c r="H618" t="s">
        <v>150</v>
      </c>
      <c r="I618" t="s">
        <v>37</v>
      </c>
      <c r="J618">
        <v>2999</v>
      </c>
      <c r="K618">
        <v>1</v>
      </c>
      <c r="L618">
        <v>3086.97</v>
      </c>
      <c r="M618">
        <v>463.05</v>
      </c>
      <c r="N618">
        <v>3086.97</v>
      </c>
      <c r="O618">
        <v>2623.92</v>
      </c>
      <c r="P618" t="s">
        <v>2111</v>
      </c>
      <c r="Q618" t="s">
        <v>23</v>
      </c>
    </row>
    <row r="619" spans="1:17" x14ac:dyDescent="0.3">
      <c r="A619" t="s">
        <v>2498</v>
      </c>
      <c r="B619" t="s">
        <v>122</v>
      </c>
      <c r="C619" s="1">
        <v>46160</v>
      </c>
      <c r="D619" t="s">
        <v>26</v>
      </c>
      <c r="E619" t="s">
        <v>17</v>
      </c>
      <c r="F619" t="s">
        <v>60</v>
      </c>
      <c r="G619" t="s">
        <v>51</v>
      </c>
      <c r="H619" t="s">
        <v>52</v>
      </c>
      <c r="I619" t="s">
        <v>20</v>
      </c>
      <c r="J619">
        <v>999</v>
      </c>
      <c r="K619">
        <v>1</v>
      </c>
      <c r="L619">
        <v>1089.47</v>
      </c>
      <c r="M619">
        <v>217.89</v>
      </c>
      <c r="N619">
        <v>1089.47</v>
      </c>
      <c r="O619">
        <v>871.58</v>
      </c>
      <c r="P619" t="s">
        <v>2111</v>
      </c>
      <c r="Q619" t="s">
        <v>1479</v>
      </c>
    </row>
    <row r="620" spans="1:17" x14ac:dyDescent="0.3">
      <c r="A620" t="s">
        <v>2499</v>
      </c>
      <c r="B620" t="s">
        <v>913</v>
      </c>
      <c r="C620" s="1">
        <v>46146</v>
      </c>
      <c r="D620" t="s">
        <v>16</v>
      </c>
      <c r="E620" t="s">
        <v>50</v>
      </c>
      <c r="F620" t="s">
        <v>31</v>
      </c>
      <c r="G620" t="s">
        <v>91</v>
      </c>
      <c r="H620" t="s">
        <v>92</v>
      </c>
      <c r="I620" t="s">
        <v>37</v>
      </c>
      <c r="J620">
        <v>1899</v>
      </c>
      <c r="K620">
        <v>2</v>
      </c>
      <c r="L620">
        <v>2010.87</v>
      </c>
      <c r="M620">
        <v>0</v>
      </c>
      <c r="N620">
        <v>4021.74</v>
      </c>
      <c r="O620">
        <v>4021.74</v>
      </c>
      <c r="P620" t="s">
        <v>2111</v>
      </c>
      <c r="Q620" t="s">
        <v>1479</v>
      </c>
    </row>
    <row r="621" spans="1:17" x14ac:dyDescent="0.3">
      <c r="A621" t="s">
        <v>1776</v>
      </c>
      <c r="B621" t="s">
        <v>1775</v>
      </c>
      <c r="C621" s="1">
        <v>46170</v>
      </c>
      <c r="D621" t="s">
        <v>41</v>
      </c>
      <c r="E621" t="s">
        <v>50</v>
      </c>
      <c r="F621" t="s">
        <v>22</v>
      </c>
      <c r="G621" t="s">
        <v>191</v>
      </c>
      <c r="H621" t="s">
        <v>192</v>
      </c>
      <c r="I621" t="s">
        <v>45</v>
      </c>
      <c r="J621">
        <v>699</v>
      </c>
      <c r="K621">
        <v>1</v>
      </c>
      <c r="L621">
        <v>634.69000000000005</v>
      </c>
      <c r="M621">
        <v>63.47</v>
      </c>
      <c r="N621">
        <v>634.69000000000005</v>
      </c>
      <c r="O621">
        <v>571.22</v>
      </c>
      <c r="P621" t="s">
        <v>2114</v>
      </c>
      <c r="Q621" t="s">
        <v>1479</v>
      </c>
    </row>
    <row r="622" spans="1:17" x14ac:dyDescent="0.3">
      <c r="A622" t="s">
        <v>2500</v>
      </c>
      <c r="B622" t="s">
        <v>2228</v>
      </c>
      <c r="C622" s="1">
        <v>46201</v>
      </c>
      <c r="D622" t="s">
        <v>26</v>
      </c>
      <c r="E622" t="s">
        <v>50</v>
      </c>
      <c r="F622" t="s">
        <v>47</v>
      </c>
      <c r="G622" t="s">
        <v>112</v>
      </c>
      <c r="H622" t="s">
        <v>113</v>
      </c>
      <c r="I622" t="s">
        <v>37</v>
      </c>
      <c r="J622">
        <v>1499</v>
      </c>
      <c r="K622">
        <v>1</v>
      </c>
      <c r="L622">
        <v>1448.73</v>
      </c>
      <c r="M622">
        <v>289.75</v>
      </c>
      <c r="N622">
        <v>1448.73</v>
      </c>
      <c r="O622">
        <v>1158.98</v>
      </c>
      <c r="P622" t="s">
        <v>2111</v>
      </c>
      <c r="Q622" t="s">
        <v>1809</v>
      </c>
    </row>
    <row r="623" spans="1:17" x14ac:dyDescent="0.3">
      <c r="A623" t="s">
        <v>2431</v>
      </c>
      <c r="B623" t="s">
        <v>2432</v>
      </c>
      <c r="C623" s="1">
        <v>46167</v>
      </c>
      <c r="D623" t="s">
        <v>26</v>
      </c>
      <c r="E623" t="s">
        <v>17</v>
      </c>
      <c r="F623" t="s">
        <v>74</v>
      </c>
      <c r="G623" t="s">
        <v>91</v>
      </c>
      <c r="H623" t="s">
        <v>92</v>
      </c>
      <c r="I623" t="s">
        <v>37</v>
      </c>
      <c r="J623">
        <v>1899</v>
      </c>
      <c r="K623">
        <v>1</v>
      </c>
      <c r="L623">
        <v>1887.81</v>
      </c>
      <c r="M623">
        <v>283.17</v>
      </c>
      <c r="N623">
        <v>1887.81</v>
      </c>
      <c r="O623">
        <v>1604.64</v>
      </c>
      <c r="P623" t="s">
        <v>2111</v>
      </c>
      <c r="Q623" t="s">
        <v>1479</v>
      </c>
    </row>
    <row r="624" spans="1:17" x14ac:dyDescent="0.3">
      <c r="A624" t="s">
        <v>2336</v>
      </c>
      <c r="B624" t="s">
        <v>2201</v>
      </c>
      <c r="C624" s="1">
        <v>46081</v>
      </c>
      <c r="D624" t="s">
        <v>16</v>
      </c>
      <c r="E624" t="s">
        <v>42</v>
      </c>
      <c r="F624" t="s">
        <v>74</v>
      </c>
      <c r="G624" t="s">
        <v>91</v>
      </c>
      <c r="H624" t="s">
        <v>92</v>
      </c>
      <c r="I624" t="s">
        <v>37</v>
      </c>
      <c r="J624">
        <v>1899</v>
      </c>
      <c r="K624">
        <v>2</v>
      </c>
      <c r="L624">
        <v>1828.55</v>
      </c>
      <c r="M624">
        <v>365.71</v>
      </c>
      <c r="N624">
        <v>3657.1</v>
      </c>
      <c r="O624">
        <v>3291.39</v>
      </c>
      <c r="P624" t="s">
        <v>2111</v>
      </c>
      <c r="Q624" t="s">
        <v>498</v>
      </c>
    </row>
    <row r="625" spans="1:17" x14ac:dyDescent="0.3">
      <c r="A625" t="s">
        <v>2397</v>
      </c>
      <c r="B625" t="s">
        <v>2398</v>
      </c>
      <c r="C625" s="1">
        <v>46202</v>
      </c>
      <c r="D625" t="s">
        <v>41</v>
      </c>
      <c r="E625" t="s">
        <v>17</v>
      </c>
      <c r="F625" t="s">
        <v>74</v>
      </c>
      <c r="G625" t="s">
        <v>91</v>
      </c>
      <c r="H625" t="s">
        <v>92</v>
      </c>
      <c r="I625" t="s">
        <v>37</v>
      </c>
      <c r="J625">
        <v>1899</v>
      </c>
      <c r="K625">
        <v>1</v>
      </c>
      <c r="L625">
        <v>1975.03</v>
      </c>
      <c r="M625">
        <v>197.5</v>
      </c>
      <c r="N625">
        <v>1975.03</v>
      </c>
      <c r="O625">
        <v>1777.53</v>
      </c>
      <c r="P625" t="s">
        <v>2111</v>
      </c>
      <c r="Q625" t="s">
        <v>1809</v>
      </c>
    </row>
    <row r="626" spans="1:17" x14ac:dyDescent="0.3">
      <c r="A626" t="s">
        <v>1716</v>
      </c>
      <c r="B626" t="s">
        <v>1715</v>
      </c>
      <c r="C626" s="1">
        <v>46164</v>
      </c>
      <c r="D626" t="s">
        <v>41</v>
      </c>
      <c r="E626" t="s">
        <v>17</v>
      </c>
      <c r="F626" t="s">
        <v>31</v>
      </c>
      <c r="G626" t="s">
        <v>355</v>
      </c>
      <c r="H626" t="s">
        <v>356</v>
      </c>
      <c r="I626" t="s">
        <v>82</v>
      </c>
      <c r="J626">
        <v>499</v>
      </c>
      <c r="K626">
        <v>2</v>
      </c>
      <c r="L626">
        <v>531.55999999999995</v>
      </c>
      <c r="M626">
        <v>53.16</v>
      </c>
      <c r="N626">
        <v>1063.1199999999999</v>
      </c>
      <c r="O626">
        <v>1009.96</v>
      </c>
      <c r="P626" t="s">
        <v>2111</v>
      </c>
      <c r="Q626" t="s">
        <v>1479</v>
      </c>
    </row>
    <row r="627" spans="1:17" x14ac:dyDescent="0.3">
      <c r="A627" t="s">
        <v>2183</v>
      </c>
      <c r="B627" t="s">
        <v>2184</v>
      </c>
      <c r="C627" s="1">
        <v>46062</v>
      </c>
      <c r="D627" t="s">
        <v>26</v>
      </c>
      <c r="E627" t="s">
        <v>50</v>
      </c>
      <c r="F627" t="s">
        <v>47</v>
      </c>
      <c r="G627" t="s">
        <v>27</v>
      </c>
      <c r="H627" t="s">
        <v>28</v>
      </c>
      <c r="I627" t="s">
        <v>29</v>
      </c>
      <c r="J627">
        <v>1599</v>
      </c>
      <c r="K627">
        <v>1</v>
      </c>
      <c r="L627">
        <v>1672.98</v>
      </c>
      <c r="M627">
        <v>167.3</v>
      </c>
      <c r="N627">
        <v>1672.98</v>
      </c>
      <c r="O627">
        <v>1505.68</v>
      </c>
      <c r="P627" t="s">
        <v>2111</v>
      </c>
      <c r="Q627" t="s">
        <v>498</v>
      </c>
    </row>
    <row r="628" spans="1:17" x14ac:dyDescent="0.3">
      <c r="A628" t="s">
        <v>1225</v>
      </c>
      <c r="B628" t="s">
        <v>1224</v>
      </c>
      <c r="C628" s="1">
        <v>46119</v>
      </c>
      <c r="D628" t="s">
        <v>34</v>
      </c>
      <c r="E628" t="s">
        <v>17</v>
      </c>
      <c r="F628" t="s">
        <v>47</v>
      </c>
      <c r="G628" t="s">
        <v>80</v>
      </c>
      <c r="H628" t="s">
        <v>81</v>
      </c>
      <c r="I628" t="s">
        <v>82</v>
      </c>
      <c r="J628">
        <v>4299</v>
      </c>
      <c r="K628">
        <v>3</v>
      </c>
      <c r="L628">
        <v>4719.7299999999996</v>
      </c>
      <c r="M628">
        <v>2123.88</v>
      </c>
      <c r="N628">
        <v>14159.19</v>
      </c>
      <c r="O628">
        <v>12035.31</v>
      </c>
      <c r="P628" t="s">
        <v>2111</v>
      </c>
      <c r="Q628" t="s">
        <v>1170</v>
      </c>
    </row>
    <row r="629" spans="1:17" x14ac:dyDescent="0.3">
      <c r="A629" t="s">
        <v>2501</v>
      </c>
      <c r="B629" t="s">
        <v>2502</v>
      </c>
      <c r="C629" s="1">
        <v>46044</v>
      </c>
      <c r="D629" t="s">
        <v>41</v>
      </c>
      <c r="E629" t="s">
        <v>17</v>
      </c>
      <c r="F629" t="s">
        <v>47</v>
      </c>
      <c r="G629" t="s">
        <v>250</v>
      </c>
      <c r="H629" t="s">
        <v>251</v>
      </c>
      <c r="I629" t="s">
        <v>108</v>
      </c>
      <c r="J629">
        <v>899</v>
      </c>
      <c r="K629">
        <v>1</v>
      </c>
      <c r="L629">
        <v>858.1</v>
      </c>
      <c r="M629">
        <v>85.81</v>
      </c>
      <c r="N629">
        <v>858.1</v>
      </c>
      <c r="O629">
        <v>772.29</v>
      </c>
      <c r="P629" t="s">
        <v>2111</v>
      </c>
      <c r="Q629" t="s">
        <v>23</v>
      </c>
    </row>
    <row r="630" spans="1:17" x14ac:dyDescent="0.3">
      <c r="A630" t="s">
        <v>2503</v>
      </c>
      <c r="B630" t="s">
        <v>2504</v>
      </c>
      <c r="C630" s="1">
        <v>46185</v>
      </c>
      <c r="D630" t="s">
        <v>41</v>
      </c>
      <c r="E630" t="s">
        <v>17</v>
      </c>
      <c r="F630" t="s">
        <v>60</v>
      </c>
      <c r="G630" t="s">
        <v>149</v>
      </c>
      <c r="H630" t="s">
        <v>150</v>
      </c>
      <c r="I630" t="s">
        <v>37</v>
      </c>
      <c r="J630">
        <v>2999</v>
      </c>
      <c r="K630">
        <v>2</v>
      </c>
      <c r="L630">
        <v>3223.92</v>
      </c>
      <c r="M630">
        <v>967.18</v>
      </c>
      <c r="N630">
        <v>6447.84</v>
      </c>
      <c r="O630">
        <v>5480.66</v>
      </c>
      <c r="P630" t="s">
        <v>2111</v>
      </c>
      <c r="Q630" t="s">
        <v>1809</v>
      </c>
    </row>
    <row r="631" spans="1:17" x14ac:dyDescent="0.3">
      <c r="A631" t="s">
        <v>1918</v>
      </c>
      <c r="B631" t="s">
        <v>1233</v>
      </c>
      <c r="C631" s="1">
        <v>46184</v>
      </c>
      <c r="D631" t="s">
        <v>41</v>
      </c>
      <c r="E631" t="s">
        <v>17</v>
      </c>
      <c r="F631" t="s">
        <v>74</v>
      </c>
      <c r="G631" t="s">
        <v>165</v>
      </c>
      <c r="H631" t="s">
        <v>166</v>
      </c>
      <c r="I631" t="s">
        <v>29</v>
      </c>
      <c r="J631">
        <v>449</v>
      </c>
      <c r="K631">
        <v>1</v>
      </c>
      <c r="L631">
        <v>472.94</v>
      </c>
      <c r="M631">
        <v>94.59</v>
      </c>
      <c r="N631">
        <v>472.94</v>
      </c>
      <c r="O631">
        <v>378.35</v>
      </c>
      <c r="P631" t="s">
        <v>2111</v>
      </c>
      <c r="Q631" t="s">
        <v>1809</v>
      </c>
    </row>
    <row r="632" spans="1:17" x14ac:dyDescent="0.3">
      <c r="A632" t="s">
        <v>2505</v>
      </c>
      <c r="B632" t="s">
        <v>2506</v>
      </c>
      <c r="C632" s="1">
        <v>46070</v>
      </c>
      <c r="D632" t="s">
        <v>34</v>
      </c>
      <c r="E632" t="s">
        <v>17</v>
      </c>
      <c r="F632" t="s">
        <v>22</v>
      </c>
      <c r="G632" t="s">
        <v>126</v>
      </c>
      <c r="H632" t="s">
        <v>127</v>
      </c>
      <c r="I632" t="s">
        <v>45</v>
      </c>
      <c r="J632">
        <v>2499</v>
      </c>
      <c r="K632">
        <v>3</v>
      </c>
      <c r="L632">
        <v>2430.12</v>
      </c>
      <c r="M632">
        <v>0</v>
      </c>
      <c r="N632">
        <v>7290.36</v>
      </c>
      <c r="O632">
        <v>7290.36</v>
      </c>
      <c r="P632" t="s">
        <v>2111</v>
      </c>
      <c r="Q632" t="s">
        <v>498</v>
      </c>
    </row>
    <row r="633" spans="1:17" x14ac:dyDescent="0.3">
      <c r="A633" t="s">
        <v>2507</v>
      </c>
      <c r="B633" t="s">
        <v>2508</v>
      </c>
      <c r="C633" s="1">
        <v>46046</v>
      </c>
      <c r="D633" t="s">
        <v>34</v>
      </c>
      <c r="E633" t="s">
        <v>42</v>
      </c>
      <c r="F633" t="s">
        <v>60</v>
      </c>
      <c r="G633" t="s">
        <v>355</v>
      </c>
      <c r="H633" t="s">
        <v>356</v>
      </c>
      <c r="I633" t="s">
        <v>82</v>
      </c>
      <c r="J633">
        <v>499</v>
      </c>
      <c r="K633">
        <v>1</v>
      </c>
      <c r="L633">
        <v>522.37</v>
      </c>
      <c r="M633">
        <v>52.24</v>
      </c>
      <c r="N633">
        <v>522.37</v>
      </c>
      <c r="O633">
        <v>470.13</v>
      </c>
      <c r="P633" t="s">
        <v>2111</v>
      </c>
      <c r="Q633" t="s">
        <v>23</v>
      </c>
    </row>
    <row r="634" spans="1:17" x14ac:dyDescent="0.3">
      <c r="A634" t="s">
        <v>2146</v>
      </c>
      <c r="B634" t="s">
        <v>2147</v>
      </c>
      <c r="C634" s="1">
        <v>46084</v>
      </c>
      <c r="D634" t="s">
        <v>34</v>
      </c>
      <c r="E634" t="s">
        <v>17</v>
      </c>
      <c r="F634" t="s">
        <v>60</v>
      </c>
      <c r="G634" t="s">
        <v>112</v>
      </c>
      <c r="H634" t="s">
        <v>113</v>
      </c>
      <c r="I634" t="s">
        <v>37</v>
      </c>
      <c r="J634">
        <v>1499</v>
      </c>
      <c r="K634">
        <v>1</v>
      </c>
      <c r="L634">
        <v>1380.3</v>
      </c>
      <c r="M634">
        <v>138.03</v>
      </c>
      <c r="N634">
        <v>1380.3</v>
      </c>
      <c r="O634">
        <v>1242.27</v>
      </c>
      <c r="P634" t="s">
        <v>2111</v>
      </c>
      <c r="Q634" t="s">
        <v>789</v>
      </c>
    </row>
    <row r="635" spans="1:17" x14ac:dyDescent="0.3">
      <c r="A635" t="s">
        <v>137</v>
      </c>
      <c r="B635" t="s">
        <v>136</v>
      </c>
      <c r="C635" s="1">
        <v>46028</v>
      </c>
      <c r="D635" t="s">
        <v>34</v>
      </c>
      <c r="E635" t="s">
        <v>17</v>
      </c>
      <c r="F635" t="s">
        <v>47</v>
      </c>
      <c r="G635" t="s">
        <v>51</v>
      </c>
      <c r="H635" t="s">
        <v>52</v>
      </c>
      <c r="I635" t="s">
        <v>20</v>
      </c>
      <c r="J635">
        <v>999</v>
      </c>
      <c r="K635">
        <v>1</v>
      </c>
      <c r="L635">
        <v>1056.81</v>
      </c>
      <c r="M635">
        <v>158.52000000000001</v>
      </c>
      <c r="N635">
        <v>1056.81</v>
      </c>
      <c r="O635">
        <v>898.29</v>
      </c>
      <c r="P635" t="s">
        <v>2111</v>
      </c>
      <c r="Q635" t="s">
        <v>23</v>
      </c>
    </row>
    <row r="636" spans="1:17" x14ac:dyDescent="0.3">
      <c r="A636" t="s">
        <v>2509</v>
      </c>
      <c r="B636" t="s">
        <v>1989</v>
      </c>
      <c r="C636" s="1">
        <v>46184</v>
      </c>
      <c r="D636" t="s">
        <v>16</v>
      </c>
      <c r="E636" t="s">
        <v>50</v>
      </c>
      <c r="F636" t="s">
        <v>47</v>
      </c>
      <c r="G636" t="s">
        <v>160</v>
      </c>
      <c r="H636" t="s">
        <v>161</v>
      </c>
      <c r="I636" t="s">
        <v>82</v>
      </c>
      <c r="J636">
        <v>799</v>
      </c>
      <c r="K636">
        <v>1</v>
      </c>
      <c r="L636">
        <v>804.17</v>
      </c>
      <c r="M636">
        <v>40.21</v>
      </c>
      <c r="N636">
        <v>804.17</v>
      </c>
      <c r="O636">
        <v>763.96</v>
      </c>
      <c r="P636" t="s">
        <v>2111</v>
      </c>
      <c r="Q636" t="s">
        <v>1809</v>
      </c>
    </row>
    <row r="637" spans="1:17" x14ac:dyDescent="0.3">
      <c r="A637" t="s">
        <v>244</v>
      </c>
      <c r="B637" t="s">
        <v>243</v>
      </c>
      <c r="C637" s="1">
        <v>46034</v>
      </c>
      <c r="D637" t="s">
        <v>63</v>
      </c>
      <c r="E637" t="s">
        <v>17</v>
      </c>
      <c r="F637" t="s">
        <v>74</v>
      </c>
      <c r="G637" t="s">
        <v>27</v>
      </c>
      <c r="H637" t="s">
        <v>28</v>
      </c>
      <c r="I637" t="s">
        <v>29</v>
      </c>
      <c r="J637">
        <v>1599</v>
      </c>
      <c r="K637">
        <v>1</v>
      </c>
      <c r="L637">
        <v>1532.57</v>
      </c>
      <c r="M637">
        <v>229.89</v>
      </c>
      <c r="N637">
        <v>1532.57</v>
      </c>
      <c r="O637">
        <v>1302.68</v>
      </c>
      <c r="P637" t="s">
        <v>2111</v>
      </c>
      <c r="Q637" t="s">
        <v>23</v>
      </c>
    </row>
    <row r="638" spans="1:17" x14ac:dyDescent="0.3">
      <c r="A638" t="s">
        <v>1885</v>
      </c>
      <c r="B638" t="s">
        <v>1884</v>
      </c>
      <c r="C638" s="1">
        <v>46180</v>
      </c>
      <c r="D638" t="s">
        <v>63</v>
      </c>
      <c r="E638" t="s">
        <v>17</v>
      </c>
      <c r="F638" t="s">
        <v>60</v>
      </c>
      <c r="G638" t="s">
        <v>91</v>
      </c>
      <c r="H638" t="s">
        <v>92</v>
      </c>
      <c r="I638" t="s">
        <v>37</v>
      </c>
      <c r="J638">
        <v>1899</v>
      </c>
      <c r="K638">
        <v>3</v>
      </c>
      <c r="L638">
        <v>1958.16</v>
      </c>
      <c r="M638">
        <v>1174.9000000000001</v>
      </c>
      <c r="N638">
        <v>5874.48</v>
      </c>
      <c r="O638">
        <v>4699.58</v>
      </c>
      <c r="P638" t="s">
        <v>2111</v>
      </c>
      <c r="Q638" t="s">
        <v>1809</v>
      </c>
    </row>
    <row r="639" spans="1:17" x14ac:dyDescent="0.3">
      <c r="A639" t="s">
        <v>2283</v>
      </c>
      <c r="B639" t="s">
        <v>2284</v>
      </c>
      <c r="C639" s="1">
        <v>46114</v>
      </c>
      <c r="D639" t="s">
        <v>34</v>
      </c>
      <c r="E639" t="s">
        <v>50</v>
      </c>
      <c r="F639" t="s">
        <v>31</v>
      </c>
      <c r="G639" t="s">
        <v>80</v>
      </c>
      <c r="H639" t="s">
        <v>81</v>
      </c>
      <c r="I639" t="s">
        <v>82</v>
      </c>
      <c r="J639">
        <v>4299</v>
      </c>
      <c r="K639">
        <v>4</v>
      </c>
      <c r="L639">
        <v>4420.76</v>
      </c>
      <c r="M639">
        <v>1768.3</v>
      </c>
      <c r="N639">
        <v>17683.04</v>
      </c>
      <c r="O639">
        <v>15914.74</v>
      </c>
      <c r="P639" t="s">
        <v>2111</v>
      </c>
      <c r="Q639" t="s">
        <v>1170</v>
      </c>
    </row>
    <row r="640" spans="1:17" x14ac:dyDescent="0.3">
      <c r="A640" t="s">
        <v>1485</v>
      </c>
      <c r="B640" t="s">
        <v>225</v>
      </c>
      <c r="C640" s="1">
        <v>46143</v>
      </c>
      <c r="D640" t="s">
        <v>63</v>
      </c>
      <c r="E640" t="s">
        <v>17</v>
      </c>
      <c r="F640" t="s">
        <v>74</v>
      </c>
      <c r="G640" t="s">
        <v>80</v>
      </c>
      <c r="H640" t="s">
        <v>81</v>
      </c>
      <c r="I640" t="s">
        <v>82</v>
      </c>
      <c r="J640">
        <v>4299</v>
      </c>
      <c r="K640">
        <v>1</v>
      </c>
      <c r="L640">
        <v>4049.22</v>
      </c>
      <c r="M640">
        <v>809.84</v>
      </c>
      <c r="N640">
        <v>4049.22</v>
      </c>
      <c r="O640">
        <v>3239.38</v>
      </c>
      <c r="P640" t="s">
        <v>2111</v>
      </c>
      <c r="Q640" t="s">
        <v>1479</v>
      </c>
    </row>
    <row r="641" spans="1:17" x14ac:dyDescent="0.3">
      <c r="A641" t="s">
        <v>1529</v>
      </c>
      <c r="B641" t="s">
        <v>1528</v>
      </c>
      <c r="C641" s="1">
        <v>46146</v>
      </c>
      <c r="D641" t="s">
        <v>26</v>
      </c>
      <c r="E641" t="s">
        <v>17</v>
      </c>
      <c r="F641" t="s">
        <v>74</v>
      </c>
      <c r="G641" t="s">
        <v>80</v>
      </c>
      <c r="H641" t="s">
        <v>81</v>
      </c>
      <c r="I641" t="s">
        <v>82</v>
      </c>
      <c r="J641">
        <v>4299</v>
      </c>
      <c r="K641">
        <v>3</v>
      </c>
      <c r="L641">
        <v>3895.24</v>
      </c>
      <c r="M641">
        <v>2921.43</v>
      </c>
      <c r="N641">
        <v>11685.72</v>
      </c>
      <c r="O641">
        <v>8764.2900000000009</v>
      </c>
      <c r="P641" t="s">
        <v>2111</v>
      </c>
      <c r="Q641" t="s">
        <v>1479</v>
      </c>
    </row>
    <row r="642" spans="1:17" x14ac:dyDescent="0.3">
      <c r="A642" t="s">
        <v>2510</v>
      </c>
      <c r="B642" t="s">
        <v>2511</v>
      </c>
      <c r="C642" s="1">
        <v>46192</v>
      </c>
      <c r="D642" t="s">
        <v>63</v>
      </c>
      <c r="E642" t="s">
        <v>50</v>
      </c>
      <c r="F642" t="s">
        <v>31</v>
      </c>
      <c r="G642" t="s">
        <v>56</v>
      </c>
      <c r="H642" t="s">
        <v>57</v>
      </c>
      <c r="I642" t="s">
        <v>58</v>
      </c>
      <c r="J642">
        <v>8999</v>
      </c>
      <c r="K642">
        <v>1</v>
      </c>
      <c r="L642">
        <v>8879.5300000000007</v>
      </c>
      <c r="M642">
        <v>0</v>
      </c>
      <c r="N642">
        <v>8879.5300000000007</v>
      </c>
      <c r="O642">
        <v>8879.5300000000007</v>
      </c>
      <c r="P642" t="s">
        <v>2111</v>
      </c>
      <c r="Q642" t="s">
        <v>1809</v>
      </c>
    </row>
    <row r="643" spans="1:17" x14ac:dyDescent="0.3">
      <c r="A643" t="s">
        <v>2512</v>
      </c>
      <c r="B643" t="s">
        <v>2513</v>
      </c>
      <c r="C643" s="1">
        <v>46150</v>
      </c>
      <c r="D643" t="s">
        <v>34</v>
      </c>
      <c r="E643" t="s">
        <v>50</v>
      </c>
      <c r="F643" t="s">
        <v>31</v>
      </c>
      <c r="G643" t="s">
        <v>112</v>
      </c>
      <c r="H643" t="s">
        <v>113</v>
      </c>
      <c r="I643" t="s">
        <v>37</v>
      </c>
      <c r="J643">
        <v>1499</v>
      </c>
      <c r="K643">
        <v>1</v>
      </c>
      <c r="L643">
        <v>1519.84</v>
      </c>
      <c r="M643">
        <v>75.989999999999995</v>
      </c>
      <c r="N643">
        <v>1519.84</v>
      </c>
      <c r="O643">
        <v>1443.85</v>
      </c>
      <c r="P643" t="s">
        <v>2111</v>
      </c>
      <c r="Q643" t="s">
        <v>1479</v>
      </c>
    </row>
    <row r="644" spans="1:17" x14ac:dyDescent="0.3">
      <c r="A644" t="s">
        <v>157</v>
      </c>
      <c r="B644" t="s">
        <v>156</v>
      </c>
      <c r="C644" s="1">
        <v>46028</v>
      </c>
      <c r="D644" t="s">
        <v>63</v>
      </c>
      <c r="E644" t="s">
        <v>17</v>
      </c>
      <c r="F644" t="s">
        <v>31</v>
      </c>
      <c r="G644" t="s">
        <v>56</v>
      </c>
      <c r="H644" t="s">
        <v>57</v>
      </c>
      <c r="I644" t="s">
        <v>58</v>
      </c>
      <c r="J644">
        <v>8999</v>
      </c>
      <c r="K644">
        <v>2</v>
      </c>
      <c r="L644">
        <v>9676.81</v>
      </c>
      <c r="M644">
        <v>4838.3999999999996</v>
      </c>
      <c r="N644">
        <v>19353.62</v>
      </c>
      <c r="O644">
        <v>14515.22</v>
      </c>
      <c r="P644" t="s">
        <v>2111</v>
      </c>
      <c r="Q644" t="s">
        <v>23</v>
      </c>
    </row>
    <row r="645" spans="1:17" x14ac:dyDescent="0.3">
      <c r="A645" t="s">
        <v>2514</v>
      </c>
      <c r="B645" t="s">
        <v>2515</v>
      </c>
      <c r="C645" s="1">
        <v>46085</v>
      </c>
      <c r="D645" t="s">
        <v>16</v>
      </c>
      <c r="E645" t="s">
        <v>17</v>
      </c>
      <c r="F645" t="s">
        <v>47</v>
      </c>
      <c r="G645" t="s">
        <v>149</v>
      </c>
      <c r="H645" t="s">
        <v>150</v>
      </c>
      <c r="I645" t="s">
        <v>37</v>
      </c>
      <c r="J645">
        <v>2999</v>
      </c>
      <c r="K645">
        <v>2</v>
      </c>
      <c r="L645">
        <v>3255.84</v>
      </c>
      <c r="M645">
        <v>1627.92</v>
      </c>
      <c r="N645">
        <v>6511.68</v>
      </c>
      <c r="O645">
        <v>4883.76</v>
      </c>
      <c r="P645" t="s">
        <v>2111</v>
      </c>
      <c r="Q645" t="s">
        <v>789</v>
      </c>
    </row>
    <row r="646" spans="1:17" x14ac:dyDescent="0.3">
      <c r="A646" t="s">
        <v>1776</v>
      </c>
      <c r="B646" t="s">
        <v>1775</v>
      </c>
      <c r="C646" s="1">
        <v>46170</v>
      </c>
      <c r="D646" t="s">
        <v>41</v>
      </c>
      <c r="E646" t="s">
        <v>50</v>
      </c>
      <c r="F646" t="s">
        <v>22</v>
      </c>
      <c r="G646" t="s">
        <v>56</v>
      </c>
      <c r="H646" t="s">
        <v>57</v>
      </c>
      <c r="I646" t="s">
        <v>58</v>
      </c>
      <c r="J646">
        <v>8999</v>
      </c>
      <c r="K646">
        <v>4</v>
      </c>
      <c r="L646">
        <v>9050.84</v>
      </c>
      <c r="M646">
        <v>0</v>
      </c>
      <c r="N646">
        <v>36203.360000000001</v>
      </c>
      <c r="O646">
        <v>36203.360000000001</v>
      </c>
      <c r="P646" t="s">
        <v>2111</v>
      </c>
      <c r="Q646" t="s">
        <v>1479</v>
      </c>
    </row>
    <row r="647" spans="1:17" x14ac:dyDescent="0.3">
      <c r="A647" t="s">
        <v>856</v>
      </c>
      <c r="B647" t="s">
        <v>855</v>
      </c>
      <c r="C647" s="1">
        <v>46086</v>
      </c>
      <c r="D647" t="s">
        <v>16</v>
      </c>
      <c r="E647" t="s">
        <v>50</v>
      </c>
      <c r="F647" t="s">
        <v>22</v>
      </c>
      <c r="G647" t="s">
        <v>160</v>
      </c>
      <c r="H647" t="s">
        <v>161</v>
      </c>
      <c r="I647" t="s">
        <v>82</v>
      </c>
      <c r="J647">
        <v>799</v>
      </c>
      <c r="K647">
        <v>1</v>
      </c>
      <c r="L647">
        <v>839.56</v>
      </c>
      <c r="M647">
        <v>0</v>
      </c>
      <c r="N647">
        <v>839.56</v>
      </c>
      <c r="O647">
        <v>839.56</v>
      </c>
      <c r="P647" t="s">
        <v>2111</v>
      </c>
      <c r="Q647" t="s">
        <v>789</v>
      </c>
    </row>
    <row r="648" spans="1:17" x14ac:dyDescent="0.3">
      <c r="A648" t="s">
        <v>2516</v>
      </c>
      <c r="B648" t="s">
        <v>2517</v>
      </c>
      <c r="C648" s="1">
        <v>46200</v>
      </c>
      <c r="D648" t="s">
        <v>34</v>
      </c>
      <c r="E648" t="s">
        <v>50</v>
      </c>
      <c r="F648" t="s">
        <v>22</v>
      </c>
      <c r="G648" t="s">
        <v>35</v>
      </c>
      <c r="H648" t="s">
        <v>36</v>
      </c>
      <c r="I648" t="s">
        <v>37</v>
      </c>
      <c r="J648">
        <v>799</v>
      </c>
      <c r="K648">
        <v>2</v>
      </c>
      <c r="L648">
        <v>789.3</v>
      </c>
      <c r="M648">
        <v>0</v>
      </c>
      <c r="N648">
        <v>1578.6</v>
      </c>
      <c r="O648">
        <v>1578.6</v>
      </c>
      <c r="P648" t="s">
        <v>2111</v>
      </c>
      <c r="Q648" t="s">
        <v>1809</v>
      </c>
    </row>
    <row r="649" spans="1:17" x14ac:dyDescent="0.3">
      <c r="A649" t="s">
        <v>1833</v>
      </c>
      <c r="B649" t="s">
        <v>1832</v>
      </c>
      <c r="C649" s="1">
        <v>46175</v>
      </c>
      <c r="D649" t="s">
        <v>26</v>
      </c>
      <c r="E649" t="s">
        <v>50</v>
      </c>
      <c r="F649" t="s">
        <v>60</v>
      </c>
      <c r="G649" t="s">
        <v>56</v>
      </c>
      <c r="H649" t="s">
        <v>57</v>
      </c>
      <c r="I649" t="s">
        <v>58</v>
      </c>
      <c r="J649">
        <v>8999</v>
      </c>
      <c r="K649">
        <v>1</v>
      </c>
      <c r="L649">
        <v>9441.9</v>
      </c>
      <c r="M649">
        <v>2360.48</v>
      </c>
      <c r="N649">
        <v>9441.9</v>
      </c>
      <c r="O649">
        <v>7081.42</v>
      </c>
      <c r="P649" t="s">
        <v>2111</v>
      </c>
      <c r="Q649" t="s">
        <v>1809</v>
      </c>
    </row>
    <row r="650" spans="1:17" x14ac:dyDescent="0.3">
      <c r="A650" t="s">
        <v>2518</v>
      </c>
      <c r="B650" t="s">
        <v>2519</v>
      </c>
      <c r="C650" s="1">
        <v>46171</v>
      </c>
      <c r="D650" t="s">
        <v>16</v>
      </c>
      <c r="E650" t="s">
        <v>17</v>
      </c>
      <c r="F650" t="s">
        <v>31</v>
      </c>
      <c r="G650" t="s">
        <v>106</v>
      </c>
      <c r="H650" t="s">
        <v>107</v>
      </c>
      <c r="I650" t="s">
        <v>108</v>
      </c>
      <c r="J650">
        <v>599</v>
      </c>
      <c r="K650">
        <v>1</v>
      </c>
      <c r="L650">
        <v>563.64</v>
      </c>
      <c r="M650">
        <v>0</v>
      </c>
      <c r="N650">
        <v>563.64</v>
      </c>
      <c r="O650">
        <v>563.64</v>
      </c>
      <c r="P650" t="s">
        <v>2111</v>
      </c>
      <c r="Q650" t="s">
        <v>1479</v>
      </c>
    </row>
    <row r="651" spans="1:17" x14ac:dyDescent="0.3">
      <c r="A651" t="s">
        <v>2520</v>
      </c>
      <c r="B651" t="s">
        <v>2521</v>
      </c>
      <c r="C651" s="1">
        <v>46048</v>
      </c>
      <c r="D651" t="s">
        <v>34</v>
      </c>
      <c r="E651" t="s">
        <v>50</v>
      </c>
      <c r="F651" t="s">
        <v>31</v>
      </c>
      <c r="G651" t="s">
        <v>27</v>
      </c>
      <c r="H651" t="s">
        <v>28</v>
      </c>
      <c r="I651" t="s">
        <v>29</v>
      </c>
      <c r="J651">
        <v>1599</v>
      </c>
      <c r="K651">
        <v>1</v>
      </c>
      <c r="L651">
        <v>1557.77</v>
      </c>
      <c r="M651">
        <v>155.78</v>
      </c>
      <c r="N651">
        <v>1557.77</v>
      </c>
      <c r="O651">
        <v>1401.99</v>
      </c>
      <c r="P651" t="s">
        <v>2111</v>
      </c>
      <c r="Q651" t="s">
        <v>23</v>
      </c>
    </row>
    <row r="652" spans="1:17" x14ac:dyDescent="0.3">
      <c r="A652" t="s">
        <v>2266</v>
      </c>
      <c r="B652" t="s">
        <v>1332</v>
      </c>
      <c r="C652" s="1">
        <v>46104</v>
      </c>
      <c r="D652" t="s">
        <v>26</v>
      </c>
      <c r="E652" t="s">
        <v>50</v>
      </c>
      <c r="F652" t="s">
        <v>74</v>
      </c>
      <c r="G652" t="s">
        <v>43</v>
      </c>
      <c r="H652" t="s">
        <v>44</v>
      </c>
      <c r="I652" t="s">
        <v>45</v>
      </c>
      <c r="J652">
        <v>3299</v>
      </c>
      <c r="K652">
        <v>4</v>
      </c>
      <c r="L652">
        <v>3387.56</v>
      </c>
      <c r="M652">
        <v>2710.05</v>
      </c>
      <c r="N652">
        <v>13550.24</v>
      </c>
      <c r="O652">
        <v>10840.19</v>
      </c>
      <c r="P652" t="s">
        <v>2111</v>
      </c>
      <c r="Q652" t="s">
        <v>789</v>
      </c>
    </row>
    <row r="653" spans="1:17" x14ac:dyDescent="0.3">
      <c r="A653" t="s">
        <v>2188</v>
      </c>
      <c r="B653" t="s">
        <v>2189</v>
      </c>
      <c r="C653" s="1">
        <v>46094</v>
      </c>
      <c r="D653" t="s">
        <v>34</v>
      </c>
      <c r="E653" t="s">
        <v>17</v>
      </c>
      <c r="F653" t="s">
        <v>74</v>
      </c>
      <c r="G653" t="s">
        <v>165</v>
      </c>
      <c r="H653" t="s">
        <v>166</v>
      </c>
      <c r="I653" t="s">
        <v>29</v>
      </c>
      <c r="J653">
        <v>449</v>
      </c>
      <c r="K653">
        <v>2</v>
      </c>
      <c r="L653">
        <v>405.73</v>
      </c>
      <c r="M653">
        <v>0</v>
      </c>
      <c r="N653">
        <v>811.46</v>
      </c>
      <c r="O653">
        <v>811.46</v>
      </c>
      <c r="P653" t="s">
        <v>2111</v>
      </c>
      <c r="Q653" t="s">
        <v>789</v>
      </c>
    </row>
    <row r="654" spans="1:17" x14ac:dyDescent="0.3">
      <c r="A654" t="s">
        <v>241</v>
      </c>
      <c r="B654" t="s">
        <v>240</v>
      </c>
      <c r="C654" s="1">
        <v>46034</v>
      </c>
      <c r="D654" t="s">
        <v>26</v>
      </c>
      <c r="E654" t="s">
        <v>17</v>
      </c>
      <c r="F654" t="s">
        <v>22</v>
      </c>
      <c r="G654" t="s">
        <v>106</v>
      </c>
      <c r="H654" t="s">
        <v>107</v>
      </c>
      <c r="I654" t="s">
        <v>108</v>
      </c>
      <c r="J654">
        <v>599</v>
      </c>
      <c r="K654">
        <v>2</v>
      </c>
      <c r="L654">
        <v>625.65</v>
      </c>
      <c r="M654">
        <v>125.13</v>
      </c>
      <c r="N654">
        <v>1251.3</v>
      </c>
      <c r="O654">
        <v>1126.17</v>
      </c>
      <c r="P654" t="s">
        <v>2111</v>
      </c>
      <c r="Q654" t="s">
        <v>23</v>
      </c>
    </row>
    <row r="655" spans="1:17" x14ac:dyDescent="0.3">
      <c r="A655" t="s">
        <v>734</v>
      </c>
      <c r="B655" t="s">
        <v>733</v>
      </c>
      <c r="C655" s="1">
        <v>46076</v>
      </c>
      <c r="D655" t="s">
        <v>41</v>
      </c>
      <c r="E655" t="s">
        <v>50</v>
      </c>
      <c r="F655" t="s">
        <v>47</v>
      </c>
      <c r="G655" t="s">
        <v>101</v>
      </c>
      <c r="H655" t="s">
        <v>102</v>
      </c>
      <c r="I655" t="s">
        <v>45</v>
      </c>
      <c r="J655">
        <v>4999</v>
      </c>
      <c r="K655">
        <v>1</v>
      </c>
      <c r="L655">
        <v>5334.47</v>
      </c>
      <c r="M655">
        <v>266.72000000000003</v>
      </c>
      <c r="N655">
        <v>5334.47</v>
      </c>
      <c r="O655">
        <v>5067.75</v>
      </c>
      <c r="P655" t="s">
        <v>2111</v>
      </c>
      <c r="Q655" t="s">
        <v>498</v>
      </c>
    </row>
    <row r="656" spans="1:17" x14ac:dyDescent="0.3">
      <c r="A656" t="s">
        <v>2386</v>
      </c>
      <c r="B656" t="s">
        <v>2387</v>
      </c>
      <c r="C656" s="1">
        <v>46082</v>
      </c>
      <c r="D656" t="s">
        <v>63</v>
      </c>
      <c r="E656" t="s">
        <v>50</v>
      </c>
      <c r="F656" t="s">
        <v>47</v>
      </c>
      <c r="G656" t="s">
        <v>35</v>
      </c>
      <c r="H656" t="s">
        <v>36</v>
      </c>
      <c r="I656" t="s">
        <v>37</v>
      </c>
      <c r="J656">
        <v>799</v>
      </c>
      <c r="K656">
        <v>1</v>
      </c>
      <c r="L656">
        <v>782.88</v>
      </c>
      <c r="M656">
        <v>156.58000000000001</v>
      </c>
      <c r="N656">
        <v>782.88</v>
      </c>
      <c r="O656">
        <v>626.29999999999995</v>
      </c>
      <c r="P656" t="s">
        <v>2111</v>
      </c>
      <c r="Q656" t="s">
        <v>789</v>
      </c>
    </row>
    <row r="657" spans="1:17" x14ac:dyDescent="0.3">
      <c r="A657" t="s">
        <v>2256</v>
      </c>
      <c r="B657" t="s">
        <v>2257</v>
      </c>
      <c r="C657" s="1">
        <v>46155</v>
      </c>
      <c r="D657" t="s">
        <v>63</v>
      </c>
      <c r="E657" t="s">
        <v>17</v>
      </c>
      <c r="F657" t="s">
        <v>74</v>
      </c>
      <c r="G657" t="s">
        <v>80</v>
      </c>
      <c r="H657" t="s">
        <v>81</v>
      </c>
      <c r="I657" t="s">
        <v>82</v>
      </c>
      <c r="J657">
        <v>4299</v>
      </c>
      <c r="K657">
        <v>1</v>
      </c>
      <c r="L657">
        <v>4254.24</v>
      </c>
      <c r="M657">
        <v>212.71</v>
      </c>
      <c r="N657">
        <v>4254.24</v>
      </c>
      <c r="O657">
        <v>4041.53</v>
      </c>
      <c r="P657" t="s">
        <v>2111</v>
      </c>
      <c r="Q657" t="s">
        <v>1479</v>
      </c>
    </row>
    <row r="658" spans="1:17" x14ac:dyDescent="0.3">
      <c r="A658" t="s">
        <v>883</v>
      </c>
      <c r="B658" t="s">
        <v>882</v>
      </c>
      <c r="C658" s="1">
        <v>46088</v>
      </c>
      <c r="D658" t="s">
        <v>16</v>
      </c>
      <c r="E658" t="s">
        <v>17</v>
      </c>
      <c r="F658" t="s">
        <v>47</v>
      </c>
      <c r="G658" t="s">
        <v>80</v>
      </c>
      <c r="H658" t="s">
        <v>81</v>
      </c>
      <c r="I658" t="s">
        <v>82</v>
      </c>
      <c r="J658">
        <v>4299</v>
      </c>
      <c r="K658">
        <v>1</v>
      </c>
      <c r="L658">
        <v>4601.03</v>
      </c>
      <c r="M658">
        <v>690.15</v>
      </c>
      <c r="N658">
        <v>4601.03</v>
      </c>
      <c r="O658">
        <v>3910.88</v>
      </c>
      <c r="P658" t="s">
        <v>2114</v>
      </c>
      <c r="Q658" t="s">
        <v>789</v>
      </c>
    </row>
    <row r="659" spans="1:17" x14ac:dyDescent="0.3">
      <c r="A659" t="s">
        <v>920</v>
      </c>
      <c r="B659" t="s">
        <v>919</v>
      </c>
      <c r="C659" s="1">
        <v>46091</v>
      </c>
      <c r="D659" t="s">
        <v>34</v>
      </c>
      <c r="E659" t="s">
        <v>50</v>
      </c>
      <c r="F659" t="s">
        <v>47</v>
      </c>
      <c r="G659" t="s">
        <v>80</v>
      </c>
      <c r="H659" t="s">
        <v>81</v>
      </c>
      <c r="I659" t="s">
        <v>82</v>
      </c>
      <c r="J659">
        <v>4299</v>
      </c>
      <c r="K659">
        <v>1</v>
      </c>
      <c r="L659">
        <v>4536.01</v>
      </c>
      <c r="M659">
        <v>680.4</v>
      </c>
      <c r="N659">
        <v>4536.01</v>
      </c>
      <c r="O659">
        <v>3855.61</v>
      </c>
      <c r="P659" t="s">
        <v>2111</v>
      </c>
      <c r="Q659" t="s">
        <v>789</v>
      </c>
    </row>
    <row r="660" spans="1:17" x14ac:dyDescent="0.3">
      <c r="A660" t="s">
        <v>2123</v>
      </c>
      <c r="B660" t="s">
        <v>2124</v>
      </c>
      <c r="C660" s="1">
        <v>46114</v>
      </c>
      <c r="D660" t="s">
        <v>41</v>
      </c>
      <c r="E660" t="s">
        <v>17</v>
      </c>
      <c r="F660" t="s">
        <v>74</v>
      </c>
      <c r="G660" t="s">
        <v>43</v>
      </c>
      <c r="H660" t="s">
        <v>44</v>
      </c>
      <c r="I660" t="s">
        <v>45</v>
      </c>
      <c r="J660">
        <v>3299</v>
      </c>
      <c r="K660">
        <v>2</v>
      </c>
      <c r="L660">
        <v>3159.22</v>
      </c>
      <c r="M660">
        <v>315.92</v>
      </c>
      <c r="N660">
        <v>6318.44</v>
      </c>
      <c r="O660">
        <v>6002.52</v>
      </c>
      <c r="P660" t="s">
        <v>2111</v>
      </c>
      <c r="Q660" t="s">
        <v>1170</v>
      </c>
    </row>
    <row r="661" spans="1:17" x14ac:dyDescent="0.3">
      <c r="A661" t="s">
        <v>1962</v>
      </c>
      <c r="B661" t="s">
        <v>557</v>
      </c>
      <c r="C661" s="1">
        <v>46190</v>
      </c>
      <c r="D661" t="s">
        <v>16</v>
      </c>
      <c r="E661" t="s">
        <v>17</v>
      </c>
      <c r="F661" t="s">
        <v>22</v>
      </c>
      <c r="G661" t="s">
        <v>250</v>
      </c>
      <c r="H661" t="s">
        <v>251</v>
      </c>
      <c r="I661" t="s">
        <v>108</v>
      </c>
      <c r="J661">
        <v>899</v>
      </c>
      <c r="K661">
        <v>1</v>
      </c>
      <c r="L661">
        <v>867.35</v>
      </c>
      <c r="M661">
        <v>0</v>
      </c>
      <c r="N661">
        <v>867.35</v>
      </c>
      <c r="O661">
        <v>867.35</v>
      </c>
      <c r="P661" t="s">
        <v>2111</v>
      </c>
      <c r="Q661" t="s">
        <v>1809</v>
      </c>
    </row>
    <row r="662" spans="1:17" x14ac:dyDescent="0.3">
      <c r="A662" t="s">
        <v>2388</v>
      </c>
      <c r="B662" t="s">
        <v>725</v>
      </c>
      <c r="C662" s="1">
        <v>46074</v>
      </c>
      <c r="D662" t="s">
        <v>16</v>
      </c>
      <c r="E662" t="s">
        <v>17</v>
      </c>
      <c r="F662" t="s">
        <v>47</v>
      </c>
      <c r="G662" t="s">
        <v>18</v>
      </c>
      <c r="H662" t="s">
        <v>19</v>
      </c>
      <c r="I662" t="s">
        <v>20</v>
      </c>
      <c r="J662">
        <v>2799</v>
      </c>
      <c r="K662">
        <v>1</v>
      </c>
      <c r="L662">
        <v>2899.14</v>
      </c>
      <c r="M662">
        <v>289.91000000000003</v>
      </c>
      <c r="N662">
        <v>2899.14</v>
      </c>
      <c r="O662">
        <v>2609.23</v>
      </c>
      <c r="P662" t="s">
        <v>2111</v>
      </c>
      <c r="Q662" t="s">
        <v>498</v>
      </c>
    </row>
    <row r="663" spans="1:17" x14ac:dyDescent="0.3">
      <c r="A663" t="s">
        <v>982</v>
      </c>
      <c r="B663" t="s">
        <v>981</v>
      </c>
      <c r="C663" s="1">
        <v>46096</v>
      </c>
      <c r="D663" t="s">
        <v>34</v>
      </c>
      <c r="E663" t="s">
        <v>17</v>
      </c>
      <c r="F663" t="s">
        <v>60</v>
      </c>
      <c r="G663" t="s">
        <v>80</v>
      </c>
      <c r="H663" t="s">
        <v>81</v>
      </c>
      <c r="I663" t="s">
        <v>82</v>
      </c>
      <c r="J663">
        <v>4299</v>
      </c>
      <c r="K663">
        <v>1</v>
      </c>
      <c r="L663">
        <v>4353.34</v>
      </c>
      <c r="M663">
        <v>217.67</v>
      </c>
      <c r="N663">
        <v>4353.34</v>
      </c>
      <c r="O663">
        <v>4135.67</v>
      </c>
      <c r="P663" t="s">
        <v>2111</v>
      </c>
      <c r="Q663" t="s">
        <v>789</v>
      </c>
    </row>
    <row r="664" spans="1:17" x14ac:dyDescent="0.3">
      <c r="A664" t="s">
        <v>2021</v>
      </c>
      <c r="B664" t="s">
        <v>346</v>
      </c>
      <c r="C664" s="1">
        <v>46196</v>
      </c>
      <c r="D664" t="s">
        <v>63</v>
      </c>
      <c r="E664" t="s">
        <v>17</v>
      </c>
      <c r="F664" t="s">
        <v>60</v>
      </c>
      <c r="G664" t="s">
        <v>56</v>
      </c>
      <c r="H664" t="s">
        <v>57</v>
      </c>
      <c r="I664" t="s">
        <v>58</v>
      </c>
      <c r="J664">
        <v>8999</v>
      </c>
      <c r="K664">
        <v>1</v>
      </c>
      <c r="L664">
        <v>8391.08</v>
      </c>
      <c r="M664">
        <v>1258.6600000000001</v>
      </c>
      <c r="N664">
        <v>8391.08</v>
      </c>
      <c r="O664">
        <v>7132.42</v>
      </c>
      <c r="P664" t="s">
        <v>2111</v>
      </c>
      <c r="Q664" t="s">
        <v>1809</v>
      </c>
    </row>
    <row r="665" spans="1:17" x14ac:dyDescent="0.3">
      <c r="A665" t="s">
        <v>151</v>
      </c>
      <c r="B665" t="s">
        <v>148</v>
      </c>
      <c r="C665" s="1">
        <v>46028</v>
      </c>
      <c r="D665" t="s">
        <v>41</v>
      </c>
      <c r="E665" t="s">
        <v>17</v>
      </c>
      <c r="F665" t="s">
        <v>31</v>
      </c>
      <c r="G665" t="s">
        <v>18</v>
      </c>
      <c r="H665" t="s">
        <v>19</v>
      </c>
      <c r="I665" t="s">
        <v>20</v>
      </c>
      <c r="J665">
        <v>2799</v>
      </c>
      <c r="K665">
        <v>1</v>
      </c>
      <c r="L665">
        <v>2692.6</v>
      </c>
      <c r="M665">
        <v>403.89</v>
      </c>
      <c r="N665">
        <v>2692.6</v>
      </c>
      <c r="O665">
        <v>2288.71</v>
      </c>
      <c r="P665" t="s">
        <v>2111</v>
      </c>
      <c r="Q665" t="s">
        <v>23</v>
      </c>
    </row>
    <row r="666" spans="1:17" x14ac:dyDescent="0.3">
      <c r="A666" t="s">
        <v>422</v>
      </c>
      <c r="B666" t="s">
        <v>421</v>
      </c>
      <c r="C666" s="1">
        <v>46047</v>
      </c>
      <c r="D666" t="s">
        <v>34</v>
      </c>
      <c r="E666" t="s">
        <v>17</v>
      </c>
      <c r="F666" t="s">
        <v>31</v>
      </c>
      <c r="G666" t="s">
        <v>56</v>
      </c>
      <c r="H666" t="s">
        <v>57</v>
      </c>
      <c r="I666" t="s">
        <v>58</v>
      </c>
      <c r="J666">
        <v>8999</v>
      </c>
      <c r="K666">
        <v>3</v>
      </c>
      <c r="L666">
        <v>9718.89</v>
      </c>
      <c r="M666">
        <v>2915.67</v>
      </c>
      <c r="N666">
        <v>29156.67</v>
      </c>
      <c r="O666">
        <v>26241</v>
      </c>
      <c r="P666" t="s">
        <v>2111</v>
      </c>
      <c r="Q666" t="s">
        <v>23</v>
      </c>
    </row>
    <row r="667" spans="1:17" x14ac:dyDescent="0.3">
      <c r="A667" t="s">
        <v>1483</v>
      </c>
      <c r="B667" t="s">
        <v>876</v>
      </c>
      <c r="C667" s="1">
        <v>46143</v>
      </c>
      <c r="D667" t="s">
        <v>16</v>
      </c>
      <c r="E667" t="s">
        <v>50</v>
      </c>
      <c r="F667" t="s">
        <v>47</v>
      </c>
      <c r="G667" t="s">
        <v>56</v>
      </c>
      <c r="H667" t="s">
        <v>57</v>
      </c>
      <c r="I667" t="s">
        <v>58</v>
      </c>
      <c r="J667">
        <v>8999</v>
      </c>
      <c r="K667">
        <v>2</v>
      </c>
      <c r="L667">
        <v>9337.68</v>
      </c>
      <c r="M667">
        <v>1867.54</v>
      </c>
      <c r="N667">
        <v>18675.36</v>
      </c>
      <c r="O667">
        <v>16807.82</v>
      </c>
      <c r="P667" t="s">
        <v>2111</v>
      </c>
      <c r="Q667" t="s">
        <v>1479</v>
      </c>
    </row>
    <row r="668" spans="1:17" x14ac:dyDescent="0.3">
      <c r="A668" t="s">
        <v>2522</v>
      </c>
      <c r="B668" t="s">
        <v>1819</v>
      </c>
      <c r="C668" s="1">
        <v>46066</v>
      </c>
      <c r="D668" t="s">
        <v>63</v>
      </c>
      <c r="E668" t="s">
        <v>50</v>
      </c>
      <c r="F668" t="s">
        <v>74</v>
      </c>
      <c r="G668" t="s">
        <v>149</v>
      </c>
      <c r="H668" t="s">
        <v>150</v>
      </c>
      <c r="I668" t="s">
        <v>37</v>
      </c>
      <c r="J668">
        <v>2999</v>
      </c>
      <c r="K668">
        <v>2</v>
      </c>
      <c r="L668">
        <v>3290.49</v>
      </c>
      <c r="M668">
        <v>658.1</v>
      </c>
      <c r="N668">
        <v>6580.98</v>
      </c>
      <c r="O668">
        <v>5922.88</v>
      </c>
      <c r="P668" t="s">
        <v>2111</v>
      </c>
      <c r="Q668" t="s">
        <v>498</v>
      </c>
    </row>
    <row r="669" spans="1:17" x14ac:dyDescent="0.3">
      <c r="A669" t="s">
        <v>1247</v>
      </c>
      <c r="B669" t="s">
        <v>987</v>
      </c>
      <c r="C669" s="1">
        <v>46121</v>
      </c>
      <c r="D669" t="s">
        <v>41</v>
      </c>
      <c r="E669" t="s">
        <v>17</v>
      </c>
      <c r="F669" t="s">
        <v>31</v>
      </c>
      <c r="G669" t="s">
        <v>91</v>
      </c>
      <c r="H669" t="s">
        <v>92</v>
      </c>
      <c r="I669" t="s">
        <v>37</v>
      </c>
      <c r="J669">
        <v>1899</v>
      </c>
      <c r="K669">
        <v>1</v>
      </c>
      <c r="L669">
        <v>2000.41</v>
      </c>
      <c r="M669">
        <v>300.06</v>
      </c>
      <c r="N669">
        <v>2000.41</v>
      </c>
      <c r="O669">
        <v>1700.35</v>
      </c>
      <c r="P669" t="s">
        <v>2111</v>
      </c>
      <c r="Q669" t="s">
        <v>1170</v>
      </c>
    </row>
    <row r="670" spans="1:17" x14ac:dyDescent="0.3">
      <c r="A670" t="s">
        <v>2064</v>
      </c>
      <c r="B670" t="s">
        <v>2063</v>
      </c>
      <c r="C670" s="1">
        <v>46200</v>
      </c>
      <c r="D670" t="s">
        <v>41</v>
      </c>
      <c r="E670" t="s">
        <v>50</v>
      </c>
      <c r="F670" t="s">
        <v>60</v>
      </c>
      <c r="G670" t="s">
        <v>106</v>
      </c>
      <c r="H670" t="s">
        <v>107</v>
      </c>
      <c r="I670" t="s">
        <v>108</v>
      </c>
      <c r="J670">
        <v>599</v>
      </c>
      <c r="K670">
        <v>1</v>
      </c>
      <c r="L670">
        <v>651.95000000000005</v>
      </c>
      <c r="M670">
        <v>65.2</v>
      </c>
      <c r="N670">
        <v>651.95000000000005</v>
      </c>
      <c r="O670">
        <v>586.75</v>
      </c>
      <c r="P670" t="s">
        <v>2111</v>
      </c>
      <c r="Q670" t="s">
        <v>1809</v>
      </c>
    </row>
    <row r="671" spans="1:17" x14ac:dyDescent="0.3">
      <c r="A671" t="s">
        <v>1250</v>
      </c>
      <c r="B671" t="s">
        <v>1249</v>
      </c>
      <c r="C671" s="1">
        <v>46121</v>
      </c>
      <c r="D671" t="s">
        <v>34</v>
      </c>
      <c r="E671" t="s">
        <v>17</v>
      </c>
      <c r="F671" t="s">
        <v>74</v>
      </c>
      <c r="G671" t="s">
        <v>86</v>
      </c>
      <c r="H671" t="s">
        <v>87</v>
      </c>
      <c r="I671" t="s">
        <v>82</v>
      </c>
      <c r="J671">
        <v>3499</v>
      </c>
      <c r="K671">
        <v>1</v>
      </c>
      <c r="L671">
        <v>3300.39</v>
      </c>
      <c r="M671">
        <v>165.02</v>
      </c>
      <c r="N671">
        <v>3300.39</v>
      </c>
      <c r="O671">
        <v>3135.37</v>
      </c>
      <c r="P671" t="s">
        <v>2111</v>
      </c>
      <c r="Q671" t="s">
        <v>1170</v>
      </c>
    </row>
    <row r="672" spans="1:17" x14ac:dyDescent="0.3">
      <c r="A672" t="s">
        <v>38</v>
      </c>
      <c r="B672" t="s">
        <v>33</v>
      </c>
      <c r="C672" s="1">
        <v>46023</v>
      </c>
      <c r="D672" t="s">
        <v>34</v>
      </c>
      <c r="E672" t="s">
        <v>50</v>
      </c>
      <c r="F672" t="s">
        <v>74</v>
      </c>
      <c r="G672" t="s">
        <v>106</v>
      </c>
      <c r="H672" t="s">
        <v>107</v>
      </c>
      <c r="I672" t="s">
        <v>108</v>
      </c>
      <c r="J672">
        <v>599</v>
      </c>
      <c r="K672">
        <v>3</v>
      </c>
      <c r="L672">
        <v>631.52</v>
      </c>
      <c r="M672">
        <v>94.73</v>
      </c>
      <c r="N672">
        <v>1894.56</v>
      </c>
      <c r="O672">
        <v>1799.83</v>
      </c>
      <c r="P672" t="s">
        <v>2111</v>
      </c>
      <c r="Q672" t="s">
        <v>23</v>
      </c>
    </row>
    <row r="673" spans="1:17" x14ac:dyDescent="0.3">
      <c r="A673" t="s">
        <v>1574</v>
      </c>
      <c r="B673" t="s">
        <v>1573</v>
      </c>
      <c r="C673" s="1">
        <v>46151</v>
      </c>
      <c r="D673" t="s">
        <v>16</v>
      </c>
      <c r="E673" t="s">
        <v>50</v>
      </c>
      <c r="F673" t="s">
        <v>74</v>
      </c>
      <c r="G673" t="s">
        <v>96</v>
      </c>
      <c r="H673" t="s">
        <v>97</v>
      </c>
      <c r="I673" t="s">
        <v>58</v>
      </c>
      <c r="J673">
        <v>7499</v>
      </c>
      <c r="K673">
        <v>2</v>
      </c>
      <c r="L673">
        <v>6779.42</v>
      </c>
      <c r="M673">
        <v>1355.88</v>
      </c>
      <c r="N673">
        <v>13558.84</v>
      </c>
      <c r="O673">
        <v>12202.96</v>
      </c>
      <c r="P673" t="s">
        <v>2111</v>
      </c>
      <c r="Q673" t="s">
        <v>1479</v>
      </c>
    </row>
    <row r="674" spans="1:17" x14ac:dyDescent="0.3">
      <c r="A674" t="s">
        <v>1502</v>
      </c>
      <c r="B674" t="s">
        <v>317</v>
      </c>
      <c r="C674" s="1">
        <v>46145</v>
      </c>
      <c r="D674" t="s">
        <v>16</v>
      </c>
      <c r="E674" t="s">
        <v>17</v>
      </c>
      <c r="F674" t="s">
        <v>22</v>
      </c>
      <c r="G674" t="s">
        <v>86</v>
      </c>
      <c r="H674" t="s">
        <v>87</v>
      </c>
      <c r="I674" t="s">
        <v>82</v>
      </c>
      <c r="J674">
        <v>3499</v>
      </c>
      <c r="K674">
        <v>1</v>
      </c>
      <c r="L674">
        <v>3618.5</v>
      </c>
      <c r="M674">
        <v>361.85</v>
      </c>
      <c r="N674">
        <v>3618.5</v>
      </c>
      <c r="O674">
        <v>3256.65</v>
      </c>
      <c r="P674" t="s">
        <v>2111</v>
      </c>
      <c r="Q674" t="s">
        <v>1479</v>
      </c>
    </row>
    <row r="675" spans="1:17" x14ac:dyDescent="0.3">
      <c r="A675" t="s">
        <v>2523</v>
      </c>
      <c r="B675" t="s">
        <v>1749</v>
      </c>
      <c r="C675" s="1">
        <v>46151</v>
      </c>
      <c r="D675" t="s">
        <v>16</v>
      </c>
      <c r="E675" t="s">
        <v>17</v>
      </c>
      <c r="F675" t="s">
        <v>74</v>
      </c>
      <c r="G675" t="s">
        <v>126</v>
      </c>
      <c r="H675" t="s">
        <v>127</v>
      </c>
      <c r="I675" t="s">
        <v>45</v>
      </c>
      <c r="J675">
        <v>2499</v>
      </c>
      <c r="K675">
        <v>1</v>
      </c>
      <c r="L675">
        <v>2483.65</v>
      </c>
      <c r="M675">
        <v>248.36</v>
      </c>
      <c r="N675">
        <v>2483.65</v>
      </c>
      <c r="O675">
        <v>2235.29</v>
      </c>
      <c r="P675" t="s">
        <v>2111</v>
      </c>
      <c r="Q675" t="s">
        <v>1479</v>
      </c>
    </row>
    <row r="676" spans="1:17" x14ac:dyDescent="0.3">
      <c r="A676" t="s">
        <v>220</v>
      </c>
      <c r="B676" t="s">
        <v>219</v>
      </c>
      <c r="C676" s="1">
        <v>46032</v>
      </c>
      <c r="D676" t="s">
        <v>41</v>
      </c>
      <c r="E676" t="s">
        <v>42</v>
      </c>
      <c r="F676" t="s">
        <v>47</v>
      </c>
      <c r="G676" t="s">
        <v>149</v>
      </c>
      <c r="H676" t="s">
        <v>150</v>
      </c>
      <c r="I676" t="s">
        <v>37</v>
      </c>
      <c r="J676">
        <v>2999</v>
      </c>
      <c r="K676">
        <v>1</v>
      </c>
      <c r="L676">
        <v>2907.09</v>
      </c>
      <c r="M676">
        <v>0</v>
      </c>
      <c r="N676">
        <v>2907.09</v>
      </c>
      <c r="O676">
        <v>2907.09</v>
      </c>
      <c r="P676" t="s">
        <v>2111</v>
      </c>
      <c r="Q676" t="s">
        <v>23</v>
      </c>
    </row>
    <row r="677" spans="1:17" x14ac:dyDescent="0.3">
      <c r="A677" t="s">
        <v>1635</v>
      </c>
      <c r="B677" t="s">
        <v>1634</v>
      </c>
      <c r="C677" s="1">
        <v>46155</v>
      </c>
      <c r="D677" t="s">
        <v>34</v>
      </c>
      <c r="E677" t="s">
        <v>50</v>
      </c>
      <c r="F677" t="s">
        <v>60</v>
      </c>
      <c r="G677" t="s">
        <v>126</v>
      </c>
      <c r="H677" t="s">
        <v>127</v>
      </c>
      <c r="I677" t="s">
        <v>45</v>
      </c>
      <c r="J677">
        <v>2499</v>
      </c>
      <c r="K677">
        <v>2</v>
      </c>
      <c r="L677">
        <v>2680.13</v>
      </c>
      <c r="M677">
        <v>804.04</v>
      </c>
      <c r="N677">
        <v>5360.26</v>
      </c>
      <c r="O677">
        <v>4556.22</v>
      </c>
      <c r="P677" t="s">
        <v>2111</v>
      </c>
      <c r="Q677" t="s">
        <v>1479</v>
      </c>
    </row>
    <row r="678" spans="1:17" x14ac:dyDescent="0.3">
      <c r="A678" t="s">
        <v>2434</v>
      </c>
      <c r="B678" t="s">
        <v>2435</v>
      </c>
      <c r="C678" s="1">
        <v>46087</v>
      </c>
      <c r="D678" t="s">
        <v>41</v>
      </c>
      <c r="E678" t="s">
        <v>17</v>
      </c>
      <c r="F678" t="s">
        <v>31</v>
      </c>
      <c r="G678" t="s">
        <v>51</v>
      </c>
      <c r="H678" t="s">
        <v>52</v>
      </c>
      <c r="I678" t="s">
        <v>20</v>
      </c>
      <c r="J678">
        <v>999</v>
      </c>
      <c r="K678">
        <v>3</v>
      </c>
      <c r="L678">
        <v>1069.78</v>
      </c>
      <c r="M678">
        <v>160.47</v>
      </c>
      <c r="N678">
        <v>3209.34</v>
      </c>
      <c r="O678">
        <v>3048.87</v>
      </c>
      <c r="P678" t="s">
        <v>2111</v>
      </c>
      <c r="Q678" t="s">
        <v>789</v>
      </c>
    </row>
    <row r="679" spans="1:17" x14ac:dyDescent="0.3">
      <c r="A679" t="s">
        <v>1954</v>
      </c>
      <c r="B679" t="s">
        <v>1953</v>
      </c>
      <c r="C679" s="1">
        <v>46188</v>
      </c>
      <c r="D679" t="s">
        <v>16</v>
      </c>
      <c r="E679" t="s">
        <v>50</v>
      </c>
      <c r="F679" t="s">
        <v>60</v>
      </c>
      <c r="G679" t="s">
        <v>126</v>
      </c>
      <c r="H679" t="s">
        <v>127</v>
      </c>
      <c r="I679" t="s">
        <v>45</v>
      </c>
      <c r="J679">
        <v>2499</v>
      </c>
      <c r="K679">
        <v>1</v>
      </c>
      <c r="L679">
        <v>2260.25</v>
      </c>
      <c r="M679">
        <v>0</v>
      </c>
      <c r="N679">
        <v>2260.25</v>
      </c>
      <c r="O679">
        <v>2260.25</v>
      </c>
      <c r="P679" t="s">
        <v>2111</v>
      </c>
      <c r="Q679" t="s">
        <v>1809</v>
      </c>
    </row>
    <row r="680" spans="1:17" x14ac:dyDescent="0.3">
      <c r="A680" t="s">
        <v>2524</v>
      </c>
      <c r="B680" t="s">
        <v>2525</v>
      </c>
      <c r="C680" s="1">
        <v>46064</v>
      </c>
      <c r="D680" t="s">
        <v>41</v>
      </c>
      <c r="E680" t="s">
        <v>17</v>
      </c>
      <c r="F680" t="s">
        <v>31</v>
      </c>
      <c r="G680" t="s">
        <v>126</v>
      </c>
      <c r="H680" t="s">
        <v>127</v>
      </c>
      <c r="I680" t="s">
        <v>45</v>
      </c>
      <c r="J680">
        <v>2499</v>
      </c>
      <c r="K680">
        <v>1</v>
      </c>
      <c r="L680">
        <v>2553.73</v>
      </c>
      <c r="M680">
        <v>255.37</v>
      </c>
      <c r="N680">
        <v>2553.73</v>
      </c>
      <c r="O680">
        <v>2298.36</v>
      </c>
      <c r="P680" t="s">
        <v>2111</v>
      </c>
      <c r="Q680" t="s">
        <v>498</v>
      </c>
    </row>
    <row r="681" spans="1:17" x14ac:dyDescent="0.3">
      <c r="A681" t="s">
        <v>886</v>
      </c>
      <c r="B681" t="s">
        <v>885</v>
      </c>
      <c r="C681" s="1">
        <v>46088</v>
      </c>
      <c r="D681" t="s">
        <v>16</v>
      </c>
      <c r="E681" t="s">
        <v>50</v>
      </c>
      <c r="F681" t="s">
        <v>22</v>
      </c>
      <c r="G681" t="s">
        <v>250</v>
      </c>
      <c r="H681" t="s">
        <v>251</v>
      </c>
      <c r="I681" t="s">
        <v>108</v>
      </c>
      <c r="J681">
        <v>899</v>
      </c>
      <c r="K681">
        <v>1</v>
      </c>
      <c r="L681">
        <v>875.24</v>
      </c>
      <c r="M681">
        <v>43.76</v>
      </c>
      <c r="N681">
        <v>875.24</v>
      </c>
      <c r="O681">
        <v>831.48</v>
      </c>
      <c r="P681" t="s">
        <v>2111</v>
      </c>
      <c r="Q681" t="s">
        <v>789</v>
      </c>
    </row>
    <row r="682" spans="1:17" x14ac:dyDescent="0.3">
      <c r="A682" t="s">
        <v>2078</v>
      </c>
      <c r="B682" t="s">
        <v>1674</v>
      </c>
      <c r="C682" s="1">
        <v>46201</v>
      </c>
      <c r="D682" t="s">
        <v>26</v>
      </c>
      <c r="E682" t="s">
        <v>17</v>
      </c>
      <c r="F682" t="s">
        <v>60</v>
      </c>
      <c r="G682" t="s">
        <v>160</v>
      </c>
      <c r="H682" t="s">
        <v>161</v>
      </c>
      <c r="I682" t="s">
        <v>82</v>
      </c>
      <c r="J682">
        <v>799</v>
      </c>
      <c r="K682">
        <v>1</v>
      </c>
      <c r="L682">
        <v>785.52</v>
      </c>
      <c r="M682">
        <v>78.55</v>
      </c>
      <c r="N682">
        <v>785.52</v>
      </c>
      <c r="O682">
        <v>706.97</v>
      </c>
      <c r="P682" t="s">
        <v>2111</v>
      </c>
      <c r="Q682" t="s">
        <v>1809</v>
      </c>
    </row>
    <row r="683" spans="1:17" x14ac:dyDescent="0.3">
      <c r="A683" t="s">
        <v>2526</v>
      </c>
      <c r="B683" t="s">
        <v>2527</v>
      </c>
      <c r="C683" s="1">
        <v>46156</v>
      </c>
      <c r="D683" t="s">
        <v>16</v>
      </c>
      <c r="E683" t="s">
        <v>17</v>
      </c>
      <c r="F683" t="s">
        <v>74</v>
      </c>
      <c r="G683" t="s">
        <v>80</v>
      </c>
      <c r="H683" t="s">
        <v>81</v>
      </c>
      <c r="I683" t="s">
        <v>82</v>
      </c>
      <c r="J683">
        <v>4299</v>
      </c>
      <c r="K683">
        <v>1</v>
      </c>
      <c r="L683">
        <v>4584.49</v>
      </c>
      <c r="M683">
        <v>229.22</v>
      </c>
      <c r="N683">
        <v>4584.49</v>
      </c>
      <c r="O683">
        <v>4355.2700000000004</v>
      </c>
      <c r="P683" t="s">
        <v>2111</v>
      </c>
      <c r="Q683" t="s">
        <v>1479</v>
      </c>
    </row>
    <row r="684" spans="1:17" x14ac:dyDescent="0.3">
      <c r="A684" t="s">
        <v>2528</v>
      </c>
      <c r="B684" t="s">
        <v>2529</v>
      </c>
      <c r="C684" s="1">
        <v>46069</v>
      </c>
      <c r="D684" t="s">
        <v>16</v>
      </c>
      <c r="E684" t="s">
        <v>50</v>
      </c>
      <c r="F684" t="s">
        <v>74</v>
      </c>
      <c r="G684" t="s">
        <v>27</v>
      </c>
      <c r="H684" t="s">
        <v>28</v>
      </c>
      <c r="I684" t="s">
        <v>29</v>
      </c>
      <c r="J684">
        <v>1599</v>
      </c>
      <c r="K684">
        <v>1</v>
      </c>
      <c r="L684">
        <v>1538.19</v>
      </c>
      <c r="M684">
        <v>153.82</v>
      </c>
      <c r="N684">
        <v>1538.19</v>
      </c>
      <c r="O684">
        <v>1384.37</v>
      </c>
      <c r="P684" t="s">
        <v>2114</v>
      </c>
      <c r="Q684" t="s">
        <v>498</v>
      </c>
    </row>
    <row r="685" spans="1:17" x14ac:dyDescent="0.3">
      <c r="A685" t="s">
        <v>2204</v>
      </c>
      <c r="B685" t="s">
        <v>957</v>
      </c>
      <c r="C685" s="1">
        <v>46077</v>
      </c>
      <c r="D685" t="s">
        <v>41</v>
      </c>
      <c r="E685" t="s">
        <v>17</v>
      </c>
      <c r="F685" t="s">
        <v>22</v>
      </c>
      <c r="G685" t="s">
        <v>86</v>
      </c>
      <c r="H685" t="s">
        <v>87</v>
      </c>
      <c r="I685" t="s">
        <v>82</v>
      </c>
      <c r="J685">
        <v>3499</v>
      </c>
      <c r="K685">
        <v>2</v>
      </c>
      <c r="L685">
        <v>3809.05</v>
      </c>
      <c r="M685">
        <v>761.81</v>
      </c>
      <c r="N685">
        <v>7618.1</v>
      </c>
      <c r="O685">
        <v>6856.29</v>
      </c>
      <c r="P685" t="s">
        <v>2111</v>
      </c>
      <c r="Q685" t="s">
        <v>498</v>
      </c>
    </row>
    <row r="686" spans="1:17" x14ac:dyDescent="0.3">
      <c r="A686" t="s">
        <v>2530</v>
      </c>
      <c r="B686" t="s">
        <v>2210</v>
      </c>
      <c r="C686" s="1">
        <v>46169</v>
      </c>
      <c r="D686" t="s">
        <v>34</v>
      </c>
      <c r="E686" t="s">
        <v>17</v>
      </c>
      <c r="F686" t="s">
        <v>31</v>
      </c>
      <c r="G686" t="s">
        <v>191</v>
      </c>
      <c r="H686" t="s">
        <v>192</v>
      </c>
      <c r="I686" t="s">
        <v>45</v>
      </c>
      <c r="J686">
        <v>699</v>
      </c>
      <c r="K686">
        <v>2</v>
      </c>
      <c r="L686">
        <v>654.21</v>
      </c>
      <c r="M686">
        <v>65.42</v>
      </c>
      <c r="N686">
        <v>1308.42</v>
      </c>
      <c r="O686">
        <v>1243</v>
      </c>
      <c r="P686" t="s">
        <v>2111</v>
      </c>
      <c r="Q686" t="s">
        <v>1479</v>
      </c>
    </row>
    <row r="687" spans="1:17" x14ac:dyDescent="0.3">
      <c r="A687" t="s">
        <v>1115</v>
      </c>
      <c r="B687" t="s">
        <v>1114</v>
      </c>
      <c r="C687" s="1">
        <v>46107</v>
      </c>
      <c r="D687" t="s">
        <v>41</v>
      </c>
      <c r="E687" t="s">
        <v>50</v>
      </c>
      <c r="F687" t="s">
        <v>31</v>
      </c>
      <c r="G687" t="s">
        <v>96</v>
      </c>
      <c r="H687" t="s">
        <v>97</v>
      </c>
      <c r="I687" t="s">
        <v>58</v>
      </c>
      <c r="J687">
        <v>7499</v>
      </c>
      <c r="K687">
        <v>1</v>
      </c>
      <c r="L687">
        <v>7743.05</v>
      </c>
      <c r="M687">
        <v>0</v>
      </c>
      <c r="N687">
        <v>7743.05</v>
      </c>
      <c r="O687">
        <v>7743.05</v>
      </c>
      <c r="P687" t="s">
        <v>2111</v>
      </c>
      <c r="Q687" t="s">
        <v>789</v>
      </c>
    </row>
    <row r="688" spans="1:17" x14ac:dyDescent="0.3">
      <c r="A688" t="s">
        <v>1370</v>
      </c>
      <c r="B688" t="s">
        <v>1369</v>
      </c>
      <c r="C688" s="1">
        <v>46134</v>
      </c>
      <c r="D688" t="s">
        <v>34</v>
      </c>
      <c r="E688" t="s">
        <v>50</v>
      </c>
      <c r="F688" t="s">
        <v>22</v>
      </c>
      <c r="G688" t="s">
        <v>91</v>
      </c>
      <c r="H688" t="s">
        <v>92</v>
      </c>
      <c r="I688" t="s">
        <v>37</v>
      </c>
      <c r="J688">
        <v>1899</v>
      </c>
      <c r="K688">
        <v>2</v>
      </c>
      <c r="L688">
        <v>1964.37</v>
      </c>
      <c r="M688">
        <v>785.75</v>
      </c>
      <c r="N688">
        <v>3928.74</v>
      </c>
      <c r="O688">
        <v>3142.99</v>
      </c>
      <c r="P688" t="s">
        <v>2111</v>
      </c>
      <c r="Q688" t="s">
        <v>1170</v>
      </c>
    </row>
    <row r="689" spans="1:17" x14ac:dyDescent="0.3">
      <c r="A689" t="s">
        <v>2531</v>
      </c>
      <c r="B689" t="s">
        <v>2532</v>
      </c>
      <c r="C689" s="1">
        <v>46182</v>
      </c>
      <c r="D689" t="s">
        <v>63</v>
      </c>
      <c r="E689" t="s">
        <v>17</v>
      </c>
      <c r="F689" t="s">
        <v>22</v>
      </c>
      <c r="G689" t="s">
        <v>112</v>
      </c>
      <c r="H689" t="s">
        <v>113</v>
      </c>
      <c r="I689" t="s">
        <v>37</v>
      </c>
      <c r="J689">
        <v>1499</v>
      </c>
      <c r="K689">
        <v>1</v>
      </c>
      <c r="L689">
        <v>1424.71</v>
      </c>
      <c r="M689">
        <v>142.47</v>
      </c>
      <c r="N689">
        <v>1424.71</v>
      </c>
      <c r="O689">
        <v>1282.24</v>
      </c>
      <c r="P689" t="s">
        <v>2111</v>
      </c>
      <c r="Q689" t="s">
        <v>1809</v>
      </c>
    </row>
    <row r="690" spans="1:17" x14ac:dyDescent="0.3">
      <c r="A690" t="s">
        <v>2274</v>
      </c>
      <c r="B690" t="s">
        <v>2275</v>
      </c>
      <c r="C690" s="1">
        <v>46046</v>
      </c>
      <c r="D690" t="s">
        <v>34</v>
      </c>
      <c r="E690" t="s">
        <v>17</v>
      </c>
      <c r="F690" t="s">
        <v>22</v>
      </c>
      <c r="G690" t="s">
        <v>43</v>
      </c>
      <c r="H690" t="s">
        <v>44</v>
      </c>
      <c r="I690" t="s">
        <v>45</v>
      </c>
      <c r="J690">
        <v>3299</v>
      </c>
      <c r="K690">
        <v>1</v>
      </c>
      <c r="L690">
        <v>3183.37</v>
      </c>
      <c r="M690">
        <v>318.33999999999997</v>
      </c>
      <c r="N690">
        <v>3183.37</v>
      </c>
      <c r="O690">
        <v>2865.03</v>
      </c>
      <c r="P690" t="s">
        <v>2111</v>
      </c>
      <c r="Q690" t="s">
        <v>23</v>
      </c>
    </row>
    <row r="691" spans="1:17" x14ac:dyDescent="0.3">
      <c r="A691" t="s">
        <v>2283</v>
      </c>
      <c r="B691" t="s">
        <v>2284</v>
      </c>
      <c r="C691" s="1">
        <v>46114</v>
      </c>
      <c r="D691" t="s">
        <v>34</v>
      </c>
      <c r="E691" t="s">
        <v>50</v>
      </c>
      <c r="F691" t="s">
        <v>31</v>
      </c>
      <c r="G691" t="s">
        <v>355</v>
      </c>
      <c r="H691" t="s">
        <v>356</v>
      </c>
      <c r="I691" t="s">
        <v>82</v>
      </c>
      <c r="J691">
        <v>499</v>
      </c>
      <c r="K691">
        <v>1</v>
      </c>
      <c r="L691">
        <v>532.41</v>
      </c>
      <c r="M691">
        <v>0</v>
      </c>
      <c r="N691">
        <v>532.41</v>
      </c>
      <c r="O691">
        <v>532.41</v>
      </c>
      <c r="P691" t="s">
        <v>2111</v>
      </c>
      <c r="Q691" t="s">
        <v>1170</v>
      </c>
    </row>
    <row r="692" spans="1:17" x14ac:dyDescent="0.3">
      <c r="A692" t="s">
        <v>1069</v>
      </c>
      <c r="B692" t="s">
        <v>1068</v>
      </c>
      <c r="C692" s="1">
        <v>46103</v>
      </c>
      <c r="D692" t="s">
        <v>63</v>
      </c>
      <c r="E692" t="s">
        <v>17</v>
      </c>
      <c r="F692" t="s">
        <v>60</v>
      </c>
      <c r="G692" t="s">
        <v>191</v>
      </c>
      <c r="H692" t="s">
        <v>192</v>
      </c>
      <c r="I692" t="s">
        <v>45</v>
      </c>
      <c r="J692">
        <v>699</v>
      </c>
      <c r="K692">
        <v>1</v>
      </c>
      <c r="L692">
        <v>735.6</v>
      </c>
      <c r="M692">
        <v>73.56</v>
      </c>
      <c r="N692">
        <v>735.6</v>
      </c>
      <c r="O692">
        <v>662.04</v>
      </c>
      <c r="P692" t="s">
        <v>2111</v>
      </c>
      <c r="Q692" t="s">
        <v>789</v>
      </c>
    </row>
    <row r="693" spans="1:17" x14ac:dyDescent="0.3">
      <c r="A693" t="s">
        <v>2526</v>
      </c>
      <c r="B693" t="s">
        <v>2527</v>
      </c>
      <c r="C693" s="1">
        <v>46156</v>
      </c>
      <c r="D693" t="s">
        <v>16</v>
      </c>
      <c r="E693" t="s">
        <v>17</v>
      </c>
      <c r="F693" t="s">
        <v>74</v>
      </c>
      <c r="G693" t="s">
        <v>106</v>
      </c>
      <c r="H693" t="s">
        <v>107</v>
      </c>
      <c r="I693" t="s">
        <v>108</v>
      </c>
      <c r="J693">
        <v>599</v>
      </c>
      <c r="K693">
        <v>1</v>
      </c>
      <c r="L693">
        <v>578.53</v>
      </c>
      <c r="M693">
        <v>57.85</v>
      </c>
      <c r="N693">
        <v>578.53</v>
      </c>
      <c r="O693">
        <v>520.67999999999995</v>
      </c>
      <c r="P693" t="s">
        <v>2111</v>
      </c>
      <c r="Q693" t="s">
        <v>1479</v>
      </c>
    </row>
    <row r="694" spans="1:17" x14ac:dyDescent="0.3">
      <c r="A694" t="s">
        <v>416</v>
      </c>
      <c r="B694" t="s">
        <v>415</v>
      </c>
      <c r="C694" s="1">
        <v>46046</v>
      </c>
      <c r="D694" t="s">
        <v>26</v>
      </c>
      <c r="E694" t="s">
        <v>50</v>
      </c>
      <c r="F694" t="s">
        <v>74</v>
      </c>
      <c r="G694" t="s">
        <v>96</v>
      </c>
      <c r="H694" t="s">
        <v>97</v>
      </c>
      <c r="I694" t="s">
        <v>58</v>
      </c>
      <c r="J694">
        <v>7499</v>
      </c>
      <c r="K694">
        <v>1</v>
      </c>
      <c r="L694">
        <v>7549.93</v>
      </c>
      <c r="M694">
        <v>754.99</v>
      </c>
      <c r="N694">
        <v>7549.93</v>
      </c>
      <c r="O694">
        <v>6794.94</v>
      </c>
      <c r="P694" t="s">
        <v>2111</v>
      </c>
      <c r="Q694" t="s">
        <v>23</v>
      </c>
    </row>
    <row r="695" spans="1:17" x14ac:dyDescent="0.3">
      <c r="A695" t="s">
        <v>2032</v>
      </c>
      <c r="B695" t="s">
        <v>2031</v>
      </c>
      <c r="C695" s="1">
        <v>46197</v>
      </c>
      <c r="D695" t="s">
        <v>26</v>
      </c>
      <c r="E695" t="s">
        <v>50</v>
      </c>
      <c r="F695" t="s">
        <v>60</v>
      </c>
      <c r="G695" t="s">
        <v>101</v>
      </c>
      <c r="H695" t="s">
        <v>102</v>
      </c>
      <c r="I695" t="s">
        <v>45</v>
      </c>
      <c r="J695">
        <v>4999</v>
      </c>
      <c r="K695">
        <v>1</v>
      </c>
      <c r="L695">
        <v>4560.7700000000004</v>
      </c>
      <c r="M695">
        <v>684.12</v>
      </c>
      <c r="N695">
        <v>4560.7700000000004</v>
      </c>
      <c r="O695">
        <v>3876.65</v>
      </c>
      <c r="P695" t="s">
        <v>2111</v>
      </c>
      <c r="Q695" t="s">
        <v>1809</v>
      </c>
    </row>
    <row r="696" spans="1:17" x14ac:dyDescent="0.3">
      <c r="A696" t="s">
        <v>2533</v>
      </c>
      <c r="B696" t="s">
        <v>2534</v>
      </c>
      <c r="C696" s="1">
        <v>46180</v>
      </c>
      <c r="D696" t="s">
        <v>41</v>
      </c>
      <c r="E696" t="s">
        <v>50</v>
      </c>
      <c r="F696" t="s">
        <v>31</v>
      </c>
      <c r="G696" t="s">
        <v>355</v>
      </c>
      <c r="H696" t="s">
        <v>356</v>
      </c>
      <c r="I696" t="s">
        <v>82</v>
      </c>
      <c r="J696">
        <v>499</v>
      </c>
      <c r="K696">
        <v>4</v>
      </c>
      <c r="L696">
        <v>469.93</v>
      </c>
      <c r="M696">
        <v>0</v>
      </c>
      <c r="N696">
        <v>1879.72</v>
      </c>
      <c r="O696">
        <v>1879.72</v>
      </c>
      <c r="P696" t="s">
        <v>2111</v>
      </c>
      <c r="Q696" t="s">
        <v>1809</v>
      </c>
    </row>
    <row r="697" spans="1:17" x14ac:dyDescent="0.3">
      <c r="A697" t="s">
        <v>2429</v>
      </c>
      <c r="B697" t="s">
        <v>2430</v>
      </c>
      <c r="C697" s="1">
        <v>46025</v>
      </c>
      <c r="D697" t="s">
        <v>34</v>
      </c>
      <c r="E697" t="s">
        <v>50</v>
      </c>
      <c r="F697" t="s">
        <v>74</v>
      </c>
      <c r="G697" t="s">
        <v>355</v>
      </c>
      <c r="H697" t="s">
        <v>356</v>
      </c>
      <c r="I697" t="s">
        <v>82</v>
      </c>
      <c r="J697">
        <v>499</v>
      </c>
      <c r="K697">
        <v>1</v>
      </c>
      <c r="L697">
        <v>497.58</v>
      </c>
      <c r="M697">
        <v>24.88</v>
      </c>
      <c r="N697">
        <v>497.58</v>
      </c>
      <c r="O697">
        <v>472.7</v>
      </c>
      <c r="P697" t="s">
        <v>2111</v>
      </c>
      <c r="Q697" t="s">
        <v>23</v>
      </c>
    </row>
    <row r="698" spans="1:17" x14ac:dyDescent="0.3">
      <c r="A698" t="s">
        <v>801</v>
      </c>
      <c r="B698" t="s">
        <v>800</v>
      </c>
      <c r="C698" s="1">
        <v>46082</v>
      </c>
      <c r="D698" t="s">
        <v>34</v>
      </c>
      <c r="E698" t="s">
        <v>17</v>
      </c>
      <c r="F698" t="s">
        <v>60</v>
      </c>
      <c r="G698" t="s">
        <v>112</v>
      </c>
      <c r="H698" t="s">
        <v>113</v>
      </c>
      <c r="I698" t="s">
        <v>37</v>
      </c>
      <c r="J698">
        <v>1499</v>
      </c>
      <c r="K698">
        <v>1</v>
      </c>
      <c r="L698">
        <v>1374.87</v>
      </c>
      <c r="M698">
        <v>206.23</v>
      </c>
      <c r="N698">
        <v>1374.87</v>
      </c>
      <c r="O698">
        <v>1168.6400000000001</v>
      </c>
      <c r="P698" t="s">
        <v>2111</v>
      </c>
      <c r="Q698" t="s">
        <v>789</v>
      </c>
    </row>
    <row r="699" spans="1:17" x14ac:dyDescent="0.3">
      <c r="A699" t="s">
        <v>575</v>
      </c>
      <c r="B699" t="s">
        <v>574</v>
      </c>
      <c r="C699" s="1">
        <v>46061</v>
      </c>
      <c r="D699" t="s">
        <v>34</v>
      </c>
      <c r="E699" t="s">
        <v>17</v>
      </c>
      <c r="F699" t="s">
        <v>22</v>
      </c>
      <c r="G699" t="s">
        <v>35</v>
      </c>
      <c r="H699" t="s">
        <v>36</v>
      </c>
      <c r="I699" t="s">
        <v>37</v>
      </c>
      <c r="J699">
        <v>799</v>
      </c>
      <c r="K699">
        <v>1</v>
      </c>
      <c r="L699">
        <v>853.86</v>
      </c>
      <c r="M699">
        <v>170.77</v>
      </c>
      <c r="N699">
        <v>853.86</v>
      </c>
      <c r="O699">
        <v>683.09</v>
      </c>
      <c r="P699" t="s">
        <v>2111</v>
      </c>
      <c r="Q699" t="s">
        <v>498</v>
      </c>
    </row>
    <row r="700" spans="1:17" x14ac:dyDescent="0.3">
      <c r="A700" t="s">
        <v>2535</v>
      </c>
      <c r="B700" t="s">
        <v>705</v>
      </c>
      <c r="C700" s="1">
        <v>46039</v>
      </c>
      <c r="D700" t="s">
        <v>63</v>
      </c>
      <c r="E700" t="s">
        <v>50</v>
      </c>
      <c r="F700" t="s">
        <v>74</v>
      </c>
      <c r="G700" t="s">
        <v>126</v>
      </c>
      <c r="H700" t="s">
        <v>127</v>
      </c>
      <c r="I700" t="s">
        <v>45</v>
      </c>
      <c r="J700">
        <v>2499</v>
      </c>
      <c r="K700">
        <v>2</v>
      </c>
      <c r="L700">
        <v>2607.96</v>
      </c>
      <c r="M700">
        <v>0</v>
      </c>
      <c r="N700">
        <v>5215.92</v>
      </c>
      <c r="O700">
        <v>5215.92</v>
      </c>
      <c r="P700" t="s">
        <v>2111</v>
      </c>
      <c r="Q700" t="s">
        <v>23</v>
      </c>
    </row>
    <row r="701" spans="1:17" x14ac:dyDescent="0.3">
      <c r="A701" t="s">
        <v>2536</v>
      </c>
      <c r="B701" t="s">
        <v>2537</v>
      </c>
      <c r="C701" s="1">
        <v>46053</v>
      </c>
      <c r="D701" t="s">
        <v>16</v>
      </c>
      <c r="E701" t="s">
        <v>17</v>
      </c>
      <c r="F701" t="s">
        <v>47</v>
      </c>
      <c r="G701" t="s">
        <v>191</v>
      </c>
      <c r="H701" t="s">
        <v>192</v>
      </c>
      <c r="I701" t="s">
        <v>45</v>
      </c>
      <c r="J701">
        <v>699</v>
      </c>
      <c r="K701">
        <v>1</v>
      </c>
      <c r="L701">
        <v>761.02</v>
      </c>
      <c r="M701">
        <v>76.099999999999994</v>
      </c>
      <c r="N701">
        <v>761.02</v>
      </c>
      <c r="O701">
        <v>684.92</v>
      </c>
      <c r="P701" t="s">
        <v>2111</v>
      </c>
      <c r="Q701" t="s">
        <v>23</v>
      </c>
    </row>
    <row r="702" spans="1:17" x14ac:dyDescent="0.3">
      <c r="A702" t="s">
        <v>2538</v>
      </c>
      <c r="B702" t="s">
        <v>2539</v>
      </c>
      <c r="C702" s="1">
        <v>46069</v>
      </c>
      <c r="D702" t="s">
        <v>16</v>
      </c>
      <c r="E702" t="s">
        <v>50</v>
      </c>
      <c r="F702" t="s">
        <v>22</v>
      </c>
      <c r="G702" t="s">
        <v>18</v>
      </c>
      <c r="H702" t="s">
        <v>19</v>
      </c>
      <c r="I702" t="s">
        <v>20</v>
      </c>
      <c r="J702">
        <v>2799</v>
      </c>
      <c r="K702">
        <v>2</v>
      </c>
      <c r="L702">
        <v>2907.3</v>
      </c>
      <c r="M702">
        <v>290.73</v>
      </c>
      <c r="N702">
        <v>5814.6</v>
      </c>
      <c r="O702">
        <v>5523.87</v>
      </c>
      <c r="P702" t="s">
        <v>2111</v>
      </c>
      <c r="Q702" t="s">
        <v>498</v>
      </c>
    </row>
    <row r="703" spans="1:17" x14ac:dyDescent="0.3">
      <c r="A703" t="s">
        <v>2540</v>
      </c>
      <c r="B703" t="s">
        <v>2541</v>
      </c>
      <c r="C703" s="1">
        <v>46191</v>
      </c>
      <c r="D703" t="s">
        <v>63</v>
      </c>
      <c r="E703" t="s">
        <v>17</v>
      </c>
      <c r="F703" t="s">
        <v>47</v>
      </c>
      <c r="G703" t="s">
        <v>101</v>
      </c>
      <c r="H703" t="s">
        <v>102</v>
      </c>
      <c r="I703" t="s">
        <v>45</v>
      </c>
      <c r="J703">
        <v>4999</v>
      </c>
      <c r="K703">
        <v>1</v>
      </c>
      <c r="L703">
        <v>5439.31</v>
      </c>
      <c r="M703">
        <v>0</v>
      </c>
      <c r="N703">
        <v>5439.31</v>
      </c>
      <c r="O703">
        <v>5439.31</v>
      </c>
      <c r="P703" t="s">
        <v>2114</v>
      </c>
      <c r="Q703" t="s">
        <v>1809</v>
      </c>
    </row>
    <row r="704" spans="1:17" x14ac:dyDescent="0.3">
      <c r="A704" t="s">
        <v>1885</v>
      </c>
      <c r="B704" t="s">
        <v>1884</v>
      </c>
      <c r="C704" s="1">
        <v>46180</v>
      </c>
      <c r="D704" t="s">
        <v>63</v>
      </c>
      <c r="E704" t="s">
        <v>17</v>
      </c>
      <c r="F704" t="s">
        <v>60</v>
      </c>
      <c r="G704" t="s">
        <v>80</v>
      </c>
      <c r="H704" t="s">
        <v>81</v>
      </c>
      <c r="I704" t="s">
        <v>82</v>
      </c>
      <c r="J704">
        <v>4299</v>
      </c>
      <c r="K704">
        <v>1</v>
      </c>
      <c r="L704">
        <v>4345.87</v>
      </c>
      <c r="M704">
        <v>217.29</v>
      </c>
      <c r="N704">
        <v>4345.87</v>
      </c>
      <c r="O704">
        <v>4128.58</v>
      </c>
      <c r="P704" t="s">
        <v>2111</v>
      </c>
      <c r="Q704" t="s">
        <v>1809</v>
      </c>
    </row>
    <row r="705" spans="1:17" x14ac:dyDescent="0.3">
      <c r="A705" t="s">
        <v>2329</v>
      </c>
      <c r="B705" t="s">
        <v>2330</v>
      </c>
      <c r="C705" s="1">
        <v>46071</v>
      </c>
      <c r="D705" t="s">
        <v>34</v>
      </c>
      <c r="E705" t="s">
        <v>17</v>
      </c>
      <c r="F705" t="s">
        <v>60</v>
      </c>
      <c r="G705" t="s">
        <v>160</v>
      </c>
      <c r="H705" t="s">
        <v>161</v>
      </c>
      <c r="I705" t="s">
        <v>82</v>
      </c>
      <c r="J705">
        <v>799</v>
      </c>
      <c r="K705">
        <v>1</v>
      </c>
      <c r="L705">
        <v>815.01</v>
      </c>
      <c r="M705">
        <v>0</v>
      </c>
      <c r="N705">
        <v>815.01</v>
      </c>
      <c r="O705">
        <v>815.01</v>
      </c>
      <c r="P705" t="s">
        <v>2111</v>
      </c>
      <c r="Q705" t="s">
        <v>498</v>
      </c>
    </row>
    <row r="706" spans="1:17" x14ac:dyDescent="0.3">
      <c r="A706" t="s">
        <v>2542</v>
      </c>
      <c r="B706" t="s">
        <v>2286</v>
      </c>
      <c r="C706" s="1">
        <v>46142</v>
      </c>
      <c r="D706" t="s">
        <v>41</v>
      </c>
      <c r="E706" t="s">
        <v>17</v>
      </c>
      <c r="F706" t="s">
        <v>47</v>
      </c>
      <c r="G706" t="s">
        <v>56</v>
      </c>
      <c r="H706" t="s">
        <v>57</v>
      </c>
      <c r="I706" t="s">
        <v>58</v>
      </c>
      <c r="J706">
        <v>8999</v>
      </c>
      <c r="K706">
        <v>1</v>
      </c>
      <c r="L706">
        <v>9857.4500000000007</v>
      </c>
      <c r="M706">
        <v>1478.62</v>
      </c>
      <c r="N706">
        <v>9857.4500000000007</v>
      </c>
      <c r="O706">
        <v>8378.83</v>
      </c>
      <c r="P706" t="s">
        <v>2111</v>
      </c>
      <c r="Q706" t="s">
        <v>1170</v>
      </c>
    </row>
    <row r="707" spans="1:17" x14ac:dyDescent="0.3">
      <c r="A707" t="s">
        <v>2543</v>
      </c>
      <c r="B707" t="s">
        <v>2088</v>
      </c>
      <c r="C707" s="1">
        <v>46126</v>
      </c>
      <c r="D707" t="s">
        <v>41</v>
      </c>
      <c r="E707" t="s">
        <v>17</v>
      </c>
      <c r="F707" t="s">
        <v>74</v>
      </c>
      <c r="G707" t="s">
        <v>18</v>
      </c>
      <c r="H707" t="s">
        <v>19</v>
      </c>
      <c r="I707" t="s">
        <v>20</v>
      </c>
      <c r="J707">
        <v>2799</v>
      </c>
      <c r="K707">
        <v>1</v>
      </c>
      <c r="L707">
        <v>2878.56</v>
      </c>
      <c r="M707">
        <v>287.86</v>
      </c>
      <c r="N707">
        <v>2878.56</v>
      </c>
      <c r="O707">
        <v>2590.6999999999998</v>
      </c>
      <c r="P707" t="s">
        <v>2111</v>
      </c>
      <c r="Q707" t="s">
        <v>1170</v>
      </c>
    </row>
    <row r="708" spans="1:17" x14ac:dyDescent="0.3">
      <c r="A708" t="s">
        <v>223</v>
      </c>
      <c r="B708" t="s">
        <v>222</v>
      </c>
      <c r="C708" s="1">
        <v>46032</v>
      </c>
      <c r="D708" t="s">
        <v>41</v>
      </c>
      <c r="E708" t="s">
        <v>50</v>
      </c>
      <c r="F708" t="s">
        <v>74</v>
      </c>
      <c r="G708" t="s">
        <v>149</v>
      </c>
      <c r="H708" t="s">
        <v>150</v>
      </c>
      <c r="I708" t="s">
        <v>37</v>
      </c>
      <c r="J708">
        <v>2999</v>
      </c>
      <c r="K708">
        <v>1</v>
      </c>
      <c r="L708">
        <v>2717.57</v>
      </c>
      <c r="M708">
        <v>0</v>
      </c>
      <c r="N708">
        <v>2717.57</v>
      </c>
      <c r="O708">
        <v>2717.57</v>
      </c>
      <c r="P708" t="s">
        <v>2111</v>
      </c>
      <c r="Q708" t="s">
        <v>23</v>
      </c>
    </row>
    <row r="709" spans="1:17" x14ac:dyDescent="0.3">
      <c r="A709" t="s">
        <v>751</v>
      </c>
      <c r="B709" t="s">
        <v>750</v>
      </c>
      <c r="C709" s="1">
        <v>46078</v>
      </c>
      <c r="D709" t="s">
        <v>16</v>
      </c>
      <c r="E709" t="s">
        <v>17</v>
      </c>
      <c r="F709" t="s">
        <v>74</v>
      </c>
      <c r="G709" t="s">
        <v>80</v>
      </c>
      <c r="H709" t="s">
        <v>81</v>
      </c>
      <c r="I709" t="s">
        <v>82</v>
      </c>
      <c r="J709">
        <v>4299</v>
      </c>
      <c r="K709">
        <v>1</v>
      </c>
      <c r="L709">
        <v>4491.43</v>
      </c>
      <c r="M709">
        <v>0</v>
      </c>
      <c r="N709">
        <v>4491.43</v>
      </c>
      <c r="O709">
        <v>4491.43</v>
      </c>
      <c r="P709" t="s">
        <v>2114</v>
      </c>
      <c r="Q709" t="s">
        <v>498</v>
      </c>
    </row>
    <row r="710" spans="1:17" x14ac:dyDescent="0.3">
      <c r="A710" t="s">
        <v>1747</v>
      </c>
      <c r="B710" t="s">
        <v>1746</v>
      </c>
      <c r="C710" s="1">
        <v>46167</v>
      </c>
      <c r="D710" t="s">
        <v>16</v>
      </c>
      <c r="E710" t="s">
        <v>17</v>
      </c>
      <c r="F710" t="s">
        <v>22</v>
      </c>
      <c r="G710" t="s">
        <v>43</v>
      </c>
      <c r="H710" t="s">
        <v>44</v>
      </c>
      <c r="I710" t="s">
        <v>45</v>
      </c>
      <c r="J710">
        <v>3299</v>
      </c>
      <c r="K710">
        <v>1</v>
      </c>
      <c r="L710">
        <v>3566.53</v>
      </c>
      <c r="M710">
        <v>534.98</v>
      </c>
      <c r="N710">
        <v>3566.53</v>
      </c>
      <c r="O710">
        <v>3031.55</v>
      </c>
      <c r="P710" t="s">
        <v>2111</v>
      </c>
      <c r="Q710" t="s">
        <v>1479</v>
      </c>
    </row>
    <row r="711" spans="1:17" x14ac:dyDescent="0.3">
      <c r="A711" t="s">
        <v>1647</v>
      </c>
      <c r="B711" t="s">
        <v>1646</v>
      </c>
      <c r="C711" s="1">
        <v>46156</v>
      </c>
      <c r="D711" t="s">
        <v>34</v>
      </c>
      <c r="E711" t="s">
        <v>50</v>
      </c>
      <c r="F711" t="s">
        <v>74</v>
      </c>
      <c r="G711" t="s">
        <v>191</v>
      </c>
      <c r="H711" t="s">
        <v>192</v>
      </c>
      <c r="I711" t="s">
        <v>45</v>
      </c>
      <c r="J711">
        <v>699</v>
      </c>
      <c r="K711">
        <v>1</v>
      </c>
      <c r="L711">
        <v>740.32</v>
      </c>
      <c r="M711">
        <v>0</v>
      </c>
      <c r="N711">
        <v>740.32</v>
      </c>
      <c r="O711">
        <v>740.32</v>
      </c>
      <c r="P711" t="s">
        <v>2111</v>
      </c>
      <c r="Q711" t="s">
        <v>1479</v>
      </c>
    </row>
    <row r="712" spans="1:17" x14ac:dyDescent="0.3">
      <c r="A712" t="s">
        <v>2544</v>
      </c>
      <c r="B712" t="s">
        <v>2545</v>
      </c>
      <c r="C712" s="1">
        <v>46065</v>
      </c>
      <c r="D712" t="s">
        <v>16</v>
      </c>
      <c r="E712" t="s">
        <v>17</v>
      </c>
      <c r="F712" t="s">
        <v>47</v>
      </c>
      <c r="G712" t="s">
        <v>126</v>
      </c>
      <c r="H712" t="s">
        <v>127</v>
      </c>
      <c r="I712" t="s">
        <v>45</v>
      </c>
      <c r="J712">
        <v>2499</v>
      </c>
      <c r="K712">
        <v>4</v>
      </c>
      <c r="L712">
        <v>2540.9</v>
      </c>
      <c r="M712">
        <v>1016.36</v>
      </c>
      <c r="N712">
        <v>10163.6</v>
      </c>
      <c r="O712">
        <v>9147.24</v>
      </c>
      <c r="P712" t="s">
        <v>2111</v>
      </c>
      <c r="Q712" t="s">
        <v>498</v>
      </c>
    </row>
    <row r="713" spans="1:17" x14ac:dyDescent="0.3">
      <c r="A713" t="s">
        <v>2546</v>
      </c>
      <c r="B713" t="s">
        <v>2300</v>
      </c>
      <c r="C713" s="1">
        <v>46108</v>
      </c>
      <c r="D713" t="s">
        <v>16</v>
      </c>
      <c r="E713" t="s">
        <v>17</v>
      </c>
      <c r="F713" t="s">
        <v>60</v>
      </c>
      <c r="G713" t="s">
        <v>149</v>
      </c>
      <c r="H713" t="s">
        <v>150</v>
      </c>
      <c r="I713" t="s">
        <v>37</v>
      </c>
      <c r="J713">
        <v>2999</v>
      </c>
      <c r="K713">
        <v>1</v>
      </c>
      <c r="L713">
        <v>3101.75</v>
      </c>
      <c r="M713">
        <v>155.09</v>
      </c>
      <c r="N713">
        <v>3101.75</v>
      </c>
      <c r="O713">
        <v>2946.66</v>
      </c>
      <c r="P713" t="s">
        <v>2111</v>
      </c>
      <c r="Q713" t="s">
        <v>789</v>
      </c>
    </row>
    <row r="714" spans="1:17" x14ac:dyDescent="0.3">
      <c r="A714" t="s">
        <v>2547</v>
      </c>
      <c r="B714" t="s">
        <v>978</v>
      </c>
      <c r="C714" s="1">
        <v>46171</v>
      </c>
      <c r="D714" t="s">
        <v>16</v>
      </c>
      <c r="E714" t="s">
        <v>50</v>
      </c>
      <c r="F714" t="s">
        <v>47</v>
      </c>
      <c r="G714" t="s">
        <v>160</v>
      </c>
      <c r="H714" t="s">
        <v>161</v>
      </c>
      <c r="I714" t="s">
        <v>82</v>
      </c>
      <c r="J714">
        <v>799</v>
      </c>
      <c r="K714">
        <v>2</v>
      </c>
      <c r="L714">
        <v>877.33</v>
      </c>
      <c r="M714">
        <v>175.47</v>
      </c>
      <c r="N714">
        <v>1754.66</v>
      </c>
      <c r="O714">
        <v>1579.19</v>
      </c>
      <c r="P714" t="s">
        <v>2111</v>
      </c>
      <c r="Q714" t="s">
        <v>1479</v>
      </c>
    </row>
    <row r="715" spans="1:17" x14ac:dyDescent="0.3">
      <c r="A715" t="s">
        <v>1219</v>
      </c>
      <c r="B715" t="s">
        <v>1039</v>
      </c>
      <c r="C715" s="1">
        <v>46119</v>
      </c>
      <c r="D715" t="s">
        <v>16</v>
      </c>
      <c r="E715" t="s">
        <v>17</v>
      </c>
      <c r="F715" t="s">
        <v>31</v>
      </c>
      <c r="G715" t="s">
        <v>191</v>
      </c>
      <c r="H715" t="s">
        <v>192</v>
      </c>
      <c r="I715" t="s">
        <v>45</v>
      </c>
      <c r="J715">
        <v>699</v>
      </c>
      <c r="K715">
        <v>2</v>
      </c>
      <c r="L715">
        <v>641.77</v>
      </c>
      <c r="M715">
        <v>64.180000000000007</v>
      </c>
      <c r="N715">
        <v>1283.54</v>
      </c>
      <c r="O715">
        <v>1219.3599999999999</v>
      </c>
      <c r="P715" t="s">
        <v>2111</v>
      </c>
      <c r="Q715" t="s">
        <v>1170</v>
      </c>
    </row>
    <row r="716" spans="1:17" x14ac:dyDescent="0.3">
      <c r="A716" t="s">
        <v>2548</v>
      </c>
      <c r="B716" t="s">
        <v>1068</v>
      </c>
      <c r="C716" s="1">
        <v>46133</v>
      </c>
      <c r="D716" t="s">
        <v>26</v>
      </c>
      <c r="E716" t="s">
        <v>17</v>
      </c>
      <c r="F716" t="s">
        <v>22</v>
      </c>
      <c r="G716" t="s">
        <v>126</v>
      </c>
      <c r="H716" t="s">
        <v>127</v>
      </c>
      <c r="I716" t="s">
        <v>45</v>
      </c>
      <c r="J716">
        <v>2499</v>
      </c>
      <c r="K716">
        <v>1</v>
      </c>
      <c r="L716">
        <v>2582.59</v>
      </c>
      <c r="M716">
        <v>0</v>
      </c>
      <c r="N716">
        <v>2582.59</v>
      </c>
      <c r="O716">
        <v>2582.59</v>
      </c>
      <c r="P716" t="s">
        <v>2114</v>
      </c>
      <c r="Q716" t="s">
        <v>1170</v>
      </c>
    </row>
    <row r="717" spans="1:17" x14ac:dyDescent="0.3">
      <c r="A717" t="s">
        <v>964</v>
      </c>
      <c r="B717" t="s">
        <v>963</v>
      </c>
      <c r="C717" s="1">
        <v>46094</v>
      </c>
      <c r="D717" t="s">
        <v>34</v>
      </c>
      <c r="E717" t="s">
        <v>50</v>
      </c>
      <c r="F717" t="s">
        <v>47</v>
      </c>
      <c r="G717" t="s">
        <v>18</v>
      </c>
      <c r="H717" t="s">
        <v>19</v>
      </c>
      <c r="I717" t="s">
        <v>20</v>
      </c>
      <c r="J717">
        <v>2799</v>
      </c>
      <c r="K717">
        <v>1</v>
      </c>
      <c r="L717">
        <v>2677.75</v>
      </c>
      <c r="M717">
        <v>133.88999999999999</v>
      </c>
      <c r="N717">
        <v>2677.75</v>
      </c>
      <c r="O717">
        <v>2543.86</v>
      </c>
      <c r="P717" t="s">
        <v>2111</v>
      </c>
      <c r="Q717" t="s">
        <v>789</v>
      </c>
    </row>
    <row r="718" spans="1:17" x14ac:dyDescent="0.3">
      <c r="A718" t="s">
        <v>2549</v>
      </c>
      <c r="B718" t="s">
        <v>85</v>
      </c>
      <c r="C718" s="1">
        <v>46104</v>
      </c>
      <c r="D718" t="s">
        <v>41</v>
      </c>
      <c r="E718" t="s">
        <v>17</v>
      </c>
      <c r="F718" t="s">
        <v>31</v>
      </c>
      <c r="G718" t="s">
        <v>80</v>
      </c>
      <c r="H718" t="s">
        <v>81</v>
      </c>
      <c r="I718" t="s">
        <v>82</v>
      </c>
      <c r="J718">
        <v>4299</v>
      </c>
      <c r="K718">
        <v>1</v>
      </c>
      <c r="L718">
        <v>4419.45</v>
      </c>
      <c r="M718">
        <v>0</v>
      </c>
      <c r="N718">
        <v>4419.45</v>
      </c>
      <c r="O718">
        <v>4419.45</v>
      </c>
      <c r="P718" t="s">
        <v>2111</v>
      </c>
      <c r="Q718" t="s">
        <v>789</v>
      </c>
    </row>
    <row r="719" spans="1:17" x14ac:dyDescent="0.3">
      <c r="A719" t="s">
        <v>2550</v>
      </c>
      <c r="B719" t="s">
        <v>159</v>
      </c>
      <c r="C719" s="1">
        <v>46056</v>
      </c>
      <c r="D719" t="s">
        <v>16</v>
      </c>
      <c r="E719" t="s">
        <v>17</v>
      </c>
      <c r="F719" t="s">
        <v>31</v>
      </c>
      <c r="G719" t="s">
        <v>250</v>
      </c>
      <c r="H719" t="s">
        <v>251</v>
      </c>
      <c r="I719" t="s">
        <v>108</v>
      </c>
      <c r="J719">
        <v>899</v>
      </c>
      <c r="K719">
        <v>2</v>
      </c>
      <c r="L719">
        <v>918.35</v>
      </c>
      <c r="M719">
        <v>183.67</v>
      </c>
      <c r="N719">
        <v>1836.7</v>
      </c>
      <c r="O719">
        <v>1653.03</v>
      </c>
      <c r="P719" t="s">
        <v>2111</v>
      </c>
      <c r="Q719" t="s">
        <v>498</v>
      </c>
    </row>
    <row r="720" spans="1:17" x14ac:dyDescent="0.3">
      <c r="A720" t="s">
        <v>2551</v>
      </c>
      <c r="B720" t="s">
        <v>1881</v>
      </c>
      <c r="C720" s="1">
        <v>46062</v>
      </c>
      <c r="D720" t="s">
        <v>34</v>
      </c>
      <c r="E720" t="s">
        <v>17</v>
      </c>
      <c r="F720" t="s">
        <v>31</v>
      </c>
      <c r="G720" t="s">
        <v>56</v>
      </c>
      <c r="H720" t="s">
        <v>57</v>
      </c>
      <c r="I720" t="s">
        <v>58</v>
      </c>
      <c r="J720">
        <v>8999</v>
      </c>
      <c r="K720">
        <v>2</v>
      </c>
      <c r="L720">
        <v>8375.2900000000009</v>
      </c>
      <c r="M720">
        <v>2512.59</v>
      </c>
      <c r="N720">
        <v>16750.580000000002</v>
      </c>
      <c r="O720">
        <v>14237.99</v>
      </c>
      <c r="P720" t="s">
        <v>2111</v>
      </c>
      <c r="Q720" t="s">
        <v>498</v>
      </c>
    </row>
    <row r="721" spans="1:17" x14ac:dyDescent="0.3">
      <c r="A721" t="s">
        <v>2552</v>
      </c>
      <c r="B721" t="s">
        <v>536</v>
      </c>
      <c r="C721" s="1">
        <v>46180</v>
      </c>
      <c r="D721" t="s">
        <v>26</v>
      </c>
      <c r="E721" t="s">
        <v>17</v>
      </c>
      <c r="F721" t="s">
        <v>47</v>
      </c>
      <c r="G721" t="s">
        <v>250</v>
      </c>
      <c r="H721" t="s">
        <v>251</v>
      </c>
      <c r="I721" t="s">
        <v>108</v>
      </c>
      <c r="J721">
        <v>899</v>
      </c>
      <c r="K721">
        <v>2</v>
      </c>
      <c r="L721">
        <v>846.27</v>
      </c>
      <c r="M721">
        <v>84.63</v>
      </c>
      <c r="N721">
        <v>1692.54</v>
      </c>
      <c r="O721">
        <v>1607.91</v>
      </c>
      <c r="P721" t="s">
        <v>2111</v>
      </c>
      <c r="Q721" t="s">
        <v>1809</v>
      </c>
    </row>
    <row r="722" spans="1:17" x14ac:dyDescent="0.3">
      <c r="A722" t="s">
        <v>2553</v>
      </c>
      <c r="B722" t="s">
        <v>243</v>
      </c>
      <c r="C722" s="1">
        <v>46037</v>
      </c>
      <c r="D722" t="s">
        <v>34</v>
      </c>
      <c r="E722" t="s">
        <v>17</v>
      </c>
      <c r="F722" t="s">
        <v>74</v>
      </c>
      <c r="G722" t="s">
        <v>101</v>
      </c>
      <c r="H722" t="s">
        <v>102</v>
      </c>
      <c r="I722" t="s">
        <v>45</v>
      </c>
      <c r="J722">
        <v>4999</v>
      </c>
      <c r="K722">
        <v>3</v>
      </c>
      <c r="L722">
        <v>5120.6099999999997</v>
      </c>
      <c r="M722">
        <v>0</v>
      </c>
      <c r="N722">
        <v>15361.83</v>
      </c>
      <c r="O722">
        <v>15361.83</v>
      </c>
      <c r="P722" t="s">
        <v>2111</v>
      </c>
      <c r="Q722" t="s">
        <v>23</v>
      </c>
    </row>
    <row r="723" spans="1:17" x14ac:dyDescent="0.3">
      <c r="A723" t="s">
        <v>783</v>
      </c>
      <c r="B723" t="s">
        <v>782</v>
      </c>
      <c r="C723" s="1">
        <v>46081</v>
      </c>
      <c r="D723" t="s">
        <v>41</v>
      </c>
      <c r="E723" t="s">
        <v>50</v>
      </c>
      <c r="F723" t="s">
        <v>74</v>
      </c>
      <c r="G723" t="s">
        <v>86</v>
      </c>
      <c r="H723" t="s">
        <v>87</v>
      </c>
      <c r="I723" t="s">
        <v>82</v>
      </c>
      <c r="J723">
        <v>3499</v>
      </c>
      <c r="K723">
        <v>2</v>
      </c>
      <c r="L723">
        <v>3238.84</v>
      </c>
      <c r="M723">
        <v>647.77</v>
      </c>
      <c r="N723">
        <v>6477.68</v>
      </c>
      <c r="O723">
        <v>5829.91</v>
      </c>
      <c r="P723" t="s">
        <v>2111</v>
      </c>
      <c r="Q723" t="s">
        <v>498</v>
      </c>
    </row>
    <row r="724" spans="1:17" x14ac:dyDescent="0.3">
      <c r="A724" t="s">
        <v>2554</v>
      </c>
      <c r="B724" t="s">
        <v>2555</v>
      </c>
      <c r="C724" s="1">
        <v>46199</v>
      </c>
      <c r="D724" t="s">
        <v>34</v>
      </c>
      <c r="E724" t="s">
        <v>42</v>
      </c>
      <c r="F724" t="s">
        <v>31</v>
      </c>
      <c r="G724" t="s">
        <v>43</v>
      </c>
      <c r="H724" t="s">
        <v>44</v>
      </c>
      <c r="I724" t="s">
        <v>45</v>
      </c>
      <c r="J724">
        <v>3299</v>
      </c>
      <c r="K724">
        <v>1</v>
      </c>
      <c r="L724">
        <v>3144.07</v>
      </c>
      <c r="M724">
        <v>314.41000000000003</v>
      </c>
      <c r="N724">
        <v>3144.07</v>
      </c>
      <c r="O724">
        <v>2829.66</v>
      </c>
      <c r="P724" t="s">
        <v>2111</v>
      </c>
      <c r="Q724" t="s">
        <v>1809</v>
      </c>
    </row>
    <row r="725" spans="1:17" x14ac:dyDescent="0.3">
      <c r="A725" t="s">
        <v>162</v>
      </c>
      <c r="B725" t="s">
        <v>159</v>
      </c>
      <c r="C725" s="1">
        <v>46029</v>
      </c>
      <c r="D725" t="s">
        <v>26</v>
      </c>
      <c r="E725" t="s">
        <v>17</v>
      </c>
      <c r="F725" t="s">
        <v>47</v>
      </c>
      <c r="G725" t="s">
        <v>91</v>
      </c>
      <c r="H725" t="s">
        <v>92</v>
      </c>
      <c r="I725" t="s">
        <v>37</v>
      </c>
      <c r="J725">
        <v>1899</v>
      </c>
      <c r="K725">
        <v>1</v>
      </c>
      <c r="L725">
        <v>2026.33</v>
      </c>
      <c r="M725">
        <v>506.58</v>
      </c>
      <c r="N725">
        <v>2026.33</v>
      </c>
      <c r="O725">
        <v>1519.75</v>
      </c>
      <c r="P725" t="s">
        <v>2114</v>
      </c>
      <c r="Q725" t="s">
        <v>23</v>
      </c>
    </row>
    <row r="726" spans="1:17" x14ac:dyDescent="0.3">
      <c r="A726" t="s">
        <v>2301</v>
      </c>
      <c r="B726" t="s">
        <v>2302</v>
      </c>
      <c r="C726" s="1">
        <v>46114</v>
      </c>
      <c r="D726" t="s">
        <v>34</v>
      </c>
      <c r="E726" t="s">
        <v>50</v>
      </c>
      <c r="F726" t="s">
        <v>74</v>
      </c>
      <c r="G726" t="s">
        <v>27</v>
      </c>
      <c r="H726" t="s">
        <v>28</v>
      </c>
      <c r="I726" t="s">
        <v>29</v>
      </c>
      <c r="J726">
        <v>1599</v>
      </c>
      <c r="K726">
        <v>2</v>
      </c>
      <c r="L726">
        <v>1543.7</v>
      </c>
      <c r="M726">
        <v>308.74</v>
      </c>
      <c r="N726">
        <v>3087.4</v>
      </c>
      <c r="O726">
        <v>2778.66</v>
      </c>
      <c r="P726" t="s">
        <v>2111</v>
      </c>
      <c r="Q726" t="s">
        <v>1170</v>
      </c>
    </row>
    <row r="727" spans="1:17" x14ac:dyDescent="0.3">
      <c r="A727" t="s">
        <v>2141</v>
      </c>
      <c r="B727" t="s">
        <v>2142</v>
      </c>
      <c r="C727" s="1">
        <v>46098</v>
      </c>
      <c r="D727" t="s">
        <v>16</v>
      </c>
      <c r="E727" t="s">
        <v>17</v>
      </c>
      <c r="F727" t="s">
        <v>31</v>
      </c>
      <c r="G727" t="s">
        <v>112</v>
      </c>
      <c r="H727" t="s">
        <v>113</v>
      </c>
      <c r="I727" t="s">
        <v>37</v>
      </c>
      <c r="J727">
        <v>1499</v>
      </c>
      <c r="K727">
        <v>1</v>
      </c>
      <c r="L727">
        <v>1495.42</v>
      </c>
      <c r="M727">
        <v>149.54</v>
      </c>
      <c r="N727">
        <v>1495.42</v>
      </c>
      <c r="O727">
        <v>1345.88</v>
      </c>
      <c r="P727" t="s">
        <v>2111</v>
      </c>
      <c r="Q727" t="s">
        <v>789</v>
      </c>
    </row>
    <row r="728" spans="1:17" x14ac:dyDescent="0.3">
      <c r="A728" t="s">
        <v>140</v>
      </c>
      <c r="B728" t="s">
        <v>139</v>
      </c>
      <c r="C728" s="1">
        <v>46028</v>
      </c>
      <c r="D728" t="s">
        <v>26</v>
      </c>
      <c r="E728" t="s">
        <v>17</v>
      </c>
      <c r="F728" t="s">
        <v>47</v>
      </c>
      <c r="G728" t="s">
        <v>101</v>
      </c>
      <c r="H728" t="s">
        <v>102</v>
      </c>
      <c r="I728" t="s">
        <v>45</v>
      </c>
      <c r="J728">
        <v>4999</v>
      </c>
      <c r="K728">
        <v>1</v>
      </c>
      <c r="L728">
        <v>5440.05</v>
      </c>
      <c r="M728">
        <v>544</v>
      </c>
      <c r="N728">
        <v>5440.05</v>
      </c>
      <c r="O728">
        <v>4896.05</v>
      </c>
      <c r="P728" t="s">
        <v>2111</v>
      </c>
      <c r="Q728" t="s">
        <v>23</v>
      </c>
    </row>
    <row r="729" spans="1:17" x14ac:dyDescent="0.3">
      <c r="A729" t="s">
        <v>2556</v>
      </c>
      <c r="B729" t="s">
        <v>2557</v>
      </c>
      <c r="C729" s="1">
        <v>46030</v>
      </c>
      <c r="D729" t="s">
        <v>41</v>
      </c>
      <c r="E729" t="s">
        <v>50</v>
      </c>
      <c r="F729" t="s">
        <v>47</v>
      </c>
      <c r="G729" t="s">
        <v>160</v>
      </c>
      <c r="H729" t="s">
        <v>161</v>
      </c>
      <c r="I729" t="s">
        <v>82</v>
      </c>
      <c r="J729">
        <v>799</v>
      </c>
      <c r="K729">
        <v>2</v>
      </c>
      <c r="L729">
        <v>755.4</v>
      </c>
      <c r="M729">
        <v>302.16000000000003</v>
      </c>
      <c r="N729">
        <v>1510.8</v>
      </c>
      <c r="O729">
        <v>1208.6400000000001</v>
      </c>
      <c r="P729" t="s">
        <v>2114</v>
      </c>
      <c r="Q729" t="s">
        <v>23</v>
      </c>
    </row>
    <row r="730" spans="1:17" x14ac:dyDescent="0.3">
      <c r="A730" t="s">
        <v>1892</v>
      </c>
      <c r="B730" t="s">
        <v>1891</v>
      </c>
      <c r="C730" s="1">
        <v>46181</v>
      </c>
      <c r="D730" t="s">
        <v>26</v>
      </c>
      <c r="E730" t="s">
        <v>17</v>
      </c>
      <c r="F730" t="s">
        <v>22</v>
      </c>
      <c r="G730" t="s">
        <v>250</v>
      </c>
      <c r="H730" t="s">
        <v>251</v>
      </c>
      <c r="I730" t="s">
        <v>108</v>
      </c>
      <c r="J730">
        <v>899</v>
      </c>
      <c r="K730">
        <v>1</v>
      </c>
      <c r="L730">
        <v>879.15</v>
      </c>
      <c r="M730">
        <v>131.87</v>
      </c>
      <c r="N730">
        <v>879.15</v>
      </c>
      <c r="O730">
        <v>747.28</v>
      </c>
      <c r="P730" t="s">
        <v>2111</v>
      </c>
      <c r="Q730" t="s">
        <v>1809</v>
      </c>
    </row>
    <row r="731" spans="1:17" x14ac:dyDescent="0.3">
      <c r="A731" t="s">
        <v>1021</v>
      </c>
      <c r="B731" t="s">
        <v>1020</v>
      </c>
      <c r="C731" s="1">
        <v>46098</v>
      </c>
      <c r="D731" t="s">
        <v>26</v>
      </c>
      <c r="E731" t="s">
        <v>17</v>
      </c>
      <c r="F731" t="s">
        <v>74</v>
      </c>
      <c r="G731" t="s">
        <v>27</v>
      </c>
      <c r="H731" t="s">
        <v>28</v>
      </c>
      <c r="I731" t="s">
        <v>29</v>
      </c>
      <c r="J731">
        <v>1599</v>
      </c>
      <c r="K731">
        <v>3</v>
      </c>
      <c r="L731">
        <v>1633.05</v>
      </c>
      <c r="M731">
        <v>244.96</v>
      </c>
      <c r="N731">
        <v>4899.1499999999996</v>
      </c>
      <c r="O731">
        <v>4654.1899999999996</v>
      </c>
      <c r="P731" t="s">
        <v>2111</v>
      </c>
      <c r="Q731" t="s">
        <v>789</v>
      </c>
    </row>
    <row r="732" spans="1:17" x14ac:dyDescent="0.3">
      <c r="A732" t="s">
        <v>1716</v>
      </c>
      <c r="B732" t="s">
        <v>1715</v>
      </c>
      <c r="C732" s="1">
        <v>46164</v>
      </c>
      <c r="D732" t="s">
        <v>41</v>
      </c>
      <c r="E732" t="s">
        <v>17</v>
      </c>
      <c r="F732" t="s">
        <v>31</v>
      </c>
      <c r="G732" t="s">
        <v>91</v>
      </c>
      <c r="H732" t="s">
        <v>92</v>
      </c>
      <c r="I732" t="s">
        <v>37</v>
      </c>
      <c r="J732">
        <v>1899</v>
      </c>
      <c r="K732">
        <v>2</v>
      </c>
      <c r="L732">
        <v>1995.98</v>
      </c>
      <c r="M732">
        <v>199.6</v>
      </c>
      <c r="N732">
        <v>3991.96</v>
      </c>
      <c r="O732">
        <v>3792.36</v>
      </c>
      <c r="P732" t="s">
        <v>2111</v>
      </c>
      <c r="Q732" t="s">
        <v>1479</v>
      </c>
    </row>
    <row r="733" spans="1:17" x14ac:dyDescent="0.3">
      <c r="A733" t="s">
        <v>2536</v>
      </c>
      <c r="B733" t="s">
        <v>2537</v>
      </c>
      <c r="C733" s="1">
        <v>46053</v>
      </c>
      <c r="D733" t="s">
        <v>16</v>
      </c>
      <c r="E733" t="s">
        <v>17</v>
      </c>
      <c r="F733" t="s">
        <v>47</v>
      </c>
      <c r="G733" t="s">
        <v>250</v>
      </c>
      <c r="H733" t="s">
        <v>251</v>
      </c>
      <c r="I733" t="s">
        <v>108</v>
      </c>
      <c r="J733">
        <v>899</v>
      </c>
      <c r="K733">
        <v>1</v>
      </c>
      <c r="L733">
        <v>971.22</v>
      </c>
      <c r="M733">
        <v>48.56</v>
      </c>
      <c r="N733">
        <v>971.22</v>
      </c>
      <c r="O733">
        <v>922.66</v>
      </c>
      <c r="P733" t="s">
        <v>2111</v>
      </c>
      <c r="Q733" t="s">
        <v>23</v>
      </c>
    </row>
    <row r="734" spans="1:17" x14ac:dyDescent="0.3">
      <c r="A734" t="s">
        <v>2558</v>
      </c>
      <c r="B734" t="s">
        <v>2559</v>
      </c>
      <c r="C734" s="1">
        <v>46178</v>
      </c>
      <c r="D734" t="s">
        <v>63</v>
      </c>
      <c r="E734" t="s">
        <v>17</v>
      </c>
      <c r="F734" t="s">
        <v>74</v>
      </c>
      <c r="G734" t="s">
        <v>27</v>
      </c>
      <c r="H734" t="s">
        <v>28</v>
      </c>
      <c r="I734" t="s">
        <v>29</v>
      </c>
      <c r="J734">
        <v>1599</v>
      </c>
      <c r="K734">
        <v>3</v>
      </c>
      <c r="L734">
        <v>1731.87</v>
      </c>
      <c r="M734">
        <v>519.55999999999995</v>
      </c>
      <c r="N734">
        <v>5195.6099999999997</v>
      </c>
      <c r="O734">
        <v>4676.05</v>
      </c>
      <c r="P734" t="s">
        <v>2111</v>
      </c>
      <c r="Q734" t="s">
        <v>1809</v>
      </c>
    </row>
    <row r="735" spans="1:17" x14ac:dyDescent="0.3">
      <c r="A735" t="s">
        <v>2560</v>
      </c>
      <c r="B735" t="s">
        <v>2561</v>
      </c>
      <c r="C735" s="1">
        <v>46123</v>
      </c>
      <c r="D735" t="s">
        <v>41</v>
      </c>
      <c r="E735" t="s">
        <v>50</v>
      </c>
      <c r="F735" t="s">
        <v>31</v>
      </c>
      <c r="G735" t="s">
        <v>35</v>
      </c>
      <c r="H735" t="s">
        <v>36</v>
      </c>
      <c r="I735" t="s">
        <v>37</v>
      </c>
      <c r="J735">
        <v>799</v>
      </c>
      <c r="K735">
        <v>1</v>
      </c>
      <c r="L735">
        <v>843.21</v>
      </c>
      <c r="M735">
        <v>126.48</v>
      </c>
      <c r="N735">
        <v>843.21</v>
      </c>
      <c r="O735">
        <v>716.73</v>
      </c>
      <c r="P735" t="s">
        <v>2111</v>
      </c>
      <c r="Q735" t="s">
        <v>1170</v>
      </c>
    </row>
    <row r="736" spans="1:17" x14ac:dyDescent="0.3">
      <c r="A736" t="s">
        <v>2405</v>
      </c>
      <c r="B736" t="s">
        <v>1387</v>
      </c>
      <c r="C736" s="1">
        <v>46190</v>
      </c>
      <c r="D736" t="s">
        <v>41</v>
      </c>
      <c r="E736" t="s">
        <v>17</v>
      </c>
      <c r="F736" t="s">
        <v>60</v>
      </c>
      <c r="G736" t="s">
        <v>91</v>
      </c>
      <c r="H736" t="s">
        <v>92</v>
      </c>
      <c r="I736" t="s">
        <v>37</v>
      </c>
      <c r="J736">
        <v>1899</v>
      </c>
      <c r="K736">
        <v>1</v>
      </c>
      <c r="L736">
        <v>1795.82</v>
      </c>
      <c r="M736">
        <v>179.58</v>
      </c>
      <c r="N736">
        <v>1795.82</v>
      </c>
      <c r="O736">
        <v>1616.24</v>
      </c>
      <c r="P736" t="s">
        <v>2111</v>
      </c>
      <c r="Q736" t="s">
        <v>1809</v>
      </c>
    </row>
    <row r="737" spans="1:17" x14ac:dyDescent="0.3">
      <c r="A737" t="s">
        <v>2562</v>
      </c>
      <c r="B737" t="s">
        <v>2563</v>
      </c>
      <c r="C737" s="1">
        <v>46197</v>
      </c>
      <c r="D737" t="s">
        <v>16</v>
      </c>
      <c r="E737" t="s">
        <v>50</v>
      </c>
      <c r="F737" t="s">
        <v>22</v>
      </c>
      <c r="G737" t="s">
        <v>56</v>
      </c>
      <c r="H737" t="s">
        <v>57</v>
      </c>
      <c r="I737" t="s">
        <v>58</v>
      </c>
      <c r="J737">
        <v>8999</v>
      </c>
      <c r="K737">
        <v>1</v>
      </c>
      <c r="L737">
        <v>8143.75</v>
      </c>
      <c r="M737">
        <v>0</v>
      </c>
      <c r="N737">
        <v>8143.75</v>
      </c>
      <c r="O737">
        <v>8143.75</v>
      </c>
      <c r="P737" t="s">
        <v>2114</v>
      </c>
      <c r="Q737" t="s">
        <v>1809</v>
      </c>
    </row>
    <row r="738" spans="1:17" x14ac:dyDescent="0.3">
      <c r="A738" t="s">
        <v>2496</v>
      </c>
      <c r="B738" t="s">
        <v>2497</v>
      </c>
      <c r="C738" s="1">
        <v>46024</v>
      </c>
      <c r="D738" t="s">
        <v>16</v>
      </c>
      <c r="E738" t="s">
        <v>50</v>
      </c>
      <c r="F738" t="s">
        <v>31</v>
      </c>
      <c r="G738" t="s">
        <v>35</v>
      </c>
      <c r="H738" t="s">
        <v>36</v>
      </c>
      <c r="I738" t="s">
        <v>37</v>
      </c>
      <c r="J738">
        <v>799</v>
      </c>
      <c r="K738">
        <v>1</v>
      </c>
      <c r="L738">
        <v>780.43</v>
      </c>
      <c r="M738">
        <v>117.06</v>
      </c>
      <c r="N738">
        <v>780.43</v>
      </c>
      <c r="O738">
        <v>663.37</v>
      </c>
      <c r="P738" t="s">
        <v>2111</v>
      </c>
      <c r="Q738" t="s">
        <v>23</v>
      </c>
    </row>
    <row r="739" spans="1:17" x14ac:dyDescent="0.3">
      <c r="A739" t="s">
        <v>1549</v>
      </c>
      <c r="B739" t="s">
        <v>533</v>
      </c>
      <c r="C739" s="1">
        <v>46149</v>
      </c>
      <c r="D739" t="s">
        <v>26</v>
      </c>
      <c r="E739" t="s">
        <v>50</v>
      </c>
      <c r="F739" t="s">
        <v>74</v>
      </c>
      <c r="G739" t="s">
        <v>106</v>
      </c>
      <c r="H739" t="s">
        <v>107</v>
      </c>
      <c r="I739" t="s">
        <v>108</v>
      </c>
      <c r="J739">
        <v>599</v>
      </c>
      <c r="K739">
        <v>1</v>
      </c>
      <c r="L739">
        <v>556.05999999999995</v>
      </c>
      <c r="M739">
        <v>83.41</v>
      </c>
      <c r="N739">
        <v>556.05999999999995</v>
      </c>
      <c r="O739">
        <v>472.65</v>
      </c>
      <c r="P739" t="s">
        <v>2111</v>
      </c>
      <c r="Q739" t="s">
        <v>1479</v>
      </c>
    </row>
    <row r="740" spans="1:17" x14ac:dyDescent="0.3">
      <c r="A740" t="s">
        <v>2531</v>
      </c>
      <c r="B740" t="s">
        <v>2532</v>
      </c>
      <c r="C740" s="1">
        <v>46182</v>
      </c>
      <c r="D740" t="s">
        <v>63</v>
      </c>
      <c r="E740" t="s">
        <v>17</v>
      </c>
      <c r="F740" t="s">
        <v>22</v>
      </c>
      <c r="G740" t="s">
        <v>51</v>
      </c>
      <c r="H740" t="s">
        <v>52</v>
      </c>
      <c r="I740" t="s">
        <v>20</v>
      </c>
      <c r="J740">
        <v>999</v>
      </c>
      <c r="K740">
        <v>1</v>
      </c>
      <c r="L740">
        <v>1041.04</v>
      </c>
      <c r="M740">
        <v>52.05</v>
      </c>
      <c r="N740">
        <v>1041.04</v>
      </c>
      <c r="O740">
        <v>988.99</v>
      </c>
      <c r="P740" t="s">
        <v>2111</v>
      </c>
      <c r="Q740" t="s">
        <v>1809</v>
      </c>
    </row>
    <row r="741" spans="1:17" x14ac:dyDescent="0.3">
      <c r="A741" t="s">
        <v>2023</v>
      </c>
      <c r="B741" t="s">
        <v>55</v>
      </c>
      <c r="C741" s="1">
        <v>46196</v>
      </c>
      <c r="D741" t="s">
        <v>34</v>
      </c>
      <c r="E741" t="s">
        <v>17</v>
      </c>
      <c r="F741" t="s">
        <v>22</v>
      </c>
      <c r="G741" t="s">
        <v>355</v>
      </c>
      <c r="H741" t="s">
        <v>356</v>
      </c>
      <c r="I741" t="s">
        <v>82</v>
      </c>
      <c r="J741">
        <v>499</v>
      </c>
      <c r="K741">
        <v>1</v>
      </c>
      <c r="L741">
        <v>515.08000000000004</v>
      </c>
      <c r="M741">
        <v>77.260000000000005</v>
      </c>
      <c r="N741">
        <v>515.08000000000004</v>
      </c>
      <c r="O741">
        <v>437.82</v>
      </c>
      <c r="P741" t="s">
        <v>2111</v>
      </c>
      <c r="Q741" t="s">
        <v>1809</v>
      </c>
    </row>
    <row r="742" spans="1:17" x14ac:dyDescent="0.3">
      <c r="A742" t="s">
        <v>798</v>
      </c>
      <c r="B742" t="s">
        <v>797</v>
      </c>
      <c r="C742" s="1">
        <v>46082</v>
      </c>
      <c r="D742" t="s">
        <v>34</v>
      </c>
      <c r="E742" t="s">
        <v>17</v>
      </c>
      <c r="F742" t="s">
        <v>60</v>
      </c>
      <c r="G742" t="s">
        <v>106</v>
      </c>
      <c r="H742" t="s">
        <v>107</v>
      </c>
      <c r="I742" t="s">
        <v>108</v>
      </c>
      <c r="J742">
        <v>599</v>
      </c>
      <c r="K742">
        <v>1</v>
      </c>
      <c r="L742">
        <v>544.37</v>
      </c>
      <c r="M742">
        <v>54.44</v>
      </c>
      <c r="N742">
        <v>544.37</v>
      </c>
      <c r="O742">
        <v>489.93</v>
      </c>
      <c r="P742" t="s">
        <v>2111</v>
      </c>
      <c r="Q742" t="s">
        <v>789</v>
      </c>
    </row>
    <row r="743" spans="1:17" x14ac:dyDescent="0.3">
      <c r="A743" t="s">
        <v>1355</v>
      </c>
      <c r="B743" t="s">
        <v>207</v>
      </c>
      <c r="C743" s="1">
        <v>46133</v>
      </c>
      <c r="D743" t="s">
        <v>26</v>
      </c>
      <c r="E743" t="s">
        <v>50</v>
      </c>
      <c r="F743" t="s">
        <v>60</v>
      </c>
      <c r="G743" t="s">
        <v>18</v>
      </c>
      <c r="H743" t="s">
        <v>19</v>
      </c>
      <c r="I743" t="s">
        <v>20</v>
      </c>
      <c r="J743">
        <v>2799</v>
      </c>
      <c r="K743">
        <v>2</v>
      </c>
      <c r="L743">
        <v>2987.43</v>
      </c>
      <c r="M743">
        <v>1194.97</v>
      </c>
      <c r="N743">
        <v>5974.86</v>
      </c>
      <c r="O743">
        <v>4779.8900000000003</v>
      </c>
      <c r="P743" t="s">
        <v>2111</v>
      </c>
      <c r="Q743" t="s">
        <v>1170</v>
      </c>
    </row>
    <row r="744" spans="1:17" x14ac:dyDescent="0.3">
      <c r="A744" t="s">
        <v>2564</v>
      </c>
      <c r="B744" t="s">
        <v>2565</v>
      </c>
      <c r="C744" s="1">
        <v>46194</v>
      </c>
      <c r="D744" t="s">
        <v>16</v>
      </c>
      <c r="E744" t="s">
        <v>17</v>
      </c>
      <c r="F744" t="s">
        <v>31</v>
      </c>
      <c r="G744" t="s">
        <v>149</v>
      </c>
      <c r="H744" t="s">
        <v>150</v>
      </c>
      <c r="I744" t="s">
        <v>37</v>
      </c>
      <c r="J744">
        <v>2999</v>
      </c>
      <c r="K744">
        <v>2</v>
      </c>
      <c r="L744">
        <v>2848.3</v>
      </c>
      <c r="M744">
        <v>1139.32</v>
      </c>
      <c r="N744">
        <v>5696.6</v>
      </c>
      <c r="O744">
        <v>4557.28</v>
      </c>
      <c r="P744" t="s">
        <v>2111</v>
      </c>
      <c r="Q744" t="s">
        <v>1809</v>
      </c>
    </row>
    <row r="745" spans="1:17" x14ac:dyDescent="0.3">
      <c r="A745" t="s">
        <v>2373</v>
      </c>
      <c r="B745" t="s">
        <v>758</v>
      </c>
      <c r="C745" s="1">
        <v>46160</v>
      </c>
      <c r="D745" t="s">
        <v>34</v>
      </c>
      <c r="E745" t="s">
        <v>50</v>
      </c>
      <c r="F745" t="s">
        <v>22</v>
      </c>
      <c r="G745" t="s">
        <v>106</v>
      </c>
      <c r="H745" t="s">
        <v>107</v>
      </c>
      <c r="I745" t="s">
        <v>108</v>
      </c>
      <c r="J745">
        <v>599</v>
      </c>
      <c r="K745">
        <v>1</v>
      </c>
      <c r="L745">
        <v>590.88</v>
      </c>
      <c r="M745">
        <v>59.09</v>
      </c>
      <c r="N745">
        <v>590.88</v>
      </c>
      <c r="O745">
        <v>531.79</v>
      </c>
      <c r="P745" t="s">
        <v>2111</v>
      </c>
      <c r="Q745" t="s">
        <v>1479</v>
      </c>
    </row>
    <row r="746" spans="1:17" x14ac:dyDescent="0.3">
      <c r="A746" t="s">
        <v>157</v>
      </c>
      <c r="B746" t="s">
        <v>156</v>
      </c>
      <c r="C746" s="1">
        <v>46028</v>
      </c>
      <c r="D746" t="s">
        <v>63</v>
      </c>
      <c r="E746" t="s">
        <v>17</v>
      </c>
      <c r="F746" t="s">
        <v>31</v>
      </c>
      <c r="G746" t="s">
        <v>160</v>
      </c>
      <c r="H746" t="s">
        <v>161</v>
      </c>
      <c r="I746" t="s">
        <v>82</v>
      </c>
      <c r="J746">
        <v>799</v>
      </c>
      <c r="K746">
        <v>1</v>
      </c>
      <c r="L746">
        <v>825.84</v>
      </c>
      <c r="M746">
        <v>123.88</v>
      </c>
      <c r="N746">
        <v>825.84</v>
      </c>
      <c r="O746">
        <v>701.96</v>
      </c>
      <c r="P746" t="s">
        <v>2111</v>
      </c>
      <c r="Q746" t="s">
        <v>23</v>
      </c>
    </row>
    <row r="747" spans="1:17" x14ac:dyDescent="0.3">
      <c r="A747" t="s">
        <v>167</v>
      </c>
      <c r="B747" t="s">
        <v>164</v>
      </c>
      <c r="C747" s="1">
        <v>46029</v>
      </c>
      <c r="D747" t="s">
        <v>26</v>
      </c>
      <c r="E747" t="s">
        <v>42</v>
      </c>
      <c r="F747" t="s">
        <v>31</v>
      </c>
      <c r="G747" t="s">
        <v>91</v>
      </c>
      <c r="H747" t="s">
        <v>92</v>
      </c>
      <c r="I747" t="s">
        <v>37</v>
      </c>
      <c r="J747">
        <v>1899</v>
      </c>
      <c r="K747">
        <v>1</v>
      </c>
      <c r="L747">
        <v>1872.19</v>
      </c>
      <c r="M747">
        <v>374.44</v>
      </c>
      <c r="N747">
        <v>1872.19</v>
      </c>
      <c r="O747">
        <v>1497.75</v>
      </c>
      <c r="P747" t="s">
        <v>2111</v>
      </c>
      <c r="Q747" t="s">
        <v>23</v>
      </c>
    </row>
    <row r="748" spans="1:17" x14ac:dyDescent="0.3">
      <c r="A748" t="s">
        <v>1755</v>
      </c>
      <c r="B748" t="s">
        <v>995</v>
      </c>
      <c r="C748" s="1">
        <v>46168</v>
      </c>
      <c r="D748" t="s">
        <v>16</v>
      </c>
      <c r="E748" t="s">
        <v>50</v>
      </c>
      <c r="F748" t="s">
        <v>47</v>
      </c>
      <c r="G748" t="s">
        <v>27</v>
      </c>
      <c r="H748" t="s">
        <v>28</v>
      </c>
      <c r="I748" t="s">
        <v>29</v>
      </c>
      <c r="J748">
        <v>1599</v>
      </c>
      <c r="K748">
        <v>1</v>
      </c>
      <c r="L748">
        <v>1580.22</v>
      </c>
      <c r="M748">
        <v>158.02000000000001</v>
      </c>
      <c r="N748">
        <v>1580.22</v>
      </c>
      <c r="O748">
        <v>1422.2</v>
      </c>
      <c r="P748" t="s">
        <v>2111</v>
      </c>
      <c r="Q748" t="s">
        <v>1479</v>
      </c>
    </row>
    <row r="749" spans="1:17" x14ac:dyDescent="0.3">
      <c r="A749" t="s">
        <v>2292</v>
      </c>
      <c r="B749" t="s">
        <v>1282</v>
      </c>
      <c r="C749" s="1">
        <v>46040</v>
      </c>
      <c r="D749" t="s">
        <v>26</v>
      </c>
      <c r="E749" t="s">
        <v>17</v>
      </c>
      <c r="F749" t="s">
        <v>47</v>
      </c>
      <c r="G749" t="s">
        <v>112</v>
      </c>
      <c r="H749" t="s">
        <v>113</v>
      </c>
      <c r="I749" t="s">
        <v>37</v>
      </c>
      <c r="J749">
        <v>1499</v>
      </c>
      <c r="K749">
        <v>2</v>
      </c>
      <c r="L749">
        <v>1368.78</v>
      </c>
      <c r="M749">
        <v>136.88</v>
      </c>
      <c r="N749">
        <v>2737.56</v>
      </c>
      <c r="O749">
        <v>2600.6799999999998</v>
      </c>
      <c r="P749" t="s">
        <v>2111</v>
      </c>
      <c r="Q749" t="s">
        <v>23</v>
      </c>
    </row>
    <row r="750" spans="1:17" x14ac:dyDescent="0.3">
      <c r="A750" t="s">
        <v>1993</v>
      </c>
      <c r="B750" t="s">
        <v>1992</v>
      </c>
      <c r="C750" s="1">
        <v>46193</v>
      </c>
      <c r="D750" t="s">
        <v>16</v>
      </c>
      <c r="E750" t="s">
        <v>17</v>
      </c>
      <c r="F750" t="s">
        <v>22</v>
      </c>
      <c r="G750" t="s">
        <v>43</v>
      </c>
      <c r="H750" t="s">
        <v>44</v>
      </c>
      <c r="I750" t="s">
        <v>45</v>
      </c>
      <c r="J750">
        <v>3299</v>
      </c>
      <c r="K750">
        <v>2</v>
      </c>
      <c r="L750">
        <v>3233.97</v>
      </c>
      <c r="M750">
        <v>970.19</v>
      </c>
      <c r="N750">
        <v>6467.94</v>
      </c>
      <c r="O750">
        <v>5497.75</v>
      </c>
      <c r="P750" t="s">
        <v>2111</v>
      </c>
      <c r="Q750" t="s">
        <v>1809</v>
      </c>
    </row>
    <row r="751" spans="1:17" x14ac:dyDescent="0.3">
      <c r="A751" t="s">
        <v>2040</v>
      </c>
      <c r="B751" t="s">
        <v>1096</v>
      </c>
      <c r="C751" s="1">
        <v>46198</v>
      </c>
      <c r="D751" t="s">
        <v>16</v>
      </c>
      <c r="E751" t="s">
        <v>17</v>
      </c>
      <c r="F751" t="s">
        <v>31</v>
      </c>
      <c r="G751" t="s">
        <v>27</v>
      </c>
      <c r="H751" t="s">
        <v>28</v>
      </c>
      <c r="I751" t="s">
        <v>29</v>
      </c>
      <c r="J751">
        <v>1599</v>
      </c>
      <c r="K751">
        <v>1</v>
      </c>
      <c r="L751">
        <v>1683.7</v>
      </c>
      <c r="M751">
        <v>84.18</v>
      </c>
      <c r="N751">
        <v>1683.7</v>
      </c>
      <c r="O751">
        <v>1599.52</v>
      </c>
      <c r="P751" t="s">
        <v>2111</v>
      </c>
      <c r="Q751" t="s">
        <v>1809</v>
      </c>
    </row>
    <row r="752" spans="1:17" x14ac:dyDescent="0.3">
      <c r="A752" t="s">
        <v>220</v>
      </c>
      <c r="B752" t="s">
        <v>219</v>
      </c>
      <c r="C752" s="1">
        <v>46032</v>
      </c>
      <c r="D752" t="s">
        <v>41</v>
      </c>
      <c r="E752" t="s">
        <v>42</v>
      </c>
      <c r="F752" t="s">
        <v>47</v>
      </c>
      <c r="G752" t="s">
        <v>35</v>
      </c>
      <c r="H752" t="s">
        <v>36</v>
      </c>
      <c r="I752" t="s">
        <v>37</v>
      </c>
      <c r="J752">
        <v>799</v>
      </c>
      <c r="K752">
        <v>1</v>
      </c>
      <c r="L752">
        <v>865.35</v>
      </c>
      <c r="M752">
        <v>86.54</v>
      </c>
      <c r="N752">
        <v>865.35</v>
      </c>
      <c r="O752">
        <v>778.81</v>
      </c>
      <c r="P752" t="s">
        <v>2111</v>
      </c>
      <c r="Q752" t="s">
        <v>23</v>
      </c>
    </row>
    <row r="753" spans="1:17" x14ac:dyDescent="0.3">
      <c r="A753" t="s">
        <v>1110</v>
      </c>
      <c r="B753" t="s">
        <v>349</v>
      </c>
      <c r="C753" s="1">
        <v>46107</v>
      </c>
      <c r="D753" t="s">
        <v>16</v>
      </c>
      <c r="E753" t="s">
        <v>17</v>
      </c>
      <c r="F753" t="s">
        <v>74</v>
      </c>
      <c r="G753" t="s">
        <v>149</v>
      </c>
      <c r="H753" t="s">
        <v>150</v>
      </c>
      <c r="I753" t="s">
        <v>37</v>
      </c>
      <c r="J753">
        <v>2999</v>
      </c>
      <c r="K753">
        <v>1</v>
      </c>
      <c r="L753">
        <v>2947.12</v>
      </c>
      <c r="M753">
        <v>589.41999999999996</v>
      </c>
      <c r="N753">
        <v>2947.12</v>
      </c>
      <c r="O753">
        <v>2357.6999999999998</v>
      </c>
      <c r="P753" t="s">
        <v>2114</v>
      </c>
      <c r="Q753" t="s">
        <v>789</v>
      </c>
    </row>
    <row r="754" spans="1:17" x14ac:dyDescent="0.3">
      <c r="A754" t="s">
        <v>2117</v>
      </c>
      <c r="B754" t="s">
        <v>2118</v>
      </c>
      <c r="C754" s="1">
        <v>46115</v>
      </c>
      <c r="D754" t="s">
        <v>16</v>
      </c>
      <c r="E754" t="s">
        <v>17</v>
      </c>
      <c r="F754" t="s">
        <v>47</v>
      </c>
      <c r="G754" t="s">
        <v>126</v>
      </c>
      <c r="H754" t="s">
        <v>127</v>
      </c>
      <c r="I754" t="s">
        <v>45</v>
      </c>
      <c r="J754">
        <v>2499</v>
      </c>
      <c r="K754">
        <v>2</v>
      </c>
      <c r="L754">
        <v>2460.81</v>
      </c>
      <c r="M754">
        <v>738.24</v>
      </c>
      <c r="N754">
        <v>4921.62</v>
      </c>
      <c r="O754">
        <v>4183.38</v>
      </c>
      <c r="P754" t="s">
        <v>2114</v>
      </c>
      <c r="Q754" t="s">
        <v>1170</v>
      </c>
    </row>
    <row r="755" spans="1:17" x14ac:dyDescent="0.3">
      <c r="A755" t="s">
        <v>1089</v>
      </c>
      <c r="B755" t="s">
        <v>1088</v>
      </c>
      <c r="C755" s="1">
        <v>46105</v>
      </c>
      <c r="D755" t="s">
        <v>63</v>
      </c>
      <c r="E755" t="s">
        <v>50</v>
      </c>
      <c r="F755" t="s">
        <v>31</v>
      </c>
      <c r="G755" t="s">
        <v>101</v>
      </c>
      <c r="H755" t="s">
        <v>102</v>
      </c>
      <c r="I755" t="s">
        <v>45</v>
      </c>
      <c r="J755">
        <v>4999</v>
      </c>
      <c r="K755">
        <v>1</v>
      </c>
      <c r="L755">
        <v>5201.59</v>
      </c>
      <c r="M755">
        <v>520.16</v>
      </c>
      <c r="N755">
        <v>5201.59</v>
      </c>
      <c r="O755">
        <v>4681.43</v>
      </c>
      <c r="P755" t="s">
        <v>2114</v>
      </c>
      <c r="Q755" t="s">
        <v>789</v>
      </c>
    </row>
    <row r="756" spans="1:17" x14ac:dyDescent="0.3">
      <c r="A756" t="s">
        <v>1957</v>
      </c>
      <c r="B756" t="s">
        <v>1956</v>
      </c>
      <c r="C756" s="1">
        <v>46189</v>
      </c>
      <c r="D756" t="s">
        <v>16</v>
      </c>
      <c r="E756" t="s">
        <v>50</v>
      </c>
      <c r="F756" t="s">
        <v>47</v>
      </c>
      <c r="G756" t="s">
        <v>355</v>
      </c>
      <c r="H756" t="s">
        <v>356</v>
      </c>
      <c r="I756" t="s">
        <v>82</v>
      </c>
      <c r="J756">
        <v>499</v>
      </c>
      <c r="K756">
        <v>4</v>
      </c>
      <c r="L756">
        <v>543.19000000000005</v>
      </c>
      <c r="M756">
        <v>108.64</v>
      </c>
      <c r="N756">
        <v>2172.7600000000002</v>
      </c>
      <c r="O756">
        <v>2064.12</v>
      </c>
      <c r="P756" t="s">
        <v>2111</v>
      </c>
      <c r="Q756" t="s">
        <v>1809</v>
      </c>
    </row>
    <row r="757" spans="1:17" x14ac:dyDescent="0.3">
      <c r="A757" t="s">
        <v>967</v>
      </c>
      <c r="B757" t="s">
        <v>966</v>
      </c>
      <c r="C757" s="1">
        <v>46095</v>
      </c>
      <c r="D757" t="s">
        <v>16</v>
      </c>
      <c r="E757" t="s">
        <v>17</v>
      </c>
      <c r="F757" t="s">
        <v>31</v>
      </c>
      <c r="G757" t="s">
        <v>126</v>
      </c>
      <c r="H757" t="s">
        <v>127</v>
      </c>
      <c r="I757" t="s">
        <v>45</v>
      </c>
      <c r="J757">
        <v>2499</v>
      </c>
      <c r="K757">
        <v>2</v>
      </c>
      <c r="L757">
        <v>2382.58</v>
      </c>
      <c r="M757">
        <v>238.26</v>
      </c>
      <c r="N757">
        <v>4765.16</v>
      </c>
      <c r="O757">
        <v>4526.8999999999996</v>
      </c>
      <c r="P757" t="s">
        <v>2111</v>
      </c>
      <c r="Q757" t="s">
        <v>789</v>
      </c>
    </row>
    <row r="758" spans="1:17" x14ac:dyDescent="0.3">
      <c r="A758" t="s">
        <v>1611</v>
      </c>
      <c r="B758" t="s">
        <v>1610</v>
      </c>
      <c r="C758" s="1">
        <v>46154</v>
      </c>
      <c r="D758" t="s">
        <v>63</v>
      </c>
      <c r="E758" t="s">
        <v>50</v>
      </c>
      <c r="F758" t="s">
        <v>31</v>
      </c>
      <c r="G758" t="s">
        <v>160</v>
      </c>
      <c r="H758" t="s">
        <v>161</v>
      </c>
      <c r="I758" t="s">
        <v>82</v>
      </c>
      <c r="J758">
        <v>799</v>
      </c>
      <c r="K758">
        <v>1</v>
      </c>
      <c r="L758">
        <v>789.44</v>
      </c>
      <c r="M758">
        <v>39.47</v>
      </c>
      <c r="N758">
        <v>789.44</v>
      </c>
      <c r="O758">
        <v>749.97</v>
      </c>
      <c r="P758" t="s">
        <v>2111</v>
      </c>
      <c r="Q758" t="s">
        <v>1479</v>
      </c>
    </row>
    <row r="759" spans="1:17" x14ac:dyDescent="0.3">
      <c r="A759" t="s">
        <v>2566</v>
      </c>
      <c r="B759" t="s">
        <v>2567</v>
      </c>
      <c r="C759" s="1">
        <v>46086</v>
      </c>
      <c r="D759" t="s">
        <v>34</v>
      </c>
      <c r="E759" t="s">
        <v>50</v>
      </c>
      <c r="F759" t="s">
        <v>31</v>
      </c>
      <c r="G759" t="s">
        <v>126</v>
      </c>
      <c r="H759" t="s">
        <v>127</v>
      </c>
      <c r="I759" t="s">
        <v>45</v>
      </c>
      <c r="J759">
        <v>2499</v>
      </c>
      <c r="K759">
        <v>1</v>
      </c>
      <c r="L759">
        <v>2646.93</v>
      </c>
      <c r="M759">
        <v>0</v>
      </c>
      <c r="N759">
        <v>2646.93</v>
      </c>
      <c r="O759">
        <v>2646.93</v>
      </c>
      <c r="P759" t="s">
        <v>2111</v>
      </c>
      <c r="Q759" t="s">
        <v>789</v>
      </c>
    </row>
    <row r="760" spans="1:17" x14ac:dyDescent="0.3">
      <c r="A760" t="s">
        <v>2558</v>
      </c>
      <c r="B760" t="s">
        <v>2559</v>
      </c>
      <c r="C760" s="1">
        <v>46178</v>
      </c>
      <c r="D760" t="s">
        <v>63</v>
      </c>
      <c r="E760" t="s">
        <v>17</v>
      </c>
      <c r="F760" t="s">
        <v>74</v>
      </c>
      <c r="G760" t="s">
        <v>191</v>
      </c>
      <c r="H760" t="s">
        <v>192</v>
      </c>
      <c r="I760" t="s">
        <v>45</v>
      </c>
      <c r="J760">
        <v>699</v>
      </c>
      <c r="K760">
        <v>3</v>
      </c>
      <c r="L760">
        <v>714.34</v>
      </c>
      <c r="M760">
        <v>321.45</v>
      </c>
      <c r="N760">
        <v>2143.02</v>
      </c>
      <c r="O760">
        <v>1821.57</v>
      </c>
      <c r="P760" t="s">
        <v>2111</v>
      </c>
      <c r="Q760" t="s">
        <v>1809</v>
      </c>
    </row>
    <row r="761" spans="1:17" x14ac:dyDescent="0.3">
      <c r="A761" t="s">
        <v>813</v>
      </c>
      <c r="B761" t="s">
        <v>812</v>
      </c>
      <c r="C761" s="1">
        <v>46083</v>
      </c>
      <c r="D761" t="s">
        <v>16</v>
      </c>
      <c r="E761" t="s">
        <v>17</v>
      </c>
      <c r="F761" t="s">
        <v>74</v>
      </c>
      <c r="G761" t="s">
        <v>112</v>
      </c>
      <c r="H761" t="s">
        <v>113</v>
      </c>
      <c r="I761" t="s">
        <v>37</v>
      </c>
      <c r="J761">
        <v>1499</v>
      </c>
      <c r="K761">
        <v>1</v>
      </c>
      <c r="L761">
        <v>1382.25</v>
      </c>
      <c r="M761">
        <v>69.11</v>
      </c>
      <c r="N761">
        <v>1382.25</v>
      </c>
      <c r="O761">
        <v>1313.14</v>
      </c>
      <c r="P761" t="s">
        <v>2114</v>
      </c>
      <c r="Q761" t="s">
        <v>789</v>
      </c>
    </row>
    <row r="762" spans="1:17" x14ac:dyDescent="0.3">
      <c r="A762" t="s">
        <v>2568</v>
      </c>
      <c r="B762" t="s">
        <v>2139</v>
      </c>
      <c r="C762" s="1">
        <v>46111</v>
      </c>
      <c r="D762" t="s">
        <v>41</v>
      </c>
      <c r="E762" t="s">
        <v>50</v>
      </c>
      <c r="F762" t="s">
        <v>22</v>
      </c>
      <c r="G762" t="s">
        <v>35</v>
      </c>
      <c r="H762" t="s">
        <v>36</v>
      </c>
      <c r="I762" t="s">
        <v>37</v>
      </c>
      <c r="J762">
        <v>799</v>
      </c>
      <c r="K762">
        <v>1</v>
      </c>
      <c r="L762">
        <v>819.41</v>
      </c>
      <c r="M762">
        <v>81.94</v>
      </c>
      <c r="N762">
        <v>819.41</v>
      </c>
      <c r="O762">
        <v>737.47</v>
      </c>
      <c r="P762" t="s">
        <v>2111</v>
      </c>
      <c r="Q762" t="s">
        <v>789</v>
      </c>
    </row>
    <row r="763" spans="1:17" x14ac:dyDescent="0.3">
      <c r="A763" t="s">
        <v>2379</v>
      </c>
      <c r="B763" t="s">
        <v>2380</v>
      </c>
      <c r="C763" s="1">
        <v>46044</v>
      </c>
      <c r="D763" t="s">
        <v>16</v>
      </c>
      <c r="E763" t="s">
        <v>17</v>
      </c>
      <c r="F763" t="s">
        <v>31</v>
      </c>
      <c r="G763" t="s">
        <v>101</v>
      </c>
      <c r="H763" t="s">
        <v>102</v>
      </c>
      <c r="I763" t="s">
        <v>45</v>
      </c>
      <c r="J763">
        <v>4999</v>
      </c>
      <c r="K763">
        <v>1</v>
      </c>
      <c r="L763">
        <v>4685.8100000000004</v>
      </c>
      <c r="M763">
        <v>468.58</v>
      </c>
      <c r="N763">
        <v>4685.8100000000004</v>
      </c>
      <c r="O763">
        <v>4217.2299999999996</v>
      </c>
      <c r="P763" t="s">
        <v>2111</v>
      </c>
      <c r="Q763" t="s">
        <v>23</v>
      </c>
    </row>
    <row r="764" spans="1:17" x14ac:dyDescent="0.3">
      <c r="A764" t="s">
        <v>927</v>
      </c>
      <c r="B764" t="s">
        <v>764</v>
      </c>
      <c r="C764" s="1">
        <v>46091</v>
      </c>
      <c r="D764" t="s">
        <v>26</v>
      </c>
      <c r="E764" t="s">
        <v>17</v>
      </c>
      <c r="F764" t="s">
        <v>47</v>
      </c>
      <c r="G764" t="s">
        <v>80</v>
      </c>
      <c r="H764" t="s">
        <v>81</v>
      </c>
      <c r="I764" t="s">
        <v>82</v>
      </c>
      <c r="J764">
        <v>4299</v>
      </c>
      <c r="K764">
        <v>2</v>
      </c>
      <c r="L764">
        <v>4307.78</v>
      </c>
      <c r="M764">
        <v>2153.89</v>
      </c>
      <c r="N764">
        <v>8615.56</v>
      </c>
      <c r="O764">
        <v>6461.67</v>
      </c>
      <c r="P764" t="s">
        <v>2111</v>
      </c>
      <c r="Q764" t="s">
        <v>789</v>
      </c>
    </row>
    <row r="765" spans="1:17" x14ac:dyDescent="0.3">
      <c r="A765" t="s">
        <v>923</v>
      </c>
      <c r="B765" t="s">
        <v>922</v>
      </c>
      <c r="C765" s="1">
        <v>46091</v>
      </c>
      <c r="D765" t="s">
        <v>26</v>
      </c>
      <c r="E765" t="s">
        <v>50</v>
      </c>
      <c r="F765" t="s">
        <v>74</v>
      </c>
      <c r="G765" t="s">
        <v>91</v>
      </c>
      <c r="H765" t="s">
        <v>92</v>
      </c>
      <c r="I765" t="s">
        <v>37</v>
      </c>
      <c r="J765">
        <v>1899</v>
      </c>
      <c r="K765">
        <v>2</v>
      </c>
      <c r="L765">
        <v>1910.05</v>
      </c>
      <c r="M765">
        <v>382.01</v>
      </c>
      <c r="N765">
        <v>3820.1</v>
      </c>
      <c r="O765">
        <v>3438.09</v>
      </c>
      <c r="P765" t="s">
        <v>2114</v>
      </c>
      <c r="Q765" t="s">
        <v>789</v>
      </c>
    </row>
    <row r="766" spans="1:17" x14ac:dyDescent="0.3">
      <c r="A766" t="s">
        <v>2097</v>
      </c>
      <c r="B766" t="s">
        <v>2096</v>
      </c>
      <c r="C766" s="1">
        <v>46203</v>
      </c>
      <c r="D766" t="s">
        <v>63</v>
      </c>
      <c r="E766" t="s">
        <v>17</v>
      </c>
      <c r="F766" t="s">
        <v>74</v>
      </c>
      <c r="G766" t="s">
        <v>18</v>
      </c>
      <c r="H766" t="s">
        <v>19</v>
      </c>
      <c r="I766" t="s">
        <v>20</v>
      </c>
      <c r="J766">
        <v>2799</v>
      </c>
      <c r="K766">
        <v>2</v>
      </c>
      <c r="L766">
        <v>3009.6</v>
      </c>
      <c r="M766">
        <v>0</v>
      </c>
      <c r="N766">
        <v>6019.2</v>
      </c>
      <c r="O766">
        <v>6019.2</v>
      </c>
      <c r="P766" t="s">
        <v>2111</v>
      </c>
      <c r="Q766" t="s">
        <v>1809</v>
      </c>
    </row>
    <row r="767" spans="1:17" x14ac:dyDescent="0.3">
      <c r="A767" t="s">
        <v>2569</v>
      </c>
      <c r="B767" t="s">
        <v>2570</v>
      </c>
      <c r="C767" s="1">
        <v>46191</v>
      </c>
      <c r="D767" t="s">
        <v>16</v>
      </c>
      <c r="E767" t="s">
        <v>17</v>
      </c>
      <c r="F767" t="s">
        <v>31</v>
      </c>
      <c r="G767" t="s">
        <v>96</v>
      </c>
      <c r="H767" t="s">
        <v>97</v>
      </c>
      <c r="I767" t="s">
        <v>58</v>
      </c>
      <c r="J767">
        <v>7499</v>
      </c>
      <c r="K767">
        <v>2</v>
      </c>
      <c r="L767">
        <v>7442.75</v>
      </c>
      <c r="M767">
        <v>0</v>
      </c>
      <c r="N767">
        <v>14885.5</v>
      </c>
      <c r="O767">
        <v>14885.5</v>
      </c>
      <c r="P767" t="s">
        <v>2111</v>
      </c>
      <c r="Q767" t="s">
        <v>1809</v>
      </c>
    </row>
    <row r="768" spans="1:17" x14ac:dyDescent="0.3">
      <c r="A768" t="s">
        <v>2267</v>
      </c>
      <c r="B768" t="s">
        <v>2268</v>
      </c>
      <c r="C768" s="1">
        <v>46177</v>
      </c>
      <c r="D768" t="s">
        <v>16</v>
      </c>
      <c r="E768" t="s">
        <v>50</v>
      </c>
      <c r="F768" t="s">
        <v>31</v>
      </c>
      <c r="G768" t="s">
        <v>96</v>
      </c>
      <c r="H768" t="s">
        <v>97</v>
      </c>
      <c r="I768" t="s">
        <v>58</v>
      </c>
      <c r="J768">
        <v>7499</v>
      </c>
      <c r="K768">
        <v>3</v>
      </c>
      <c r="L768">
        <v>7168.21</v>
      </c>
      <c r="M768">
        <v>2150.46</v>
      </c>
      <c r="N768">
        <v>21504.63</v>
      </c>
      <c r="O768">
        <v>19354.169999999998</v>
      </c>
      <c r="P768" t="s">
        <v>2111</v>
      </c>
      <c r="Q768" t="s">
        <v>1809</v>
      </c>
    </row>
    <row r="769" spans="1:17" x14ac:dyDescent="0.3">
      <c r="A769" t="s">
        <v>1632</v>
      </c>
      <c r="B769" t="s">
        <v>1631</v>
      </c>
      <c r="C769" s="1">
        <v>46155</v>
      </c>
      <c r="D769" t="s">
        <v>16</v>
      </c>
      <c r="E769" t="s">
        <v>17</v>
      </c>
      <c r="F769" t="s">
        <v>22</v>
      </c>
      <c r="G769" t="s">
        <v>149</v>
      </c>
      <c r="H769" t="s">
        <v>150</v>
      </c>
      <c r="I769" t="s">
        <v>37</v>
      </c>
      <c r="J769">
        <v>2999</v>
      </c>
      <c r="K769">
        <v>3</v>
      </c>
      <c r="L769">
        <v>2837.63</v>
      </c>
      <c r="M769">
        <v>851.29</v>
      </c>
      <c r="N769">
        <v>8512.89</v>
      </c>
      <c r="O769">
        <v>7661.6</v>
      </c>
      <c r="P769" t="s">
        <v>2111</v>
      </c>
      <c r="Q769" t="s">
        <v>1479</v>
      </c>
    </row>
    <row r="770" spans="1:17" x14ac:dyDescent="0.3">
      <c r="A770" t="s">
        <v>2225</v>
      </c>
      <c r="B770" t="s">
        <v>984</v>
      </c>
      <c r="C770" s="1">
        <v>46064</v>
      </c>
      <c r="D770" t="s">
        <v>63</v>
      </c>
      <c r="E770" t="s">
        <v>17</v>
      </c>
      <c r="F770" t="s">
        <v>31</v>
      </c>
      <c r="G770" t="s">
        <v>191</v>
      </c>
      <c r="H770" t="s">
        <v>192</v>
      </c>
      <c r="I770" t="s">
        <v>45</v>
      </c>
      <c r="J770">
        <v>699</v>
      </c>
      <c r="K770">
        <v>1</v>
      </c>
      <c r="L770">
        <v>751.32</v>
      </c>
      <c r="M770">
        <v>75.13</v>
      </c>
      <c r="N770">
        <v>751.32</v>
      </c>
      <c r="O770">
        <v>676.19</v>
      </c>
      <c r="P770" t="s">
        <v>2111</v>
      </c>
      <c r="Q770" t="s">
        <v>498</v>
      </c>
    </row>
    <row r="771" spans="1:17" x14ac:dyDescent="0.3">
      <c r="A771" t="s">
        <v>503</v>
      </c>
      <c r="B771" t="s">
        <v>308</v>
      </c>
      <c r="C771" s="1">
        <v>46054</v>
      </c>
      <c r="D771" t="s">
        <v>63</v>
      </c>
      <c r="E771" t="s">
        <v>17</v>
      </c>
      <c r="F771" t="s">
        <v>47</v>
      </c>
      <c r="G771" t="s">
        <v>106</v>
      </c>
      <c r="H771" t="s">
        <v>107</v>
      </c>
      <c r="I771" t="s">
        <v>108</v>
      </c>
      <c r="J771">
        <v>599</v>
      </c>
      <c r="K771">
        <v>1</v>
      </c>
      <c r="L771">
        <v>559.59</v>
      </c>
      <c r="M771">
        <v>55.96</v>
      </c>
      <c r="N771">
        <v>559.59</v>
      </c>
      <c r="O771">
        <v>503.63</v>
      </c>
      <c r="P771" t="s">
        <v>2111</v>
      </c>
      <c r="Q771" t="s">
        <v>498</v>
      </c>
    </row>
    <row r="772" spans="1:17" x14ac:dyDescent="0.3">
      <c r="A772" t="s">
        <v>2571</v>
      </c>
      <c r="B772" t="s">
        <v>337</v>
      </c>
      <c r="C772" s="1">
        <v>46160</v>
      </c>
      <c r="D772" t="s">
        <v>63</v>
      </c>
      <c r="E772" t="s">
        <v>17</v>
      </c>
      <c r="F772" t="s">
        <v>31</v>
      </c>
      <c r="G772" t="s">
        <v>18</v>
      </c>
      <c r="H772" t="s">
        <v>19</v>
      </c>
      <c r="I772" t="s">
        <v>20</v>
      </c>
      <c r="J772">
        <v>2799</v>
      </c>
      <c r="K772">
        <v>2</v>
      </c>
      <c r="L772">
        <v>2757.5</v>
      </c>
      <c r="M772">
        <v>0</v>
      </c>
      <c r="N772">
        <v>5515</v>
      </c>
      <c r="O772">
        <v>5515</v>
      </c>
      <c r="P772" t="s">
        <v>2111</v>
      </c>
      <c r="Q772" t="s">
        <v>1479</v>
      </c>
    </row>
    <row r="773" spans="1:17" x14ac:dyDescent="0.3">
      <c r="A773" t="s">
        <v>2572</v>
      </c>
      <c r="B773" t="s">
        <v>1546</v>
      </c>
      <c r="C773" s="1">
        <v>46038</v>
      </c>
      <c r="D773" t="s">
        <v>63</v>
      </c>
      <c r="E773" t="s">
        <v>17</v>
      </c>
      <c r="F773" t="s">
        <v>47</v>
      </c>
      <c r="G773" t="s">
        <v>91</v>
      </c>
      <c r="H773" t="s">
        <v>92</v>
      </c>
      <c r="I773" t="s">
        <v>37</v>
      </c>
      <c r="J773">
        <v>1899</v>
      </c>
      <c r="K773">
        <v>2</v>
      </c>
      <c r="L773">
        <v>1780.19</v>
      </c>
      <c r="M773">
        <v>356.04</v>
      </c>
      <c r="N773">
        <v>3560.38</v>
      </c>
      <c r="O773">
        <v>3204.34</v>
      </c>
      <c r="P773" t="s">
        <v>2111</v>
      </c>
      <c r="Q773" t="s">
        <v>23</v>
      </c>
    </row>
    <row r="774" spans="1:17" x14ac:dyDescent="0.3">
      <c r="A774" t="s">
        <v>241</v>
      </c>
      <c r="B774" t="s">
        <v>240</v>
      </c>
      <c r="C774" s="1">
        <v>46034</v>
      </c>
      <c r="D774" t="s">
        <v>26</v>
      </c>
      <c r="E774" t="s">
        <v>17</v>
      </c>
      <c r="F774" t="s">
        <v>22</v>
      </c>
      <c r="G774" t="s">
        <v>27</v>
      </c>
      <c r="H774" t="s">
        <v>28</v>
      </c>
      <c r="I774" t="s">
        <v>29</v>
      </c>
      <c r="J774">
        <v>1599</v>
      </c>
      <c r="K774">
        <v>1</v>
      </c>
      <c r="L774">
        <v>1686.4</v>
      </c>
      <c r="M774">
        <v>168.64</v>
      </c>
      <c r="N774">
        <v>1686.4</v>
      </c>
      <c r="O774">
        <v>1517.76</v>
      </c>
      <c r="P774" t="s">
        <v>2111</v>
      </c>
      <c r="Q774" t="s">
        <v>23</v>
      </c>
    </row>
    <row r="775" spans="1:17" x14ac:dyDescent="0.3">
      <c r="A775" t="s">
        <v>2549</v>
      </c>
      <c r="B775" t="s">
        <v>85</v>
      </c>
      <c r="C775" s="1">
        <v>46104</v>
      </c>
      <c r="D775" t="s">
        <v>41</v>
      </c>
      <c r="E775" t="s">
        <v>17</v>
      </c>
      <c r="F775" t="s">
        <v>31</v>
      </c>
      <c r="G775" t="s">
        <v>149</v>
      </c>
      <c r="H775" t="s">
        <v>150</v>
      </c>
      <c r="I775" t="s">
        <v>37</v>
      </c>
      <c r="J775">
        <v>2999</v>
      </c>
      <c r="K775">
        <v>1</v>
      </c>
      <c r="L775">
        <v>2983.63</v>
      </c>
      <c r="M775">
        <v>0</v>
      </c>
      <c r="N775">
        <v>2983.63</v>
      </c>
      <c r="O775">
        <v>2983.63</v>
      </c>
      <c r="P775" t="s">
        <v>2114</v>
      </c>
      <c r="Q775" t="s">
        <v>789</v>
      </c>
    </row>
    <row r="776" spans="1:17" x14ac:dyDescent="0.3">
      <c r="A776" t="s">
        <v>1365</v>
      </c>
      <c r="B776" t="s">
        <v>1042</v>
      </c>
      <c r="C776" s="1">
        <v>46133</v>
      </c>
      <c r="D776" t="s">
        <v>26</v>
      </c>
      <c r="E776" t="s">
        <v>42</v>
      </c>
      <c r="F776" t="s">
        <v>31</v>
      </c>
      <c r="G776" t="s">
        <v>165</v>
      </c>
      <c r="H776" t="s">
        <v>166</v>
      </c>
      <c r="I776" t="s">
        <v>29</v>
      </c>
      <c r="J776">
        <v>449</v>
      </c>
      <c r="K776">
        <v>2</v>
      </c>
      <c r="L776">
        <v>435.63</v>
      </c>
      <c r="M776">
        <v>0</v>
      </c>
      <c r="N776">
        <v>871.26</v>
      </c>
      <c r="O776">
        <v>871.26</v>
      </c>
      <c r="P776" t="s">
        <v>2111</v>
      </c>
      <c r="Q776" t="s">
        <v>1170</v>
      </c>
    </row>
    <row r="777" spans="1:17" x14ac:dyDescent="0.3">
      <c r="A777" t="s">
        <v>483</v>
      </c>
      <c r="B777" t="s">
        <v>482</v>
      </c>
      <c r="C777" s="1">
        <v>46053</v>
      </c>
      <c r="D777" t="s">
        <v>63</v>
      </c>
      <c r="E777" t="s">
        <v>17</v>
      </c>
      <c r="F777" t="s">
        <v>31</v>
      </c>
      <c r="G777" t="s">
        <v>101</v>
      </c>
      <c r="H777" t="s">
        <v>102</v>
      </c>
      <c r="I777" t="s">
        <v>45</v>
      </c>
      <c r="J777">
        <v>4999</v>
      </c>
      <c r="K777">
        <v>2</v>
      </c>
      <c r="L777">
        <v>4860.13</v>
      </c>
      <c r="M777">
        <v>0</v>
      </c>
      <c r="N777">
        <v>9720.26</v>
      </c>
      <c r="O777">
        <v>9720.26</v>
      </c>
      <c r="P777" t="s">
        <v>2111</v>
      </c>
      <c r="Q777" t="s">
        <v>23</v>
      </c>
    </row>
    <row r="778" spans="1:17" x14ac:dyDescent="0.3">
      <c r="A778" t="s">
        <v>596</v>
      </c>
      <c r="B778" t="s">
        <v>595</v>
      </c>
      <c r="C778" s="1">
        <v>46062</v>
      </c>
      <c r="D778" t="s">
        <v>34</v>
      </c>
      <c r="E778" t="s">
        <v>17</v>
      </c>
      <c r="F778" t="s">
        <v>47</v>
      </c>
      <c r="G778" t="s">
        <v>35</v>
      </c>
      <c r="H778" t="s">
        <v>36</v>
      </c>
      <c r="I778" t="s">
        <v>37</v>
      </c>
      <c r="J778">
        <v>799</v>
      </c>
      <c r="K778">
        <v>1</v>
      </c>
      <c r="L778">
        <v>855.28</v>
      </c>
      <c r="M778">
        <v>0</v>
      </c>
      <c r="N778">
        <v>855.28</v>
      </c>
      <c r="O778">
        <v>855.28</v>
      </c>
      <c r="P778" t="s">
        <v>2111</v>
      </c>
      <c r="Q778" t="s">
        <v>498</v>
      </c>
    </row>
    <row r="779" spans="1:17" x14ac:dyDescent="0.3">
      <c r="A779" t="s">
        <v>1433</v>
      </c>
      <c r="B779" t="s">
        <v>1432</v>
      </c>
      <c r="C779" s="1">
        <v>46138</v>
      </c>
      <c r="D779" t="s">
        <v>16</v>
      </c>
      <c r="E779" t="s">
        <v>50</v>
      </c>
      <c r="F779" t="s">
        <v>22</v>
      </c>
      <c r="G779" t="s">
        <v>101</v>
      </c>
      <c r="H779" t="s">
        <v>102</v>
      </c>
      <c r="I779" t="s">
        <v>45</v>
      </c>
      <c r="J779">
        <v>4999</v>
      </c>
      <c r="K779">
        <v>1</v>
      </c>
      <c r="L779">
        <v>5052.76</v>
      </c>
      <c r="M779">
        <v>505.28</v>
      </c>
      <c r="N779">
        <v>5052.76</v>
      </c>
      <c r="O779">
        <v>4547.4799999999996</v>
      </c>
      <c r="P779" t="s">
        <v>2111</v>
      </c>
      <c r="Q779" t="s">
        <v>1170</v>
      </c>
    </row>
    <row r="780" spans="1:17" x14ac:dyDescent="0.3">
      <c r="A780" t="s">
        <v>2188</v>
      </c>
      <c r="B780" t="s">
        <v>2189</v>
      </c>
      <c r="C780" s="1">
        <v>46094</v>
      </c>
      <c r="D780" t="s">
        <v>34</v>
      </c>
      <c r="E780" t="s">
        <v>17</v>
      </c>
      <c r="F780" t="s">
        <v>74</v>
      </c>
      <c r="G780" t="s">
        <v>35</v>
      </c>
      <c r="H780" t="s">
        <v>36</v>
      </c>
      <c r="I780" t="s">
        <v>37</v>
      </c>
      <c r="J780">
        <v>799</v>
      </c>
      <c r="K780">
        <v>1</v>
      </c>
      <c r="L780">
        <v>833.82</v>
      </c>
      <c r="M780">
        <v>0</v>
      </c>
      <c r="N780">
        <v>833.82</v>
      </c>
      <c r="O780">
        <v>833.82</v>
      </c>
      <c r="P780" t="s">
        <v>2111</v>
      </c>
      <c r="Q780" t="s">
        <v>789</v>
      </c>
    </row>
    <row r="781" spans="1:17" x14ac:dyDescent="0.3">
      <c r="A781" t="s">
        <v>2573</v>
      </c>
      <c r="B781" t="s">
        <v>2574</v>
      </c>
      <c r="C781" s="1">
        <v>46076</v>
      </c>
      <c r="D781" t="s">
        <v>26</v>
      </c>
      <c r="E781" t="s">
        <v>42</v>
      </c>
      <c r="F781" t="s">
        <v>47</v>
      </c>
      <c r="G781" t="s">
        <v>91</v>
      </c>
      <c r="H781" t="s">
        <v>92</v>
      </c>
      <c r="I781" t="s">
        <v>37</v>
      </c>
      <c r="J781">
        <v>1899</v>
      </c>
      <c r="K781">
        <v>1</v>
      </c>
      <c r="L781">
        <v>2049.8000000000002</v>
      </c>
      <c r="M781">
        <v>102.49</v>
      </c>
      <c r="N781">
        <v>2049.8000000000002</v>
      </c>
      <c r="O781">
        <v>1947.31</v>
      </c>
      <c r="P781" t="s">
        <v>2111</v>
      </c>
      <c r="Q781" t="s">
        <v>498</v>
      </c>
    </row>
    <row r="782" spans="1:17" x14ac:dyDescent="0.3">
      <c r="A782" t="s">
        <v>2129</v>
      </c>
      <c r="B782" t="s">
        <v>2130</v>
      </c>
      <c r="C782" s="1">
        <v>46201</v>
      </c>
      <c r="D782" t="s">
        <v>34</v>
      </c>
      <c r="E782" t="s">
        <v>17</v>
      </c>
      <c r="F782" t="s">
        <v>22</v>
      </c>
      <c r="G782" t="s">
        <v>56</v>
      </c>
      <c r="H782" t="s">
        <v>57</v>
      </c>
      <c r="I782" t="s">
        <v>58</v>
      </c>
      <c r="J782">
        <v>8999</v>
      </c>
      <c r="K782">
        <v>1</v>
      </c>
      <c r="L782">
        <v>9722.0499999999993</v>
      </c>
      <c r="M782">
        <v>0</v>
      </c>
      <c r="N782">
        <v>9722.0499999999993</v>
      </c>
      <c r="O782">
        <v>9722.0499999999993</v>
      </c>
      <c r="P782" t="s">
        <v>2111</v>
      </c>
      <c r="Q782" t="s">
        <v>1809</v>
      </c>
    </row>
    <row r="783" spans="1:17" x14ac:dyDescent="0.3">
      <c r="A783" t="s">
        <v>813</v>
      </c>
      <c r="B783" t="s">
        <v>812</v>
      </c>
      <c r="C783" s="1">
        <v>46083</v>
      </c>
      <c r="D783" t="s">
        <v>16</v>
      </c>
      <c r="E783" t="s">
        <v>17</v>
      </c>
      <c r="F783" t="s">
        <v>74</v>
      </c>
      <c r="G783" t="s">
        <v>18</v>
      </c>
      <c r="H783" t="s">
        <v>19</v>
      </c>
      <c r="I783" t="s">
        <v>20</v>
      </c>
      <c r="J783">
        <v>2799</v>
      </c>
      <c r="K783">
        <v>1</v>
      </c>
      <c r="L783">
        <v>2703</v>
      </c>
      <c r="M783">
        <v>675.75</v>
      </c>
      <c r="N783">
        <v>2703</v>
      </c>
      <c r="O783">
        <v>2027.25</v>
      </c>
      <c r="P783" t="s">
        <v>2111</v>
      </c>
      <c r="Q783" t="s">
        <v>789</v>
      </c>
    </row>
    <row r="784" spans="1:17" x14ac:dyDescent="0.3">
      <c r="A784" t="s">
        <v>491</v>
      </c>
      <c r="B784" t="s">
        <v>490</v>
      </c>
      <c r="C784" s="1">
        <v>46053</v>
      </c>
      <c r="D784" t="s">
        <v>34</v>
      </c>
      <c r="E784" t="s">
        <v>17</v>
      </c>
      <c r="F784" t="s">
        <v>31</v>
      </c>
      <c r="G784" t="s">
        <v>160</v>
      </c>
      <c r="H784" t="s">
        <v>161</v>
      </c>
      <c r="I784" t="s">
        <v>82</v>
      </c>
      <c r="J784">
        <v>799</v>
      </c>
      <c r="K784">
        <v>1</v>
      </c>
      <c r="L784">
        <v>871.3</v>
      </c>
      <c r="M784">
        <v>174.26</v>
      </c>
      <c r="N784">
        <v>871.3</v>
      </c>
      <c r="O784">
        <v>697.04</v>
      </c>
      <c r="P784" t="s">
        <v>2111</v>
      </c>
      <c r="Q784" t="s">
        <v>23</v>
      </c>
    </row>
    <row r="785" spans="1:17" x14ac:dyDescent="0.3">
      <c r="A785" t="s">
        <v>2329</v>
      </c>
      <c r="B785" t="s">
        <v>2330</v>
      </c>
      <c r="C785" s="1">
        <v>46071</v>
      </c>
      <c r="D785" t="s">
        <v>34</v>
      </c>
      <c r="E785" t="s">
        <v>17</v>
      </c>
      <c r="F785" t="s">
        <v>60</v>
      </c>
      <c r="G785" t="s">
        <v>35</v>
      </c>
      <c r="H785" t="s">
        <v>36</v>
      </c>
      <c r="I785" t="s">
        <v>37</v>
      </c>
      <c r="J785">
        <v>799</v>
      </c>
      <c r="K785">
        <v>1</v>
      </c>
      <c r="L785">
        <v>723.08</v>
      </c>
      <c r="M785">
        <v>36.15</v>
      </c>
      <c r="N785">
        <v>723.08</v>
      </c>
      <c r="O785">
        <v>686.93</v>
      </c>
      <c r="P785" t="s">
        <v>2111</v>
      </c>
      <c r="Q785" t="s">
        <v>498</v>
      </c>
    </row>
    <row r="786" spans="1:17" x14ac:dyDescent="0.3">
      <c r="A786" t="s">
        <v>2575</v>
      </c>
      <c r="B786" t="s">
        <v>2576</v>
      </c>
      <c r="C786" s="1">
        <v>46033</v>
      </c>
      <c r="D786" t="s">
        <v>16</v>
      </c>
      <c r="E786" t="s">
        <v>50</v>
      </c>
      <c r="F786" t="s">
        <v>60</v>
      </c>
      <c r="G786" t="s">
        <v>56</v>
      </c>
      <c r="H786" t="s">
        <v>57</v>
      </c>
      <c r="I786" t="s">
        <v>58</v>
      </c>
      <c r="J786">
        <v>8999</v>
      </c>
      <c r="K786">
        <v>2</v>
      </c>
      <c r="L786">
        <v>8777.33</v>
      </c>
      <c r="M786">
        <v>877.73</v>
      </c>
      <c r="N786">
        <v>17554.66</v>
      </c>
      <c r="O786">
        <v>16676.93</v>
      </c>
      <c r="P786" t="s">
        <v>2111</v>
      </c>
      <c r="Q786" t="s">
        <v>23</v>
      </c>
    </row>
    <row r="787" spans="1:17" x14ac:dyDescent="0.3">
      <c r="A787" t="s">
        <v>909</v>
      </c>
      <c r="B787" t="s">
        <v>908</v>
      </c>
      <c r="C787" s="1">
        <v>46090</v>
      </c>
      <c r="D787" t="s">
        <v>34</v>
      </c>
      <c r="E787" t="s">
        <v>17</v>
      </c>
      <c r="F787" t="s">
        <v>47</v>
      </c>
      <c r="G787" t="s">
        <v>96</v>
      </c>
      <c r="H787" t="s">
        <v>97</v>
      </c>
      <c r="I787" t="s">
        <v>58</v>
      </c>
      <c r="J787">
        <v>7499</v>
      </c>
      <c r="K787">
        <v>2</v>
      </c>
      <c r="L787">
        <v>8092.62</v>
      </c>
      <c r="M787">
        <v>809.26</v>
      </c>
      <c r="N787">
        <v>16185.24</v>
      </c>
      <c r="O787">
        <v>15375.98</v>
      </c>
      <c r="P787" t="s">
        <v>2111</v>
      </c>
      <c r="Q787" t="s">
        <v>789</v>
      </c>
    </row>
    <row r="788" spans="1:17" x14ac:dyDescent="0.3">
      <c r="A788" t="s">
        <v>596</v>
      </c>
      <c r="B788" t="s">
        <v>595</v>
      </c>
      <c r="C788" s="1">
        <v>46062</v>
      </c>
      <c r="D788" t="s">
        <v>34</v>
      </c>
      <c r="E788" t="s">
        <v>17</v>
      </c>
      <c r="F788" t="s">
        <v>47</v>
      </c>
      <c r="G788" t="s">
        <v>191</v>
      </c>
      <c r="H788" t="s">
        <v>192</v>
      </c>
      <c r="I788" t="s">
        <v>45</v>
      </c>
      <c r="J788">
        <v>699</v>
      </c>
      <c r="K788">
        <v>1</v>
      </c>
      <c r="L788">
        <v>667.49</v>
      </c>
      <c r="M788">
        <v>66.75</v>
      </c>
      <c r="N788">
        <v>667.49</v>
      </c>
      <c r="O788">
        <v>600.74</v>
      </c>
      <c r="P788" t="s">
        <v>2111</v>
      </c>
      <c r="Q788" t="s">
        <v>498</v>
      </c>
    </row>
    <row r="789" spans="1:17" x14ac:dyDescent="0.3">
      <c r="A789" t="s">
        <v>2577</v>
      </c>
      <c r="B789" t="s">
        <v>2578</v>
      </c>
      <c r="C789" s="1">
        <v>46107</v>
      </c>
      <c r="D789" t="s">
        <v>26</v>
      </c>
      <c r="E789" t="s">
        <v>50</v>
      </c>
      <c r="F789" t="s">
        <v>74</v>
      </c>
      <c r="G789" t="s">
        <v>96</v>
      </c>
      <c r="H789" t="s">
        <v>97</v>
      </c>
      <c r="I789" t="s">
        <v>58</v>
      </c>
      <c r="J789">
        <v>7499</v>
      </c>
      <c r="K789">
        <v>1</v>
      </c>
      <c r="L789">
        <v>7158.67</v>
      </c>
      <c r="M789">
        <v>0</v>
      </c>
      <c r="N789">
        <v>7158.67</v>
      </c>
      <c r="O789">
        <v>7158.67</v>
      </c>
      <c r="P789" t="s">
        <v>2111</v>
      </c>
      <c r="Q789" t="s">
        <v>789</v>
      </c>
    </row>
    <row r="790" spans="1:17" x14ac:dyDescent="0.3">
      <c r="A790" t="s">
        <v>2579</v>
      </c>
      <c r="B790" t="s">
        <v>2432</v>
      </c>
      <c r="C790" s="1">
        <v>46175</v>
      </c>
      <c r="D790" t="s">
        <v>34</v>
      </c>
      <c r="E790" t="s">
        <v>17</v>
      </c>
      <c r="F790" t="s">
        <v>22</v>
      </c>
      <c r="G790" t="s">
        <v>106</v>
      </c>
      <c r="H790" t="s">
        <v>107</v>
      </c>
      <c r="I790" t="s">
        <v>108</v>
      </c>
      <c r="J790">
        <v>599</v>
      </c>
      <c r="K790">
        <v>2</v>
      </c>
      <c r="L790">
        <v>575.35</v>
      </c>
      <c r="M790">
        <v>172.6</v>
      </c>
      <c r="N790">
        <v>1150.7</v>
      </c>
      <c r="O790">
        <v>978.1</v>
      </c>
      <c r="P790" t="s">
        <v>2111</v>
      </c>
      <c r="Q790" t="s">
        <v>1809</v>
      </c>
    </row>
    <row r="791" spans="1:17" x14ac:dyDescent="0.3">
      <c r="A791" t="s">
        <v>2580</v>
      </c>
      <c r="B791" t="s">
        <v>2037</v>
      </c>
      <c r="C791" s="1">
        <v>46045</v>
      </c>
      <c r="D791" t="s">
        <v>41</v>
      </c>
      <c r="E791" t="s">
        <v>17</v>
      </c>
      <c r="F791" t="s">
        <v>22</v>
      </c>
      <c r="G791" t="s">
        <v>27</v>
      </c>
      <c r="H791" t="s">
        <v>28</v>
      </c>
      <c r="I791" t="s">
        <v>29</v>
      </c>
      <c r="J791">
        <v>1599</v>
      </c>
      <c r="K791">
        <v>1</v>
      </c>
      <c r="L791">
        <v>1634.92</v>
      </c>
      <c r="M791">
        <v>163.49</v>
      </c>
      <c r="N791">
        <v>1634.92</v>
      </c>
      <c r="O791">
        <v>1471.43</v>
      </c>
      <c r="P791" t="s">
        <v>2111</v>
      </c>
      <c r="Q791" t="s">
        <v>23</v>
      </c>
    </row>
    <row r="792" spans="1:17" x14ac:dyDescent="0.3">
      <c r="A792" t="s">
        <v>2581</v>
      </c>
      <c r="B792" t="s">
        <v>2582</v>
      </c>
      <c r="C792" s="1">
        <v>46154</v>
      </c>
      <c r="D792" t="s">
        <v>26</v>
      </c>
      <c r="E792" t="s">
        <v>50</v>
      </c>
      <c r="F792" t="s">
        <v>74</v>
      </c>
      <c r="G792" t="s">
        <v>160</v>
      </c>
      <c r="H792" t="s">
        <v>161</v>
      </c>
      <c r="I792" t="s">
        <v>82</v>
      </c>
      <c r="J792">
        <v>799</v>
      </c>
      <c r="K792">
        <v>4</v>
      </c>
      <c r="L792">
        <v>789.15</v>
      </c>
      <c r="M792">
        <v>631.32000000000005</v>
      </c>
      <c r="N792">
        <v>3156.6</v>
      </c>
      <c r="O792">
        <v>2525.2800000000002</v>
      </c>
      <c r="P792" t="s">
        <v>2114</v>
      </c>
      <c r="Q792" t="s">
        <v>1479</v>
      </c>
    </row>
    <row r="793" spans="1:17" x14ac:dyDescent="0.3">
      <c r="A793" t="s">
        <v>1099</v>
      </c>
      <c r="B793" t="s">
        <v>243</v>
      </c>
      <c r="C793" s="1">
        <v>46106</v>
      </c>
      <c r="D793" t="s">
        <v>16</v>
      </c>
      <c r="E793" t="s">
        <v>50</v>
      </c>
      <c r="F793" t="s">
        <v>47</v>
      </c>
      <c r="G793" t="s">
        <v>27</v>
      </c>
      <c r="H793" t="s">
        <v>28</v>
      </c>
      <c r="I793" t="s">
        <v>29</v>
      </c>
      <c r="J793">
        <v>1599</v>
      </c>
      <c r="K793">
        <v>2</v>
      </c>
      <c r="L793">
        <v>1671.51</v>
      </c>
      <c r="M793">
        <v>0</v>
      </c>
      <c r="N793">
        <v>3343.02</v>
      </c>
      <c r="O793">
        <v>3343.02</v>
      </c>
      <c r="P793" t="s">
        <v>2111</v>
      </c>
      <c r="Q793" t="s">
        <v>789</v>
      </c>
    </row>
    <row r="794" spans="1:17" x14ac:dyDescent="0.3">
      <c r="A794" t="s">
        <v>2575</v>
      </c>
      <c r="B794" t="s">
        <v>2576</v>
      </c>
      <c r="C794" s="1">
        <v>46033</v>
      </c>
      <c r="D794" t="s">
        <v>16</v>
      </c>
      <c r="E794" t="s">
        <v>50</v>
      </c>
      <c r="F794" t="s">
        <v>60</v>
      </c>
      <c r="G794" t="s">
        <v>126</v>
      </c>
      <c r="H794" t="s">
        <v>127</v>
      </c>
      <c r="I794" t="s">
        <v>45</v>
      </c>
      <c r="J794">
        <v>2499</v>
      </c>
      <c r="K794">
        <v>1</v>
      </c>
      <c r="L794">
        <v>2696.38</v>
      </c>
      <c r="M794">
        <v>404.46</v>
      </c>
      <c r="N794">
        <v>2696.38</v>
      </c>
      <c r="O794">
        <v>2291.92</v>
      </c>
      <c r="P794" t="s">
        <v>2111</v>
      </c>
      <c r="Q794" t="s">
        <v>23</v>
      </c>
    </row>
    <row r="795" spans="1:17" x14ac:dyDescent="0.3">
      <c r="A795" t="s">
        <v>2089</v>
      </c>
      <c r="B795" t="s">
        <v>2088</v>
      </c>
      <c r="C795" s="1">
        <v>46202</v>
      </c>
      <c r="D795" t="s">
        <v>16</v>
      </c>
      <c r="E795" t="s">
        <v>17</v>
      </c>
      <c r="F795" t="s">
        <v>74</v>
      </c>
      <c r="G795" t="s">
        <v>112</v>
      </c>
      <c r="H795" t="s">
        <v>113</v>
      </c>
      <c r="I795" t="s">
        <v>37</v>
      </c>
      <c r="J795">
        <v>1499</v>
      </c>
      <c r="K795">
        <v>4</v>
      </c>
      <c r="L795">
        <v>1551.22</v>
      </c>
      <c r="M795">
        <v>930.73</v>
      </c>
      <c r="N795">
        <v>6204.88</v>
      </c>
      <c r="O795">
        <v>5274.15</v>
      </c>
      <c r="P795" t="s">
        <v>2111</v>
      </c>
      <c r="Q795" t="s">
        <v>1809</v>
      </c>
    </row>
    <row r="796" spans="1:17" x14ac:dyDescent="0.3">
      <c r="A796" t="s">
        <v>2583</v>
      </c>
      <c r="B796" t="s">
        <v>1340</v>
      </c>
      <c r="C796" s="1">
        <v>46091</v>
      </c>
      <c r="D796" t="s">
        <v>26</v>
      </c>
      <c r="E796" t="s">
        <v>50</v>
      </c>
      <c r="F796" t="s">
        <v>47</v>
      </c>
      <c r="G796" t="s">
        <v>126</v>
      </c>
      <c r="H796" t="s">
        <v>127</v>
      </c>
      <c r="I796" t="s">
        <v>45</v>
      </c>
      <c r="J796">
        <v>2499</v>
      </c>
      <c r="K796">
        <v>1</v>
      </c>
      <c r="L796">
        <v>2351.29</v>
      </c>
      <c r="M796">
        <v>0</v>
      </c>
      <c r="N796">
        <v>2351.29</v>
      </c>
      <c r="O796">
        <v>2351.29</v>
      </c>
      <c r="P796" t="s">
        <v>2111</v>
      </c>
      <c r="Q796" t="s">
        <v>789</v>
      </c>
    </row>
    <row r="797" spans="1:17" x14ac:dyDescent="0.3">
      <c r="A797" t="s">
        <v>2356</v>
      </c>
      <c r="B797" t="s">
        <v>195</v>
      </c>
      <c r="C797" s="1">
        <v>46157</v>
      </c>
      <c r="D797" t="s">
        <v>41</v>
      </c>
      <c r="E797" t="s">
        <v>50</v>
      </c>
      <c r="F797" t="s">
        <v>31</v>
      </c>
      <c r="G797" t="s">
        <v>191</v>
      </c>
      <c r="H797" t="s">
        <v>192</v>
      </c>
      <c r="I797" t="s">
        <v>45</v>
      </c>
      <c r="J797">
        <v>699</v>
      </c>
      <c r="K797">
        <v>1</v>
      </c>
      <c r="L797">
        <v>759.49</v>
      </c>
      <c r="M797">
        <v>75.95</v>
      </c>
      <c r="N797">
        <v>759.49</v>
      </c>
      <c r="O797">
        <v>683.54</v>
      </c>
      <c r="P797" t="s">
        <v>2111</v>
      </c>
      <c r="Q797" t="s">
        <v>1479</v>
      </c>
    </row>
    <row r="798" spans="1:17" x14ac:dyDescent="0.3">
      <c r="A798" t="s">
        <v>1973</v>
      </c>
      <c r="B798" t="s">
        <v>1972</v>
      </c>
      <c r="C798" s="1">
        <v>46192</v>
      </c>
      <c r="D798" t="s">
        <v>41</v>
      </c>
      <c r="E798" t="s">
        <v>17</v>
      </c>
      <c r="F798" t="s">
        <v>22</v>
      </c>
      <c r="G798" t="s">
        <v>126</v>
      </c>
      <c r="H798" t="s">
        <v>127</v>
      </c>
      <c r="I798" t="s">
        <v>45</v>
      </c>
      <c r="J798">
        <v>2499</v>
      </c>
      <c r="K798">
        <v>2</v>
      </c>
      <c r="L798">
        <v>2381.29</v>
      </c>
      <c r="M798">
        <v>0</v>
      </c>
      <c r="N798">
        <v>4762.58</v>
      </c>
      <c r="O798">
        <v>4762.58</v>
      </c>
      <c r="P798" t="s">
        <v>2111</v>
      </c>
      <c r="Q798" t="s">
        <v>1809</v>
      </c>
    </row>
    <row r="799" spans="1:17" x14ac:dyDescent="0.3">
      <c r="A799" t="s">
        <v>2584</v>
      </c>
      <c r="B799" t="s">
        <v>2527</v>
      </c>
      <c r="C799" s="1">
        <v>46044</v>
      </c>
      <c r="D799" t="s">
        <v>41</v>
      </c>
      <c r="E799" t="s">
        <v>17</v>
      </c>
      <c r="F799" t="s">
        <v>60</v>
      </c>
      <c r="G799" t="s">
        <v>86</v>
      </c>
      <c r="H799" t="s">
        <v>87</v>
      </c>
      <c r="I799" t="s">
        <v>82</v>
      </c>
      <c r="J799">
        <v>3499</v>
      </c>
      <c r="K799">
        <v>1</v>
      </c>
      <c r="L799">
        <v>3254</v>
      </c>
      <c r="M799">
        <v>162.69999999999999</v>
      </c>
      <c r="N799">
        <v>3254</v>
      </c>
      <c r="O799">
        <v>3091.3</v>
      </c>
      <c r="P799" t="s">
        <v>2111</v>
      </c>
      <c r="Q799" t="s">
        <v>23</v>
      </c>
    </row>
    <row r="800" spans="1:17" x14ac:dyDescent="0.3">
      <c r="A800" t="s">
        <v>335</v>
      </c>
      <c r="B800" t="s">
        <v>334</v>
      </c>
      <c r="C800" s="1">
        <v>46040</v>
      </c>
      <c r="D800" t="s">
        <v>34</v>
      </c>
      <c r="E800" t="s">
        <v>17</v>
      </c>
      <c r="F800" t="s">
        <v>60</v>
      </c>
      <c r="G800" t="s">
        <v>56</v>
      </c>
      <c r="H800" t="s">
        <v>57</v>
      </c>
      <c r="I800" t="s">
        <v>58</v>
      </c>
      <c r="J800">
        <v>8999</v>
      </c>
      <c r="K800">
        <v>3</v>
      </c>
      <c r="L800">
        <v>8261.02</v>
      </c>
      <c r="M800">
        <v>1239.1500000000001</v>
      </c>
      <c r="N800">
        <v>24783.06</v>
      </c>
      <c r="O800">
        <v>23543.91</v>
      </c>
      <c r="P800" t="s">
        <v>2111</v>
      </c>
      <c r="Q800" t="s">
        <v>23</v>
      </c>
    </row>
    <row r="801" spans="1:17" x14ac:dyDescent="0.3">
      <c r="A801" t="s">
        <v>2585</v>
      </c>
      <c r="B801" t="s">
        <v>464</v>
      </c>
      <c r="C801" s="1">
        <v>46155</v>
      </c>
      <c r="D801" t="s">
        <v>34</v>
      </c>
      <c r="E801" t="s">
        <v>50</v>
      </c>
      <c r="F801" t="s">
        <v>22</v>
      </c>
      <c r="G801" t="s">
        <v>191</v>
      </c>
      <c r="H801" t="s">
        <v>192</v>
      </c>
      <c r="I801" t="s">
        <v>45</v>
      </c>
      <c r="J801">
        <v>699</v>
      </c>
      <c r="K801">
        <v>1</v>
      </c>
      <c r="L801">
        <v>707.86</v>
      </c>
      <c r="M801">
        <v>70.790000000000006</v>
      </c>
      <c r="N801">
        <v>707.86</v>
      </c>
      <c r="O801">
        <v>637.07000000000005</v>
      </c>
      <c r="P801" t="s">
        <v>2111</v>
      </c>
      <c r="Q801" t="s">
        <v>1479</v>
      </c>
    </row>
    <row r="802" spans="1:17" x14ac:dyDescent="0.3">
      <c r="A802" t="s">
        <v>1401</v>
      </c>
      <c r="B802" t="s">
        <v>557</v>
      </c>
      <c r="C802" s="1">
        <v>46136</v>
      </c>
      <c r="D802" t="s">
        <v>34</v>
      </c>
      <c r="E802" t="s">
        <v>50</v>
      </c>
      <c r="F802" t="s">
        <v>47</v>
      </c>
      <c r="G802" t="s">
        <v>101</v>
      </c>
      <c r="H802" t="s">
        <v>102</v>
      </c>
      <c r="I802" t="s">
        <v>45</v>
      </c>
      <c r="J802">
        <v>4999</v>
      </c>
      <c r="K802">
        <v>1</v>
      </c>
      <c r="L802">
        <v>4612.84</v>
      </c>
      <c r="M802">
        <v>461.28</v>
      </c>
      <c r="N802">
        <v>4612.84</v>
      </c>
      <c r="O802">
        <v>4151.5600000000004</v>
      </c>
      <c r="P802" t="s">
        <v>2111</v>
      </c>
      <c r="Q802" t="s">
        <v>1170</v>
      </c>
    </row>
    <row r="803" spans="1:17" x14ac:dyDescent="0.3">
      <c r="A803" t="s">
        <v>2586</v>
      </c>
      <c r="B803" t="s">
        <v>1696</v>
      </c>
      <c r="C803" s="1">
        <v>46170</v>
      </c>
      <c r="D803" t="s">
        <v>34</v>
      </c>
      <c r="E803" t="s">
        <v>50</v>
      </c>
      <c r="F803" t="s">
        <v>74</v>
      </c>
      <c r="G803" t="s">
        <v>106</v>
      </c>
      <c r="H803" t="s">
        <v>107</v>
      </c>
      <c r="I803" t="s">
        <v>108</v>
      </c>
      <c r="J803">
        <v>599</v>
      </c>
      <c r="K803">
        <v>1</v>
      </c>
      <c r="L803">
        <v>555.73</v>
      </c>
      <c r="M803">
        <v>111.15</v>
      </c>
      <c r="N803">
        <v>555.73</v>
      </c>
      <c r="O803">
        <v>444.58</v>
      </c>
      <c r="P803" t="s">
        <v>2111</v>
      </c>
      <c r="Q803" t="s">
        <v>1479</v>
      </c>
    </row>
    <row r="804" spans="1:17" x14ac:dyDescent="0.3">
      <c r="A804" t="s">
        <v>1023</v>
      </c>
      <c r="B804" t="s">
        <v>739</v>
      </c>
      <c r="C804" s="1">
        <v>46098</v>
      </c>
      <c r="D804" t="s">
        <v>41</v>
      </c>
      <c r="E804" t="s">
        <v>17</v>
      </c>
      <c r="F804" t="s">
        <v>47</v>
      </c>
      <c r="G804" t="s">
        <v>91</v>
      </c>
      <c r="H804" t="s">
        <v>92</v>
      </c>
      <c r="I804" t="s">
        <v>37</v>
      </c>
      <c r="J804">
        <v>1899</v>
      </c>
      <c r="K804">
        <v>2</v>
      </c>
      <c r="L804">
        <v>1823.05</v>
      </c>
      <c r="M804">
        <v>0</v>
      </c>
      <c r="N804">
        <v>3646.1</v>
      </c>
      <c r="O804">
        <v>3646.1</v>
      </c>
      <c r="P804" t="s">
        <v>2114</v>
      </c>
      <c r="Q804" t="s">
        <v>789</v>
      </c>
    </row>
    <row r="805" spans="1:17" x14ac:dyDescent="0.3">
      <c r="A805" t="s">
        <v>422</v>
      </c>
      <c r="B805" t="s">
        <v>421</v>
      </c>
      <c r="C805" s="1">
        <v>46047</v>
      </c>
      <c r="D805" t="s">
        <v>34</v>
      </c>
      <c r="E805" t="s">
        <v>17</v>
      </c>
      <c r="F805" t="s">
        <v>31</v>
      </c>
      <c r="G805" t="s">
        <v>160</v>
      </c>
      <c r="H805" t="s">
        <v>161</v>
      </c>
      <c r="I805" t="s">
        <v>82</v>
      </c>
      <c r="J805">
        <v>799</v>
      </c>
      <c r="K805">
        <v>1</v>
      </c>
      <c r="L805">
        <v>764.11</v>
      </c>
      <c r="M805">
        <v>191.03</v>
      </c>
      <c r="N805">
        <v>764.11</v>
      </c>
      <c r="O805">
        <v>573.08000000000004</v>
      </c>
      <c r="P805" t="s">
        <v>2111</v>
      </c>
      <c r="Q805" t="s">
        <v>23</v>
      </c>
    </row>
    <row r="806" spans="1:17" x14ac:dyDescent="0.3">
      <c r="A806" t="s">
        <v>1544</v>
      </c>
      <c r="B806" t="s">
        <v>1543</v>
      </c>
      <c r="C806" s="1">
        <v>46148</v>
      </c>
      <c r="D806" t="s">
        <v>16</v>
      </c>
      <c r="E806" t="s">
        <v>17</v>
      </c>
      <c r="F806" t="s">
        <v>31</v>
      </c>
      <c r="G806" t="s">
        <v>165</v>
      </c>
      <c r="H806" t="s">
        <v>166</v>
      </c>
      <c r="I806" t="s">
        <v>29</v>
      </c>
      <c r="J806">
        <v>449</v>
      </c>
      <c r="K806">
        <v>1</v>
      </c>
      <c r="L806">
        <v>458.36</v>
      </c>
      <c r="M806">
        <v>22.92</v>
      </c>
      <c r="N806">
        <v>458.36</v>
      </c>
      <c r="O806">
        <v>435.44</v>
      </c>
      <c r="P806" t="s">
        <v>2111</v>
      </c>
      <c r="Q806" t="s">
        <v>1479</v>
      </c>
    </row>
    <row r="807" spans="1:17" x14ac:dyDescent="0.3">
      <c r="A807" t="s">
        <v>1099</v>
      </c>
      <c r="B807" t="s">
        <v>243</v>
      </c>
      <c r="C807" s="1">
        <v>46106</v>
      </c>
      <c r="D807" t="s">
        <v>16</v>
      </c>
      <c r="E807" t="s">
        <v>50</v>
      </c>
      <c r="F807" t="s">
        <v>47</v>
      </c>
      <c r="G807" t="s">
        <v>27</v>
      </c>
      <c r="H807" t="s">
        <v>28</v>
      </c>
      <c r="I807" t="s">
        <v>29</v>
      </c>
      <c r="J807">
        <v>1599</v>
      </c>
      <c r="K807">
        <v>2</v>
      </c>
      <c r="L807">
        <v>1700.3</v>
      </c>
      <c r="M807">
        <v>510.09</v>
      </c>
      <c r="N807">
        <v>3400.6</v>
      </c>
      <c r="O807">
        <v>2890.51</v>
      </c>
      <c r="P807" t="s">
        <v>2111</v>
      </c>
      <c r="Q807" t="s">
        <v>789</v>
      </c>
    </row>
    <row r="808" spans="1:17" x14ac:dyDescent="0.3">
      <c r="A808" t="s">
        <v>389</v>
      </c>
      <c r="B808" t="s">
        <v>388</v>
      </c>
      <c r="C808" s="1">
        <v>46044</v>
      </c>
      <c r="D808" t="s">
        <v>26</v>
      </c>
      <c r="E808" t="s">
        <v>50</v>
      </c>
      <c r="F808" t="s">
        <v>60</v>
      </c>
      <c r="G808" t="s">
        <v>101</v>
      </c>
      <c r="H808" t="s">
        <v>102</v>
      </c>
      <c r="I808" t="s">
        <v>45</v>
      </c>
      <c r="J808">
        <v>4999</v>
      </c>
      <c r="K808">
        <v>1</v>
      </c>
      <c r="L808">
        <v>5260.3</v>
      </c>
      <c r="M808">
        <v>263.02</v>
      </c>
      <c r="N808">
        <v>5260.3</v>
      </c>
      <c r="O808">
        <v>4997.28</v>
      </c>
      <c r="P808" t="s">
        <v>2111</v>
      </c>
      <c r="Q808" t="s">
        <v>23</v>
      </c>
    </row>
    <row r="809" spans="1:17" x14ac:dyDescent="0.3">
      <c r="A809" t="s">
        <v>2587</v>
      </c>
      <c r="B809" t="s">
        <v>2588</v>
      </c>
      <c r="C809" s="1">
        <v>46179</v>
      </c>
      <c r="D809" t="s">
        <v>26</v>
      </c>
      <c r="E809" t="s">
        <v>50</v>
      </c>
      <c r="F809" t="s">
        <v>31</v>
      </c>
      <c r="G809" t="s">
        <v>18</v>
      </c>
      <c r="H809" t="s">
        <v>19</v>
      </c>
      <c r="I809" t="s">
        <v>20</v>
      </c>
      <c r="J809">
        <v>2799</v>
      </c>
      <c r="K809">
        <v>2</v>
      </c>
      <c r="L809">
        <v>2666.04</v>
      </c>
      <c r="M809">
        <v>0</v>
      </c>
      <c r="N809">
        <v>5332.08</v>
      </c>
      <c r="O809">
        <v>5332.08</v>
      </c>
      <c r="P809" t="s">
        <v>2114</v>
      </c>
      <c r="Q809" t="s">
        <v>1809</v>
      </c>
    </row>
    <row r="810" spans="1:17" x14ac:dyDescent="0.3">
      <c r="A810" t="s">
        <v>1211</v>
      </c>
      <c r="B810" t="s">
        <v>1210</v>
      </c>
      <c r="C810" s="1">
        <v>46118</v>
      </c>
      <c r="D810" t="s">
        <v>26</v>
      </c>
      <c r="E810" t="s">
        <v>17</v>
      </c>
      <c r="F810" t="s">
        <v>47</v>
      </c>
      <c r="G810" t="s">
        <v>51</v>
      </c>
      <c r="H810" t="s">
        <v>52</v>
      </c>
      <c r="I810" t="s">
        <v>20</v>
      </c>
      <c r="J810">
        <v>999</v>
      </c>
      <c r="K810">
        <v>1</v>
      </c>
      <c r="L810">
        <v>948.11</v>
      </c>
      <c r="M810">
        <v>189.62</v>
      </c>
      <c r="N810">
        <v>948.11</v>
      </c>
      <c r="O810">
        <v>758.49</v>
      </c>
      <c r="P810" t="s">
        <v>2111</v>
      </c>
      <c r="Q810" t="s">
        <v>1170</v>
      </c>
    </row>
    <row r="811" spans="1:17" x14ac:dyDescent="0.3">
      <c r="A811" t="s">
        <v>2589</v>
      </c>
      <c r="B811" t="s">
        <v>2590</v>
      </c>
      <c r="C811" s="1">
        <v>46094</v>
      </c>
      <c r="D811" t="s">
        <v>34</v>
      </c>
      <c r="E811" t="s">
        <v>17</v>
      </c>
      <c r="F811" t="s">
        <v>22</v>
      </c>
      <c r="G811" t="s">
        <v>86</v>
      </c>
      <c r="H811" t="s">
        <v>87</v>
      </c>
      <c r="I811" t="s">
        <v>82</v>
      </c>
      <c r="J811">
        <v>3499</v>
      </c>
      <c r="K811">
        <v>2</v>
      </c>
      <c r="L811">
        <v>3824.96</v>
      </c>
      <c r="M811">
        <v>382.5</v>
      </c>
      <c r="N811">
        <v>7649.92</v>
      </c>
      <c r="O811">
        <v>7267.42</v>
      </c>
      <c r="P811" t="s">
        <v>2111</v>
      </c>
      <c r="Q811" t="s">
        <v>789</v>
      </c>
    </row>
    <row r="812" spans="1:17" x14ac:dyDescent="0.3">
      <c r="A812" t="s">
        <v>945</v>
      </c>
      <c r="B812" t="s">
        <v>944</v>
      </c>
      <c r="C812" s="1">
        <v>46093</v>
      </c>
      <c r="D812" t="s">
        <v>16</v>
      </c>
      <c r="E812" t="s">
        <v>17</v>
      </c>
      <c r="F812" t="s">
        <v>74</v>
      </c>
      <c r="G812" t="s">
        <v>91</v>
      </c>
      <c r="H812" t="s">
        <v>92</v>
      </c>
      <c r="I812" t="s">
        <v>37</v>
      </c>
      <c r="J812">
        <v>1899</v>
      </c>
      <c r="K812">
        <v>2</v>
      </c>
      <c r="L812">
        <v>1712.23</v>
      </c>
      <c r="M812">
        <v>513.66999999999996</v>
      </c>
      <c r="N812">
        <v>3424.46</v>
      </c>
      <c r="O812">
        <v>2910.79</v>
      </c>
      <c r="P812" t="s">
        <v>2111</v>
      </c>
      <c r="Q812" t="s">
        <v>789</v>
      </c>
    </row>
    <row r="813" spans="1:17" x14ac:dyDescent="0.3">
      <c r="A813" t="s">
        <v>1415</v>
      </c>
      <c r="B813" t="s">
        <v>1414</v>
      </c>
      <c r="C813" s="1">
        <v>46137</v>
      </c>
      <c r="D813" t="s">
        <v>26</v>
      </c>
      <c r="E813" t="s">
        <v>50</v>
      </c>
      <c r="F813" t="s">
        <v>47</v>
      </c>
      <c r="G813" t="s">
        <v>160</v>
      </c>
      <c r="H813" t="s">
        <v>161</v>
      </c>
      <c r="I813" t="s">
        <v>82</v>
      </c>
      <c r="J813">
        <v>799</v>
      </c>
      <c r="K813">
        <v>1</v>
      </c>
      <c r="L813">
        <v>859.68</v>
      </c>
      <c r="M813">
        <v>85.97</v>
      </c>
      <c r="N813">
        <v>859.68</v>
      </c>
      <c r="O813">
        <v>773.71</v>
      </c>
      <c r="P813" t="s">
        <v>2111</v>
      </c>
      <c r="Q813" t="s">
        <v>1170</v>
      </c>
    </row>
    <row r="814" spans="1:17" x14ac:dyDescent="0.3">
      <c r="A814" t="s">
        <v>2591</v>
      </c>
      <c r="B814" t="s">
        <v>2592</v>
      </c>
      <c r="C814" s="1">
        <v>46061</v>
      </c>
      <c r="D814" t="s">
        <v>63</v>
      </c>
      <c r="E814" t="s">
        <v>17</v>
      </c>
      <c r="F814" t="s">
        <v>22</v>
      </c>
      <c r="G814" t="s">
        <v>112</v>
      </c>
      <c r="H814" t="s">
        <v>113</v>
      </c>
      <c r="I814" t="s">
        <v>37</v>
      </c>
      <c r="J814">
        <v>1499</v>
      </c>
      <c r="K814">
        <v>1</v>
      </c>
      <c r="L814">
        <v>1408.98</v>
      </c>
      <c r="M814">
        <v>140.9</v>
      </c>
      <c r="N814">
        <v>1408.98</v>
      </c>
      <c r="O814">
        <v>1268.08</v>
      </c>
      <c r="P814" t="s">
        <v>2111</v>
      </c>
      <c r="Q814" t="s">
        <v>498</v>
      </c>
    </row>
    <row r="815" spans="1:17" x14ac:dyDescent="0.3">
      <c r="A815" t="s">
        <v>2443</v>
      </c>
      <c r="B815" t="s">
        <v>607</v>
      </c>
      <c r="C815" s="1">
        <v>46098</v>
      </c>
      <c r="D815" t="s">
        <v>63</v>
      </c>
      <c r="E815" t="s">
        <v>17</v>
      </c>
      <c r="F815" t="s">
        <v>47</v>
      </c>
      <c r="G815" t="s">
        <v>250</v>
      </c>
      <c r="H815" t="s">
        <v>251</v>
      </c>
      <c r="I815" t="s">
        <v>108</v>
      </c>
      <c r="J815">
        <v>899</v>
      </c>
      <c r="K815">
        <v>2</v>
      </c>
      <c r="L815">
        <v>979.42</v>
      </c>
      <c r="M815">
        <v>195.88</v>
      </c>
      <c r="N815">
        <v>1958.84</v>
      </c>
      <c r="O815">
        <v>1762.96</v>
      </c>
      <c r="P815" t="s">
        <v>2111</v>
      </c>
      <c r="Q815" t="s">
        <v>789</v>
      </c>
    </row>
    <row r="816" spans="1:17" x14ac:dyDescent="0.3">
      <c r="A816" t="s">
        <v>2593</v>
      </c>
      <c r="B816" t="s">
        <v>2594</v>
      </c>
      <c r="C816" s="1">
        <v>46139</v>
      </c>
      <c r="D816" t="s">
        <v>41</v>
      </c>
      <c r="E816" t="s">
        <v>17</v>
      </c>
      <c r="F816" t="s">
        <v>60</v>
      </c>
      <c r="G816" t="s">
        <v>191</v>
      </c>
      <c r="H816" t="s">
        <v>192</v>
      </c>
      <c r="I816" t="s">
        <v>45</v>
      </c>
      <c r="J816">
        <v>699</v>
      </c>
      <c r="K816">
        <v>1</v>
      </c>
      <c r="L816">
        <v>676.95</v>
      </c>
      <c r="M816">
        <v>101.54</v>
      </c>
      <c r="N816">
        <v>676.95</v>
      </c>
      <c r="O816">
        <v>575.41</v>
      </c>
      <c r="P816" t="s">
        <v>2111</v>
      </c>
      <c r="Q816" t="s">
        <v>1170</v>
      </c>
    </row>
    <row r="817" spans="1:17" x14ac:dyDescent="0.3">
      <c r="A817" t="s">
        <v>2595</v>
      </c>
      <c r="B817" t="s">
        <v>2596</v>
      </c>
      <c r="C817" s="1">
        <v>46199</v>
      </c>
      <c r="D817" t="s">
        <v>26</v>
      </c>
      <c r="E817" t="s">
        <v>17</v>
      </c>
      <c r="F817" t="s">
        <v>60</v>
      </c>
      <c r="G817" t="s">
        <v>126</v>
      </c>
      <c r="H817" t="s">
        <v>127</v>
      </c>
      <c r="I817" t="s">
        <v>45</v>
      </c>
      <c r="J817">
        <v>2499</v>
      </c>
      <c r="K817">
        <v>4</v>
      </c>
      <c r="L817">
        <v>2469.19</v>
      </c>
      <c r="M817">
        <v>0</v>
      </c>
      <c r="N817">
        <v>9876.76</v>
      </c>
      <c r="O817">
        <v>9876.76</v>
      </c>
      <c r="P817" t="s">
        <v>2111</v>
      </c>
      <c r="Q817" t="s">
        <v>1809</v>
      </c>
    </row>
    <row r="818" spans="1:17" x14ac:dyDescent="0.3">
      <c r="A818" t="s">
        <v>1110</v>
      </c>
      <c r="B818" t="s">
        <v>349</v>
      </c>
      <c r="C818" s="1">
        <v>46107</v>
      </c>
      <c r="D818" t="s">
        <v>16</v>
      </c>
      <c r="E818" t="s">
        <v>17</v>
      </c>
      <c r="F818" t="s">
        <v>74</v>
      </c>
      <c r="G818" t="s">
        <v>86</v>
      </c>
      <c r="H818" t="s">
        <v>87</v>
      </c>
      <c r="I818" t="s">
        <v>82</v>
      </c>
      <c r="J818">
        <v>3499</v>
      </c>
      <c r="K818">
        <v>1</v>
      </c>
      <c r="L818">
        <v>3643.94</v>
      </c>
      <c r="M818">
        <v>546.59</v>
      </c>
      <c r="N818">
        <v>3643.94</v>
      </c>
      <c r="O818">
        <v>3097.35</v>
      </c>
      <c r="P818" t="s">
        <v>2111</v>
      </c>
      <c r="Q818" t="s">
        <v>789</v>
      </c>
    </row>
    <row r="819" spans="1:17" x14ac:dyDescent="0.3">
      <c r="A819" t="s">
        <v>1427</v>
      </c>
      <c r="B819" t="s">
        <v>1426</v>
      </c>
      <c r="C819" s="1">
        <v>46138</v>
      </c>
      <c r="D819" t="s">
        <v>34</v>
      </c>
      <c r="E819" t="s">
        <v>17</v>
      </c>
      <c r="F819" t="s">
        <v>47</v>
      </c>
      <c r="G819" t="s">
        <v>80</v>
      </c>
      <c r="H819" t="s">
        <v>81</v>
      </c>
      <c r="I819" t="s">
        <v>82</v>
      </c>
      <c r="J819">
        <v>4299</v>
      </c>
      <c r="K819">
        <v>1</v>
      </c>
      <c r="L819">
        <v>4374.38</v>
      </c>
      <c r="M819">
        <v>874.88</v>
      </c>
      <c r="N819">
        <v>4374.38</v>
      </c>
      <c r="O819">
        <v>3499.5</v>
      </c>
      <c r="P819" t="s">
        <v>2111</v>
      </c>
      <c r="Q819" t="s">
        <v>1170</v>
      </c>
    </row>
    <row r="820" spans="1:17" x14ac:dyDescent="0.3">
      <c r="A820" t="s">
        <v>1401</v>
      </c>
      <c r="B820" t="s">
        <v>557</v>
      </c>
      <c r="C820" s="1">
        <v>46136</v>
      </c>
      <c r="D820" t="s">
        <v>34</v>
      </c>
      <c r="E820" t="s">
        <v>50</v>
      </c>
      <c r="F820" t="s">
        <v>47</v>
      </c>
      <c r="G820" t="s">
        <v>191</v>
      </c>
      <c r="H820" t="s">
        <v>192</v>
      </c>
      <c r="I820" t="s">
        <v>45</v>
      </c>
      <c r="J820">
        <v>699</v>
      </c>
      <c r="K820">
        <v>1</v>
      </c>
      <c r="L820">
        <v>673.55</v>
      </c>
      <c r="M820">
        <v>0</v>
      </c>
      <c r="N820">
        <v>673.55</v>
      </c>
      <c r="O820">
        <v>673.55</v>
      </c>
      <c r="P820" t="s">
        <v>2111</v>
      </c>
      <c r="Q820" t="s">
        <v>1170</v>
      </c>
    </row>
    <row r="821" spans="1:17" x14ac:dyDescent="0.3">
      <c r="A821" t="s">
        <v>2597</v>
      </c>
      <c r="B821" t="s">
        <v>2598</v>
      </c>
      <c r="C821" s="1">
        <v>46185</v>
      </c>
      <c r="D821" t="s">
        <v>41</v>
      </c>
      <c r="E821" t="s">
        <v>17</v>
      </c>
      <c r="F821" t="s">
        <v>60</v>
      </c>
      <c r="G821" t="s">
        <v>56</v>
      </c>
      <c r="H821" t="s">
        <v>57</v>
      </c>
      <c r="I821" t="s">
        <v>58</v>
      </c>
      <c r="J821">
        <v>8999</v>
      </c>
      <c r="K821">
        <v>3</v>
      </c>
      <c r="L821">
        <v>9095.8799999999992</v>
      </c>
      <c r="M821">
        <v>0</v>
      </c>
      <c r="N821">
        <v>27287.64</v>
      </c>
      <c r="O821">
        <v>27287.64</v>
      </c>
      <c r="P821" t="s">
        <v>2111</v>
      </c>
      <c r="Q821" t="s">
        <v>1809</v>
      </c>
    </row>
    <row r="822" spans="1:17" x14ac:dyDescent="0.3">
      <c r="A822" t="s">
        <v>1401</v>
      </c>
      <c r="B822" t="s">
        <v>557</v>
      </c>
      <c r="C822" s="1">
        <v>46136</v>
      </c>
      <c r="D822" t="s">
        <v>34</v>
      </c>
      <c r="E822" t="s">
        <v>50</v>
      </c>
      <c r="F822" t="s">
        <v>47</v>
      </c>
      <c r="G822" t="s">
        <v>91</v>
      </c>
      <c r="H822" t="s">
        <v>92</v>
      </c>
      <c r="I822" t="s">
        <v>37</v>
      </c>
      <c r="J822">
        <v>1899</v>
      </c>
      <c r="K822">
        <v>1</v>
      </c>
      <c r="L822">
        <v>1986.62</v>
      </c>
      <c r="M822">
        <v>297.99</v>
      </c>
      <c r="N822">
        <v>1986.62</v>
      </c>
      <c r="O822">
        <v>1688.63</v>
      </c>
      <c r="P822" t="s">
        <v>2111</v>
      </c>
      <c r="Q822" t="s">
        <v>1170</v>
      </c>
    </row>
    <row r="823" spans="1:17" x14ac:dyDescent="0.3">
      <c r="A823" t="s">
        <v>634</v>
      </c>
      <c r="B823" t="s">
        <v>633</v>
      </c>
      <c r="C823" s="1">
        <v>46066</v>
      </c>
      <c r="D823" t="s">
        <v>26</v>
      </c>
      <c r="E823" t="s">
        <v>17</v>
      </c>
      <c r="F823" t="s">
        <v>74</v>
      </c>
      <c r="G823" t="s">
        <v>165</v>
      </c>
      <c r="H823" t="s">
        <v>166</v>
      </c>
      <c r="I823" t="s">
        <v>29</v>
      </c>
      <c r="J823">
        <v>449</v>
      </c>
      <c r="K823">
        <v>2</v>
      </c>
      <c r="L823">
        <v>407.9</v>
      </c>
      <c r="M823">
        <v>81.58</v>
      </c>
      <c r="N823">
        <v>815.8</v>
      </c>
      <c r="O823">
        <v>734.22</v>
      </c>
      <c r="P823" t="s">
        <v>2111</v>
      </c>
      <c r="Q823" t="s">
        <v>498</v>
      </c>
    </row>
    <row r="824" spans="1:17" x14ac:dyDescent="0.3">
      <c r="A824" t="s">
        <v>1577</v>
      </c>
      <c r="B824" t="s">
        <v>1576</v>
      </c>
      <c r="C824" s="1">
        <v>46151</v>
      </c>
      <c r="D824" t="s">
        <v>26</v>
      </c>
      <c r="E824" t="s">
        <v>17</v>
      </c>
      <c r="F824" t="s">
        <v>22</v>
      </c>
      <c r="G824" t="s">
        <v>43</v>
      </c>
      <c r="H824" t="s">
        <v>44</v>
      </c>
      <c r="I824" t="s">
        <v>45</v>
      </c>
      <c r="J824">
        <v>3299</v>
      </c>
      <c r="K824">
        <v>3</v>
      </c>
      <c r="L824">
        <v>2976.49</v>
      </c>
      <c r="M824">
        <v>892.95</v>
      </c>
      <c r="N824">
        <v>8929.4699999999993</v>
      </c>
      <c r="O824">
        <v>8036.52</v>
      </c>
      <c r="P824" t="s">
        <v>2111</v>
      </c>
      <c r="Q824" t="s">
        <v>1479</v>
      </c>
    </row>
    <row r="825" spans="1:17" x14ac:dyDescent="0.3">
      <c r="A825" t="s">
        <v>1577</v>
      </c>
      <c r="B825" t="s">
        <v>1576</v>
      </c>
      <c r="C825" s="1">
        <v>46151</v>
      </c>
      <c r="D825" t="s">
        <v>26</v>
      </c>
      <c r="E825" t="s">
        <v>17</v>
      </c>
      <c r="F825" t="s">
        <v>22</v>
      </c>
      <c r="G825" t="s">
        <v>91</v>
      </c>
      <c r="H825" t="s">
        <v>92</v>
      </c>
      <c r="I825" t="s">
        <v>37</v>
      </c>
      <c r="J825">
        <v>1899</v>
      </c>
      <c r="K825">
        <v>1</v>
      </c>
      <c r="L825">
        <v>1883.07</v>
      </c>
      <c r="M825">
        <v>0</v>
      </c>
      <c r="N825">
        <v>1883.07</v>
      </c>
      <c r="O825">
        <v>1883.07</v>
      </c>
      <c r="P825" t="s">
        <v>2114</v>
      </c>
      <c r="Q825" t="s">
        <v>1479</v>
      </c>
    </row>
    <row r="826" spans="1:17" x14ac:dyDescent="0.3">
      <c r="A826" t="s">
        <v>2599</v>
      </c>
      <c r="B826" t="s">
        <v>1534</v>
      </c>
      <c r="C826" s="1">
        <v>46175</v>
      </c>
      <c r="D826" t="s">
        <v>34</v>
      </c>
      <c r="E826" t="s">
        <v>17</v>
      </c>
      <c r="F826" t="s">
        <v>47</v>
      </c>
      <c r="G826" t="s">
        <v>160</v>
      </c>
      <c r="H826" t="s">
        <v>161</v>
      </c>
      <c r="I826" t="s">
        <v>82</v>
      </c>
      <c r="J826">
        <v>799</v>
      </c>
      <c r="K826">
        <v>1</v>
      </c>
      <c r="L826">
        <v>740.17</v>
      </c>
      <c r="M826">
        <v>74.02</v>
      </c>
      <c r="N826">
        <v>740.17</v>
      </c>
      <c r="O826">
        <v>666.15</v>
      </c>
      <c r="P826" t="s">
        <v>2111</v>
      </c>
      <c r="Q826" t="s">
        <v>1809</v>
      </c>
    </row>
    <row r="827" spans="1:17" x14ac:dyDescent="0.3">
      <c r="A827" t="s">
        <v>2600</v>
      </c>
      <c r="B827" t="s">
        <v>2601</v>
      </c>
      <c r="C827" s="1">
        <v>46064</v>
      </c>
      <c r="D827" t="s">
        <v>34</v>
      </c>
      <c r="E827" t="s">
        <v>17</v>
      </c>
      <c r="F827" t="s">
        <v>22</v>
      </c>
      <c r="G827" t="s">
        <v>160</v>
      </c>
      <c r="H827" t="s">
        <v>161</v>
      </c>
      <c r="I827" t="s">
        <v>82</v>
      </c>
      <c r="J827">
        <v>799</v>
      </c>
      <c r="K827">
        <v>2</v>
      </c>
      <c r="L827">
        <v>825.26</v>
      </c>
      <c r="M827">
        <v>0</v>
      </c>
      <c r="N827">
        <v>1650.52</v>
      </c>
      <c r="O827">
        <v>1650.52</v>
      </c>
      <c r="P827" t="s">
        <v>2111</v>
      </c>
      <c r="Q827" t="s">
        <v>498</v>
      </c>
    </row>
    <row r="828" spans="1:17" x14ac:dyDescent="0.3">
      <c r="A828" t="s">
        <v>2514</v>
      </c>
      <c r="B828" t="s">
        <v>2515</v>
      </c>
      <c r="C828" s="1">
        <v>46085</v>
      </c>
      <c r="D828" t="s">
        <v>16</v>
      </c>
      <c r="E828" t="s">
        <v>17</v>
      </c>
      <c r="F828" t="s">
        <v>47</v>
      </c>
      <c r="G828" t="s">
        <v>126</v>
      </c>
      <c r="H828" t="s">
        <v>127</v>
      </c>
      <c r="I828" t="s">
        <v>45</v>
      </c>
      <c r="J828">
        <v>2499</v>
      </c>
      <c r="K828">
        <v>1</v>
      </c>
      <c r="L828">
        <v>2356.08</v>
      </c>
      <c r="M828">
        <v>235.61</v>
      </c>
      <c r="N828">
        <v>2356.08</v>
      </c>
      <c r="O828">
        <v>2120.4699999999998</v>
      </c>
      <c r="P828" t="s">
        <v>2111</v>
      </c>
      <c r="Q828" t="s">
        <v>789</v>
      </c>
    </row>
    <row r="829" spans="1:17" x14ac:dyDescent="0.3">
      <c r="A829" t="s">
        <v>1035</v>
      </c>
      <c r="B829" t="s">
        <v>1034</v>
      </c>
      <c r="C829" s="1">
        <v>46099</v>
      </c>
      <c r="D829" t="s">
        <v>16</v>
      </c>
      <c r="E829" t="s">
        <v>17</v>
      </c>
      <c r="F829" t="s">
        <v>47</v>
      </c>
      <c r="G829" t="s">
        <v>106</v>
      </c>
      <c r="H829" t="s">
        <v>107</v>
      </c>
      <c r="I829" t="s">
        <v>108</v>
      </c>
      <c r="J829">
        <v>599</v>
      </c>
      <c r="K829">
        <v>2</v>
      </c>
      <c r="L829">
        <v>590.96</v>
      </c>
      <c r="M829">
        <v>177.29</v>
      </c>
      <c r="N829">
        <v>1181.92</v>
      </c>
      <c r="O829">
        <v>1004.63</v>
      </c>
      <c r="P829" t="s">
        <v>2111</v>
      </c>
      <c r="Q829" t="s">
        <v>789</v>
      </c>
    </row>
    <row r="830" spans="1:17" x14ac:dyDescent="0.3">
      <c r="A830" t="s">
        <v>2399</v>
      </c>
      <c r="B830" t="s">
        <v>1207</v>
      </c>
      <c r="C830" s="1">
        <v>46194</v>
      </c>
      <c r="D830" t="s">
        <v>41</v>
      </c>
      <c r="E830" t="s">
        <v>17</v>
      </c>
      <c r="F830" t="s">
        <v>31</v>
      </c>
      <c r="G830" t="s">
        <v>43</v>
      </c>
      <c r="H830" t="s">
        <v>44</v>
      </c>
      <c r="I830" t="s">
        <v>45</v>
      </c>
      <c r="J830">
        <v>3299</v>
      </c>
      <c r="K830">
        <v>1</v>
      </c>
      <c r="L830">
        <v>3099.52</v>
      </c>
      <c r="M830">
        <v>154.97999999999999</v>
      </c>
      <c r="N830">
        <v>3099.52</v>
      </c>
      <c r="O830">
        <v>2944.54</v>
      </c>
      <c r="P830" t="s">
        <v>2111</v>
      </c>
      <c r="Q830" t="s">
        <v>1809</v>
      </c>
    </row>
    <row r="831" spans="1:17" x14ac:dyDescent="0.3">
      <c r="A831" t="s">
        <v>2602</v>
      </c>
      <c r="B831" t="s">
        <v>2603</v>
      </c>
      <c r="C831" s="1">
        <v>46063</v>
      </c>
      <c r="D831" t="s">
        <v>26</v>
      </c>
      <c r="E831" t="s">
        <v>17</v>
      </c>
      <c r="F831" t="s">
        <v>22</v>
      </c>
      <c r="G831" t="s">
        <v>165</v>
      </c>
      <c r="H831" t="s">
        <v>166</v>
      </c>
      <c r="I831" t="s">
        <v>29</v>
      </c>
      <c r="J831">
        <v>449</v>
      </c>
      <c r="K831">
        <v>1</v>
      </c>
      <c r="L831">
        <v>453.35</v>
      </c>
      <c r="M831">
        <v>45.34</v>
      </c>
      <c r="N831">
        <v>453.35</v>
      </c>
      <c r="O831">
        <v>408.01</v>
      </c>
      <c r="P831" t="s">
        <v>2114</v>
      </c>
      <c r="Q831" t="s">
        <v>498</v>
      </c>
    </row>
    <row r="832" spans="1:17" x14ac:dyDescent="0.3">
      <c r="A832" t="s">
        <v>751</v>
      </c>
      <c r="B832" t="s">
        <v>750</v>
      </c>
      <c r="C832" s="1">
        <v>46078</v>
      </c>
      <c r="D832" t="s">
        <v>16</v>
      </c>
      <c r="E832" t="s">
        <v>17</v>
      </c>
      <c r="F832" t="s">
        <v>74</v>
      </c>
      <c r="G832" t="s">
        <v>165</v>
      </c>
      <c r="H832" t="s">
        <v>166</v>
      </c>
      <c r="I832" t="s">
        <v>29</v>
      </c>
      <c r="J832">
        <v>449</v>
      </c>
      <c r="K832">
        <v>2</v>
      </c>
      <c r="L832">
        <v>414.52</v>
      </c>
      <c r="M832">
        <v>207.26</v>
      </c>
      <c r="N832">
        <v>829.04</v>
      </c>
      <c r="O832">
        <v>621.78</v>
      </c>
      <c r="P832" t="s">
        <v>2111</v>
      </c>
      <c r="Q832" t="s">
        <v>498</v>
      </c>
    </row>
    <row r="833" spans="1:17" x14ac:dyDescent="0.3">
      <c r="A833" t="s">
        <v>103</v>
      </c>
      <c r="B833" t="s">
        <v>100</v>
      </c>
      <c r="C833" s="1">
        <v>46025</v>
      </c>
      <c r="D833" t="s">
        <v>16</v>
      </c>
      <c r="E833" t="s">
        <v>50</v>
      </c>
      <c r="F833" t="s">
        <v>22</v>
      </c>
      <c r="G833" t="s">
        <v>126</v>
      </c>
      <c r="H833" t="s">
        <v>127</v>
      </c>
      <c r="I833" t="s">
        <v>45</v>
      </c>
      <c r="J833">
        <v>2499</v>
      </c>
      <c r="K833">
        <v>1</v>
      </c>
      <c r="L833">
        <v>2260.65</v>
      </c>
      <c r="M833">
        <v>339.1</v>
      </c>
      <c r="N833">
        <v>2260.65</v>
      </c>
      <c r="O833">
        <v>1921.55</v>
      </c>
      <c r="P833" t="s">
        <v>2111</v>
      </c>
      <c r="Q833" t="s">
        <v>23</v>
      </c>
    </row>
    <row r="834" spans="1:17" x14ac:dyDescent="0.3">
      <c r="A834" t="s">
        <v>98</v>
      </c>
      <c r="B834" t="s">
        <v>95</v>
      </c>
      <c r="C834" s="1">
        <v>46025</v>
      </c>
      <c r="D834" t="s">
        <v>34</v>
      </c>
      <c r="E834" t="s">
        <v>17</v>
      </c>
      <c r="F834" t="s">
        <v>22</v>
      </c>
      <c r="G834" t="s">
        <v>18</v>
      </c>
      <c r="H834" t="s">
        <v>19</v>
      </c>
      <c r="I834" t="s">
        <v>20</v>
      </c>
      <c r="J834">
        <v>2799</v>
      </c>
      <c r="K834">
        <v>1</v>
      </c>
      <c r="L834">
        <v>2547.7199999999998</v>
      </c>
      <c r="M834">
        <v>509.54</v>
      </c>
      <c r="N834">
        <v>2547.7199999999998</v>
      </c>
      <c r="O834">
        <v>2038.18</v>
      </c>
      <c r="P834" t="s">
        <v>2111</v>
      </c>
      <c r="Q834" t="s">
        <v>23</v>
      </c>
    </row>
    <row r="835" spans="1:17" x14ac:dyDescent="0.3">
      <c r="A835" t="s">
        <v>193</v>
      </c>
      <c r="B835" t="s">
        <v>190</v>
      </c>
      <c r="C835" s="1">
        <v>46030</v>
      </c>
      <c r="D835" t="s">
        <v>26</v>
      </c>
      <c r="E835" t="s">
        <v>50</v>
      </c>
      <c r="F835" t="s">
        <v>31</v>
      </c>
      <c r="G835" t="s">
        <v>191</v>
      </c>
      <c r="H835" t="s">
        <v>192</v>
      </c>
      <c r="I835" t="s">
        <v>45</v>
      </c>
      <c r="J835">
        <v>699</v>
      </c>
      <c r="K835">
        <v>1</v>
      </c>
      <c r="L835">
        <v>762.51</v>
      </c>
      <c r="M835">
        <v>76.25</v>
      </c>
      <c r="N835">
        <v>762.51</v>
      </c>
      <c r="O835">
        <v>686.26</v>
      </c>
      <c r="P835" t="s">
        <v>2111</v>
      </c>
      <c r="Q835" t="s">
        <v>23</v>
      </c>
    </row>
    <row r="836" spans="1:17" x14ac:dyDescent="0.3">
      <c r="A836" t="s">
        <v>2378</v>
      </c>
      <c r="B836" t="s">
        <v>365</v>
      </c>
      <c r="C836" s="1">
        <v>46082</v>
      </c>
      <c r="D836" t="s">
        <v>26</v>
      </c>
      <c r="E836" t="s">
        <v>17</v>
      </c>
      <c r="F836" t="s">
        <v>74</v>
      </c>
      <c r="G836" t="s">
        <v>112</v>
      </c>
      <c r="H836" t="s">
        <v>113</v>
      </c>
      <c r="I836" t="s">
        <v>37</v>
      </c>
      <c r="J836">
        <v>1499</v>
      </c>
      <c r="K836">
        <v>1</v>
      </c>
      <c r="L836">
        <v>1391.76</v>
      </c>
      <c r="M836">
        <v>208.76</v>
      </c>
      <c r="N836">
        <v>1391.76</v>
      </c>
      <c r="O836">
        <v>1183</v>
      </c>
      <c r="P836" t="s">
        <v>2111</v>
      </c>
      <c r="Q836" t="s">
        <v>789</v>
      </c>
    </row>
    <row r="837" spans="1:17" x14ac:dyDescent="0.3">
      <c r="A837" t="s">
        <v>2604</v>
      </c>
      <c r="B837" t="s">
        <v>1788</v>
      </c>
      <c r="C837" s="1">
        <v>46089</v>
      </c>
      <c r="D837" t="s">
        <v>16</v>
      </c>
      <c r="E837" t="s">
        <v>17</v>
      </c>
      <c r="F837" t="s">
        <v>31</v>
      </c>
      <c r="G837" t="s">
        <v>43</v>
      </c>
      <c r="H837" t="s">
        <v>44</v>
      </c>
      <c r="I837" t="s">
        <v>45</v>
      </c>
      <c r="J837">
        <v>3299</v>
      </c>
      <c r="K837">
        <v>1</v>
      </c>
      <c r="L837">
        <v>3436.55</v>
      </c>
      <c r="M837">
        <v>0</v>
      </c>
      <c r="N837">
        <v>3436.55</v>
      </c>
      <c r="O837">
        <v>3436.55</v>
      </c>
      <c r="P837" t="s">
        <v>2111</v>
      </c>
      <c r="Q837" t="s">
        <v>789</v>
      </c>
    </row>
    <row r="838" spans="1:17" x14ac:dyDescent="0.3">
      <c r="A838" t="s">
        <v>2605</v>
      </c>
      <c r="B838" t="s">
        <v>2606</v>
      </c>
      <c r="C838" s="1">
        <v>46051</v>
      </c>
      <c r="D838" t="s">
        <v>41</v>
      </c>
      <c r="E838" t="s">
        <v>17</v>
      </c>
      <c r="F838" t="s">
        <v>22</v>
      </c>
      <c r="G838" t="s">
        <v>165</v>
      </c>
      <c r="H838" t="s">
        <v>166</v>
      </c>
      <c r="I838" t="s">
        <v>29</v>
      </c>
      <c r="J838">
        <v>449</v>
      </c>
      <c r="K838">
        <v>2</v>
      </c>
      <c r="L838">
        <v>410.2</v>
      </c>
      <c r="M838">
        <v>0</v>
      </c>
      <c r="N838">
        <v>820.4</v>
      </c>
      <c r="O838">
        <v>820.4</v>
      </c>
      <c r="P838" t="s">
        <v>2111</v>
      </c>
      <c r="Q838" t="s">
        <v>23</v>
      </c>
    </row>
    <row r="839" spans="1:17" x14ac:dyDescent="0.3">
      <c r="A839" t="s">
        <v>2607</v>
      </c>
      <c r="B839" t="s">
        <v>666</v>
      </c>
      <c r="C839" s="1">
        <v>46159</v>
      </c>
      <c r="D839" t="s">
        <v>16</v>
      </c>
      <c r="E839" t="s">
        <v>17</v>
      </c>
      <c r="F839" t="s">
        <v>47</v>
      </c>
      <c r="G839" t="s">
        <v>35</v>
      </c>
      <c r="H839" t="s">
        <v>36</v>
      </c>
      <c r="I839" t="s">
        <v>37</v>
      </c>
      <c r="J839">
        <v>799</v>
      </c>
      <c r="K839">
        <v>1</v>
      </c>
      <c r="L839">
        <v>736.38</v>
      </c>
      <c r="M839">
        <v>36.82</v>
      </c>
      <c r="N839">
        <v>736.38</v>
      </c>
      <c r="O839">
        <v>699.56</v>
      </c>
      <c r="P839" t="s">
        <v>2111</v>
      </c>
      <c r="Q839" t="s">
        <v>1479</v>
      </c>
    </row>
    <row r="840" spans="1:17" x14ac:dyDescent="0.3">
      <c r="A840" t="s">
        <v>2290</v>
      </c>
      <c r="B840" t="s">
        <v>2291</v>
      </c>
      <c r="C840" s="1">
        <v>46141</v>
      </c>
      <c r="D840" t="s">
        <v>41</v>
      </c>
      <c r="E840" t="s">
        <v>50</v>
      </c>
      <c r="F840" t="s">
        <v>60</v>
      </c>
      <c r="G840" t="s">
        <v>80</v>
      </c>
      <c r="H840" t="s">
        <v>81</v>
      </c>
      <c r="I840" t="s">
        <v>82</v>
      </c>
      <c r="J840">
        <v>4299</v>
      </c>
      <c r="K840">
        <v>1</v>
      </c>
      <c r="L840">
        <v>4306.63</v>
      </c>
      <c r="M840">
        <v>430.66</v>
      </c>
      <c r="N840">
        <v>4306.63</v>
      </c>
      <c r="O840">
        <v>3875.97</v>
      </c>
      <c r="P840" t="s">
        <v>2111</v>
      </c>
      <c r="Q840" t="s">
        <v>1170</v>
      </c>
    </row>
    <row r="841" spans="1:17" x14ac:dyDescent="0.3">
      <c r="A841" t="s">
        <v>1430</v>
      </c>
      <c r="B841" t="s">
        <v>1429</v>
      </c>
      <c r="C841" s="1">
        <v>46138</v>
      </c>
      <c r="D841" t="s">
        <v>63</v>
      </c>
      <c r="E841" t="s">
        <v>17</v>
      </c>
      <c r="F841" t="s">
        <v>60</v>
      </c>
      <c r="G841" t="s">
        <v>250</v>
      </c>
      <c r="H841" t="s">
        <v>251</v>
      </c>
      <c r="I841" t="s">
        <v>108</v>
      </c>
      <c r="J841">
        <v>899</v>
      </c>
      <c r="K841">
        <v>2</v>
      </c>
      <c r="L841">
        <v>892.68</v>
      </c>
      <c r="M841">
        <v>357.07</v>
      </c>
      <c r="N841">
        <v>1785.36</v>
      </c>
      <c r="O841">
        <v>1428.29</v>
      </c>
      <c r="P841" t="s">
        <v>2111</v>
      </c>
      <c r="Q841" t="s">
        <v>1170</v>
      </c>
    </row>
    <row r="842" spans="1:17" x14ac:dyDescent="0.3">
      <c r="A842" t="s">
        <v>2587</v>
      </c>
      <c r="B842" t="s">
        <v>2588</v>
      </c>
      <c r="C842" s="1">
        <v>46179</v>
      </c>
      <c r="D842" t="s">
        <v>26</v>
      </c>
      <c r="E842" t="s">
        <v>50</v>
      </c>
      <c r="F842" t="s">
        <v>31</v>
      </c>
      <c r="G842" t="s">
        <v>51</v>
      </c>
      <c r="H842" t="s">
        <v>52</v>
      </c>
      <c r="I842" t="s">
        <v>20</v>
      </c>
      <c r="J842">
        <v>999</v>
      </c>
      <c r="K842">
        <v>1</v>
      </c>
      <c r="L842">
        <v>1089.23</v>
      </c>
      <c r="M842">
        <v>54.46</v>
      </c>
      <c r="N842">
        <v>1089.23</v>
      </c>
      <c r="O842">
        <v>1034.77</v>
      </c>
      <c r="P842" t="s">
        <v>2111</v>
      </c>
      <c r="Q842" t="s">
        <v>1809</v>
      </c>
    </row>
    <row r="843" spans="1:17" x14ac:dyDescent="0.3">
      <c r="A843" t="s">
        <v>798</v>
      </c>
      <c r="B843" t="s">
        <v>797</v>
      </c>
      <c r="C843" s="1">
        <v>46082</v>
      </c>
      <c r="D843" t="s">
        <v>34</v>
      </c>
      <c r="E843" t="s">
        <v>17</v>
      </c>
      <c r="F843" t="s">
        <v>60</v>
      </c>
      <c r="G843" t="s">
        <v>112</v>
      </c>
      <c r="H843" t="s">
        <v>113</v>
      </c>
      <c r="I843" t="s">
        <v>37</v>
      </c>
      <c r="J843">
        <v>1499</v>
      </c>
      <c r="K843">
        <v>1</v>
      </c>
      <c r="L843">
        <v>1632.36</v>
      </c>
      <c r="M843">
        <v>244.85</v>
      </c>
      <c r="N843">
        <v>1632.36</v>
      </c>
      <c r="O843">
        <v>1387.51</v>
      </c>
      <c r="P843" t="s">
        <v>2111</v>
      </c>
      <c r="Q843" t="s">
        <v>789</v>
      </c>
    </row>
    <row r="844" spans="1:17" x14ac:dyDescent="0.3">
      <c r="A844" t="s">
        <v>2608</v>
      </c>
      <c r="B844" t="s">
        <v>133</v>
      </c>
      <c r="C844" s="1">
        <v>46127</v>
      </c>
      <c r="D844" t="s">
        <v>26</v>
      </c>
      <c r="E844" t="s">
        <v>50</v>
      </c>
      <c r="F844" t="s">
        <v>60</v>
      </c>
      <c r="G844" t="s">
        <v>165</v>
      </c>
      <c r="H844" t="s">
        <v>166</v>
      </c>
      <c r="I844" t="s">
        <v>29</v>
      </c>
      <c r="J844">
        <v>449</v>
      </c>
      <c r="K844">
        <v>3</v>
      </c>
      <c r="L844">
        <v>474.11</v>
      </c>
      <c r="M844">
        <v>213.35</v>
      </c>
      <c r="N844">
        <v>1422.33</v>
      </c>
      <c r="O844">
        <v>1208.98</v>
      </c>
      <c r="P844" t="s">
        <v>2111</v>
      </c>
      <c r="Q844" t="s">
        <v>1170</v>
      </c>
    </row>
    <row r="845" spans="1:17" x14ac:dyDescent="0.3">
      <c r="A845" t="s">
        <v>1617</v>
      </c>
      <c r="B845" t="s">
        <v>1616</v>
      </c>
      <c r="C845" s="1">
        <v>46154</v>
      </c>
      <c r="D845" t="s">
        <v>26</v>
      </c>
      <c r="E845" t="s">
        <v>42</v>
      </c>
      <c r="F845" t="s">
        <v>74</v>
      </c>
      <c r="G845" t="s">
        <v>165</v>
      </c>
      <c r="H845" t="s">
        <v>166</v>
      </c>
      <c r="I845" t="s">
        <v>29</v>
      </c>
      <c r="J845">
        <v>449</v>
      </c>
      <c r="K845">
        <v>2</v>
      </c>
      <c r="L845">
        <v>458.17</v>
      </c>
      <c r="M845">
        <v>91.63</v>
      </c>
      <c r="N845">
        <v>916.34</v>
      </c>
      <c r="O845">
        <v>824.71</v>
      </c>
      <c r="P845" t="s">
        <v>2111</v>
      </c>
      <c r="Q845" t="s">
        <v>1479</v>
      </c>
    </row>
    <row r="846" spans="1:17" x14ac:dyDescent="0.3">
      <c r="A846" t="s">
        <v>2580</v>
      </c>
      <c r="B846" t="s">
        <v>2037</v>
      </c>
      <c r="C846" s="1">
        <v>46045</v>
      </c>
      <c r="D846" t="s">
        <v>41</v>
      </c>
      <c r="E846" t="s">
        <v>17</v>
      </c>
      <c r="F846" t="s">
        <v>22</v>
      </c>
      <c r="G846" t="s">
        <v>126</v>
      </c>
      <c r="H846" t="s">
        <v>127</v>
      </c>
      <c r="I846" t="s">
        <v>45</v>
      </c>
      <c r="J846">
        <v>2499</v>
      </c>
      <c r="K846">
        <v>1</v>
      </c>
      <c r="L846">
        <v>2476.4899999999998</v>
      </c>
      <c r="M846">
        <v>123.82</v>
      </c>
      <c r="N846">
        <v>2476.4899999999998</v>
      </c>
      <c r="O846">
        <v>2352.67</v>
      </c>
      <c r="P846" t="s">
        <v>2111</v>
      </c>
      <c r="Q846" t="s">
        <v>23</v>
      </c>
    </row>
    <row r="847" spans="1:17" x14ac:dyDescent="0.3">
      <c r="A847" t="s">
        <v>2386</v>
      </c>
      <c r="B847" t="s">
        <v>2387</v>
      </c>
      <c r="C847" s="1">
        <v>46082</v>
      </c>
      <c r="D847" t="s">
        <v>63</v>
      </c>
      <c r="E847" t="s">
        <v>50</v>
      </c>
      <c r="F847" t="s">
        <v>47</v>
      </c>
      <c r="G847" t="s">
        <v>112</v>
      </c>
      <c r="H847" t="s">
        <v>113</v>
      </c>
      <c r="I847" t="s">
        <v>37</v>
      </c>
      <c r="J847">
        <v>1499</v>
      </c>
      <c r="K847">
        <v>2</v>
      </c>
      <c r="L847">
        <v>1455.88</v>
      </c>
      <c r="M847">
        <v>291.18</v>
      </c>
      <c r="N847">
        <v>2911.76</v>
      </c>
      <c r="O847">
        <v>2620.58</v>
      </c>
      <c r="P847" t="s">
        <v>2111</v>
      </c>
      <c r="Q847" t="s">
        <v>789</v>
      </c>
    </row>
    <row r="848" spans="1:17" x14ac:dyDescent="0.3">
      <c r="A848" t="s">
        <v>1532</v>
      </c>
      <c r="B848" t="s">
        <v>1531</v>
      </c>
      <c r="C848" s="1">
        <v>46146</v>
      </c>
      <c r="D848" t="s">
        <v>63</v>
      </c>
      <c r="E848" t="s">
        <v>17</v>
      </c>
      <c r="F848" t="s">
        <v>47</v>
      </c>
      <c r="G848" t="s">
        <v>149</v>
      </c>
      <c r="H848" t="s">
        <v>150</v>
      </c>
      <c r="I848" t="s">
        <v>37</v>
      </c>
      <c r="J848">
        <v>2999</v>
      </c>
      <c r="K848">
        <v>1</v>
      </c>
      <c r="L848">
        <v>3267.16</v>
      </c>
      <c r="M848">
        <v>163.36000000000001</v>
      </c>
      <c r="N848">
        <v>3267.16</v>
      </c>
      <c r="O848">
        <v>3103.8</v>
      </c>
      <c r="P848" t="s">
        <v>2111</v>
      </c>
      <c r="Q848" t="s">
        <v>1479</v>
      </c>
    </row>
    <row r="849" spans="1:17" x14ac:dyDescent="0.3">
      <c r="A849" t="s">
        <v>2609</v>
      </c>
      <c r="B849" t="s">
        <v>2610</v>
      </c>
      <c r="C849" s="1">
        <v>46193</v>
      </c>
      <c r="D849" t="s">
        <v>16</v>
      </c>
      <c r="E849" t="s">
        <v>50</v>
      </c>
      <c r="F849" t="s">
        <v>31</v>
      </c>
      <c r="G849" t="s">
        <v>160</v>
      </c>
      <c r="H849" t="s">
        <v>161</v>
      </c>
      <c r="I849" t="s">
        <v>82</v>
      </c>
      <c r="J849">
        <v>799</v>
      </c>
      <c r="K849">
        <v>1</v>
      </c>
      <c r="L849">
        <v>815.44</v>
      </c>
      <c r="M849">
        <v>0</v>
      </c>
      <c r="N849">
        <v>815.44</v>
      </c>
      <c r="O849">
        <v>815.44</v>
      </c>
      <c r="P849" t="s">
        <v>2111</v>
      </c>
      <c r="Q849" t="s">
        <v>1809</v>
      </c>
    </row>
    <row r="850" spans="1:17" x14ac:dyDescent="0.3">
      <c r="A850" t="s">
        <v>449</v>
      </c>
      <c r="B850" t="s">
        <v>448</v>
      </c>
      <c r="C850" s="1">
        <v>46048</v>
      </c>
      <c r="D850" t="s">
        <v>63</v>
      </c>
      <c r="E850" t="s">
        <v>17</v>
      </c>
      <c r="F850" t="s">
        <v>31</v>
      </c>
      <c r="G850" t="s">
        <v>51</v>
      </c>
      <c r="H850" t="s">
        <v>52</v>
      </c>
      <c r="I850" t="s">
        <v>20</v>
      </c>
      <c r="J850">
        <v>999</v>
      </c>
      <c r="K850">
        <v>1</v>
      </c>
      <c r="L850">
        <v>1014.8</v>
      </c>
      <c r="M850">
        <v>253.7</v>
      </c>
      <c r="N850">
        <v>1014.8</v>
      </c>
      <c r="O850">
        <v>761.1</v>
      </c>
      <c r="P850" t="s">
        <v>2111</v>
      </c>
      <c r="Q850" t="s">
        <v>23</v>
      </c>
    </row>
    <row r="851" spans="1:17" x14ac:dyDescent="0.3">
      <c r="A851" t="s">
        <v>1735</v>
      </c>
      <c r="B851" t="s">
        <v>1734</v>
      </c>
      <c r="C851" s="1">
        <v>46166</v>
      </c>
      <c r="D851" t="s">
        <v>34</v>
      </c>
      <c r="E851" t="s">
        <v>17</v>
      </c>
      <c r="F851" t="s">
        <v>31</v>
      </c>
      <c r="G851" t="s">
        <v>126</v>
      </c>
      <c r="H851" t="s">
        <v>127</v>
      </c>
      <c r="I851" t="s">
        <v>45</v>
      </c>
      <c r="J851">
        <v>2499</v>
      </c>
      <c r="K851">
        <v>1</v>
      </c>
      <c r="L851">
        <v>2365</v>
      </c>
      <c r="M851">
        <v>0</v>
      </c>
      <c r="N851">
        <v>2365</v>
      </c>
      <c r="O851">
        <v>2365</v>
      </c>
      <c r="P851" t="s">
        <v>2114</v>
      </c>
      <c r="Q851" t="s">
        <v>1479</v>
      </c>
    </row>
    <row r="852" spans="1:17" x14ac:dyDescent="0.3">
      <c r="A852" t="s">
        <v>1253</v>
      </c>
      <c r="B852" t="s">
        <v>1252</v>
      </c>
      <c r="C852" s="1">
        <v>46121</v>
      </c>
      <c r="D852" t="s">
        <v>26</v>
      </c>
      <c r="E852" t="s">
        <v>17</v>
      </c>
      <c r="F852" t="s">
        <v>74</v>
      </c>
      <c r="G852" t="s">
        <v>191</v>
      </c>
      <c r="H852" t="s">
        <v>192</v>
      </c>
      <c r="I852" t="s">
        <v>45</v>
      </c>
      <c r="J852">
        <v>699</v>
      </c>
      <c r="K852">
        <v>1</v>
      </c>
      <c r="L852">
        <v>635.63</v>
      </c>
      <c r="M852">
        <v>0</v>
      </c>
      <c r="N852">
        <v>635.63</v>
      </c>
      <c r="O852">
        <v>635.63</v>
      </c>
      <c r="P852" t="s">
        <v>2111</v>
      </c>
      <c r="Q852" t="s">
        <v>1170</v>
      </c>
    </row>
    <row r="853" spans="1:17" x14ac:dyDescent="0.3">
      <c r="A853" t="s">
        <v>866</v>
      </c>
      <c r="B853" t="s">
        <v>747</v>
      </c>
      <c r="C853" s="1">
        <v>46087</v>
      </c>
      <c r="D853" t="s">
        <v>16</v>
      </c>
      <c r="E853" t="s">
        <v>17</v>
      </c>
      <c r="F853" t="s">
        <v>60</v>
      </c>
      <c r="G853" t="s">
        <v>126</v>
      </c>
      <c r="H853" t="s">
        <v>127</v>
      </c>
      <c r="I853" t="s">
        <v>45</v>
      </c>
      <c r="J853">
        <v>2499</v>
      </c>
      <c r="K853">
        <v>1</v>
      </c>
      <c r="L853">
        <v>2721.51</v>
      </c>
      <c r="M853">
        <v>544.29999999999995</v>
      </c>
      <c r="N853">
        <v>2721.51</v>
      </c>
      <c r="O853">
        <v>2177.21</v>
      </c>
      <c r="P853" t="s">
        <v>2111</v>
      </c>
      <c r="Q853" t="s">
        <v>789</v>
      </c>
    </row>
    <row r="854" spans="1:17" x14ac:dyDescent="0.3">
      <c r="A854" t="s">
        <v>2396</v>
      </c>
      <c r="B854" t="s">
        <v>690</v>
      </c>
      <c r="C854" s="1">
        <v>46103</v>
      </c>
      <c r="D854" t="s">
        <v>26</v>
      </c>
      <c r="E854" t="s">
        <v>17</v>
      </c>
      <c r="F854" t="s">
        <v>31</v>
      </c>
      <c r="G854" t="s">
        <v>56</v>
      </c>
      <c r="H854" t="s">
        <v>57</v>
      </c>
      <c r="I854" t="s">
        <v>58</v>
      </c>
      <c r="J854">
        <v>8999</v>
      </c>
      <c r="K854">
        <v>1</v>
      </c>
      <c r="L854">
        <v>8663.76</v>
      </c>
      <c r="M854">
        <v>433.19</v>
      </c>
      <c r="N854">
        <v>8663.76</v>
      </c>
      <c r="O854">
        <v>8230.57</v>
      </c>
      <c r="P854" t="s">
        <v>2111</v>
      </c>
      <c r="Q854" t="s">
        <v>789</v>
      </c>
    </row>
    <row r="855" spans="1:17" x14ac:dyDescent="0.3">
      <c r="A855" t="s">
        <v>401</v>
      </c>
      <c r="B855" t="s">
        <v>400</v>
      </c>
      <c r="C855" s="1">
        <v>46045</v>
      </c>
      <c r="D855" t="s">
        <v>41</v>
      </c>
      <c r="E855" t="s">
        <v>50</v>
      </c>
      <c r="F855" t="s">
        <v>31</v>
      </c>
      <c r="G855" t="s">
        <v>126</v>
      </c>
      <c r="H855" t="s">
        <v>127</v>
      </c>
      <c r="I855" t="s">
        <v>45</v>
      </c>
      <c r="J855">
        <v>2499</v>
      </c>
      <c r="K855">
        <v>3</v>
      </c>
      <c r="L855">
        <v>2470.31</v>
      </c>
      <c r="M855">
        <v>1111.6400000000001</v>
      </c>
      <c r="N855">
        <v>7410.93</v>
      </c>
      <c r="O855">
        <v>6299.29</v>
      </c>
      <c r="P855" t="s">
        <v>2111</v>
      </c>
      <c r="Q855" t="s">
        <v>23</v>
      </c>
    </row>
    <row r="856" spans="1:17" x14ac:dyDescent="0.3">
      <c r="A856" t="s">
        <v>2611</v>
      </c>
      <c r="B856" t="s">
        <v>1540</v>
      </c>
      <c r="C856" s="1">
        <v>46128</v>
      </c>
      <c r="D856" t="s">
        <v>34</v>
      </c>
      <c r="E856" t="s">
        <v>17</v>
      </c>
      <c r="F856" t="s">
        <v>60</v>
      </c>
      <c r="G856" t="s">
        <v>96</v>
      </c>
      <c r="H856" t="s">
        <v>97</v>
      </c>
      <c r="I856" t="s">
        <v>58</v>
      </c>
      <c r="J856">
        <v>7499</v>
      </c>
      <c r="K856">
        <v>1</v>
      </c>
      <c r="L856">
        <v>6921.04</v>
      </c>
      <c r="M856">
        <v>346.05</v>
      </c>
      <c r="N856">
        <v>6921.04</v>
      </c>
      <c r="O856">
        <v>6574.99</v>
      </c>
      <c r="P856" t="s">
        <v>2111</v>
      </c>
      <c r="Q856" t="s">
        <v>1170</v>
      </c>
    </row>
    <row r="857" spans="1:17" x14ac:dyDescent="0.3">
      <c r="A857" t="s">
        <v>114</v>
      </c>
      <c r="B857" t="s">
        <v>111</v>
      </c>
      <c r="C857" s="1">
        <v>46026</v>
      </c>
      <c r="D857" t="s">
        <v>63</v>
      </c>
      <c r="E857" t="s">
        <v>17</v>
      </c>
      <c r="F857" t="s">
        <v>22</v>
      </c>
      <c r="G857" t="s">
        <v>160</v>
      </c>
      <c r="H857" t="s">
        <v>161</v>
      </c>
      <c r="I857" t="s">
        <v>82</v>
      </c>
      <c r="J857">
        <v>799</v>
      </c>
      <c r="K857">
        <v>1</v>
      </c>
      <c r="L857">
        <v>852.84</v>
      </c>
      <c r="M857">
        <v>85.28</v>
      </c>
      <c r="N857">
        <v>852.84</v>
      </c>
      <c r="O857">
        <v>767.56</v>
      </c>
      <c r="P857" t="s">
        <v>2111</v>
      </c>
      <c r="Q857" t="s">
        <v>23</v>
      </c>
    </row>
    <row r="858" spans="1:17" x14ac:dyDescent="0.3">
      <c r="A858" t="s">
        <v>715</v>
      </c>
      <c r="B858" t="s">
        <v>714</v>
      </c>
      <c r="C858" s="1">
        <v>46074</v>
      </c>
      <c r="D858" t="s">
        <v>16</v>
      </c>
      <c r="E858" t="s">
        <v>17</v>
      </c>
      <c r="F858" t="s">
        <v>22</v>
      </c>
      <c r="G858" t="s">
        <v>106</v>
      </c>
      <c r="H858" t="s">
        <v>107</v>
      </c>
      <c r="I858" t="s">
        <v>108</v>
      </c>
      <c r="J858">
        <v>599</v>
      </c>
      <c r="K858">
        <v>1</v>
      </c>
      <c r="L858">
        <v>542.41</v>
      </c>
      <c r="M858">
        <v>27.12</v>
      </c>
      <c r="N858">
        <v>542.41</v>
      </c>
      <c r="O858">
        <v>515.29</v>
      </c>
      <c r="P858" t="s">
        <v>2111</v>
      </c>
      <c r="Q858" t="s">
        <v>498</v>
      </c>
    </row>
    <row r="859" spans="1:17" x14ac:dyDescent="0.3">
      <c r="A859" t="s">
        <v>2612</v>
      </c>
      <c r="B859" t="s">
        <v>2613</v>
      </c>
      <c r="C859" s="1">
        <v>46194</v>
      </c>
      <c r="D859" t="s">
        <v>26</v>
      </c>
      <c r="E859" t="s">
        <v>50</v>
      </c>
      <c r="F859" t="s">
        <v>60</v>
      </c>
      <c r="G859" t="s">
        <v>51</v>
      </c>
      <c r="H859" t="s">
        <v>52</v>
      </c>
      <c r="I859" t="s">
        <v>20</v>
      </c>
      <c r="J859">
        <v>999</v>
      </c>
      <c r="K859">
        <v>1</v>
      </c>
      <c r="L859">
        <v>1065.73</v>
      </c>
      <c r="M859">
        <v>53.29</v>
      </c>
      <c r="N859">
        <v>1065.73</v>
      </c>
      <c r="O859">
        <v>1012.44</v>
      </c>
      <c r="P859" t="s">
        <v>2111</v>
      </c>
      <c r="Q859" t="s">
        <v>1809</v>
      </c>
    </row>
    <row r="860" spans="1:17" x14ac:dyDescent="0.3">
      <c r="A860" t="s">
        <v>443</v>
      </c>
      <c r="B860" t="s">
        <v>442</v>
      </c>
      <c r="C860" s="1">
        <v>46048</v>
      </c>
      <c r="D860" t="s">
        <v>16</v>
      </c>
      <c r="E860" t="s">
        <v>50</v>
      </c>
      <c r="F860" t="s">
        <v>60</v>
      </c>
      <c r="G860" t="s">
        <v>149</v>
      </c>
      <c r="H860" t="s">
        <v>150</v>
      </c>
      <c r="I860" t="s">
        <v>37</v>
      </c>
      <c r="J860">
        <v>2999</v>
      </c>
      <c r="K860">
        <v>2</v>
      </c>
      <c r="L860">
        <v>2783.24</v>
      </c>
      <c r="M860">
        <v>556.65</v>
      </c>
      <c r="N860">
        <v>5566.48</v>
      </c>
      <c r="O860">
        <v>5009.83</v>
      </c>
      <c r="P860" t="s">
        <v>2111</v>
      </c>
      <c r="Q860" t="s">
        <v>23</v>
      </c>
    </row>
    <row r="861" spans="1:17" x14ac:dyDescent="0.3">
      <c r="A861" t="s">
        <v>2614</v>
      </c>
      <c r="B861" t="s">
        <v>2615</v>
      </c>
      <c r="C861" s="1">
        <v>46124</v>
      </c>
      <c r="D861" t="s">
        <v>34</v>
      </c>
      <c r="E861" t="s">
        <v>50</v>
      </c>
      <c r="F861" t="s">
        <v>74</v>
      </c>
      <c r="G861" t="s">
        <v>355</v>
      </c>
      <c r="H861" t="s">
        <v>356</v>
      </c>
      <c r="I861" t="s">
        <v>82</v>
      </c>
      <c r="J861">
        <v>499</v>
      </c>
      <c r="K861">
        <v>1</v>
      </c>
      <c r="L861">
        <v>537.58000000000004</v>
      </c>
      <c r="M861">
        <v>80.64</v>
      </c>
      <c r="N861">
        <v>537.58000000000004</v>
      </c>
      <c r="O861">
        <v>456.94</v>
      </c>
      <c r="P861" t="s">
        <v>2111</v>
      </c>
      <c r="Q861" t="s">
        <v>1170</v>
      </c>
    </row>
    <row r="862" spans="1:17" x14ac:dyDescent="0.3">
      <c r="A862" t="s">
        <v>2429</v>
      </c>
      <c r="B862" t="s">
        <v>2430</v>
      </c>
      <c r="C862" s="1">
        <v>46025</v>
      </c>
      <c r="D862" t="s">
        <v>34</v>
      </c>
      <c r="E862" t="s">
        <v>50</v>
      </c>
      <c r="F862" t="s">
        <v>74</v>
      </c>
      <c r="G862" t="s">
        <v>149</v>
      </c>
      <c r="H862" t="s">
        <v>150</v>
      </c>
      <c r="I862" t="s">
        <v>37</v>
      </c>
      <c r="J862">
        <v>2999</v>
      </c>
      <c r="K862">
        <v>1</v>
      </c>
      <c r="L862">
        <v>3136.82</v>
      </c>
      <c r="M862">
        <v>313.68</v>
      </c>
      <c r="N862">
        <v>3136.82</v>
      </c>
      <c r="O862">
        <v>2823.14</v>
      </c>
      <c r="P862" t="s">
        <v>2114</v>
      </c>
      <c r="Q862" t="s">
        <v>23</v>
      </c>
    </row>
    <row r="863" spans="1:17" x14ac:dyDescent="0.3">
      <c r="A863" t="s">
        <v>2616</v>
      </c>
      <c r="B863" t="s">
        <v>1227</v>
      </c>
      <c r="C863" s="1">
        <v>46157</v>
      </c>
      <c r="D863" t="s">
        <v>34</v>
      </c>
      <c r="E863" t="s">
        <v>50</v>
      </c>
      <c r="F863" t="s">
        <v>31</v>
      </c>
      <c r="G863" t="s">
        <v>51</v>
      </c>
      <c r="H863" t="s">
        <v>52</v>
      </c>
      <c r="I863" t="s">
        <v>20</v>
      </c>
      <c r="J863">
        <v>999</v>
      </c>
      <c r="K863">
        <v>1</v>
      </c>
      <c r="L863">
        <v>932</v>
      </c>
      <c r="M863">
        <v>186.4</v>
      </c>
      <c r="N863">
        <v>932</v>
      </c>
      <c r="O863">
        <v>745.6</v>
      </c>
      <c r="P863" t="s">
        <v>2111</v>
      </c>
      <c r="Q863" t="s">
        <v>1479</v>
      </c>
    </row>
    <row r="864" spans="1:17" x14ac:dyDescent="0.3">
      <c r="A864" t="s">
        <v>477</v>
      </c>
      <c r="B864" t="s">
        <v>476</v>
      </c>
      <c r="C864" s="1">
        <v>46052</v>
      </c>
      <c r="D864" t="s">
        <v>26</v>
      </c>
      <c r="E864" t="s">
        <v>50</v>
      </c>
      <c r="F864" t="s">
        <v>31</v>
      </c>
      <c r="G864" t="s">
        <v>91</v>
      </c>
      <c r="H864" t="s">
        <v>92</v>
      </c>
      <c r="I864" t="s">
        <v>37</v>
      </c>
      <c r="J864">
        <v>1899</v>
      </c>
      <c r="K864">
        <v>2</v>
      </c>
      <c r="L864">
        <v>1924</v>
      </c>
      <c r="M864">
        <v>0</v>
      </c>
      <c r="N864">
        <v>3848</v>
      </c>
      <c r="O864">
        <v>3848</v>
      </c>
      <c r="P864" t="s">
        <v>2111</v>
      </c>
      <c r="Q864" t="s">
        <v>23</v>
      </c>
    </row>
    <row r="865" spans="1:17" x14ac:dyDescent="0.3">
      <c r="A865" t="s">
        <v>1951</v>
      </c>
      <c r="B865" t="s">
        <v>1950</v>
      </c>
      <c r="C865" s="1">
        <v>46188</v>
      </c>
      <c r="D865" t="s">
        <v>41</v>
      </c>
      <c r="E865" t="s">
        <v>17</v>
      </c>
      <c r="F865" t="s">
        <v>47</v>
      </c>
      <c r="G865" t="s">
        <v>355</v>
      </c>
      <c r="H865" t="s">
        <v>356</v>
      </c>
      <c r="I865" t="s">
        <v>82</v>
      </c>
      <c r="J865">
        <v>499</v>
      </c>
      <c r="K865">
        <v>1</v>
      </c>
      <c r="L865">
        <v>480.3</v>
      </c>
      <c r="M865">
        <v>48.03</v>
      </c>
      <c r="N865">
        <v>480.3</v>
      </c>
      <c r="O865">
        <v>432.27</v>
      </c>
      <c r="P865" t="s">
        <v>2114</v>
      </c>
      <c r="Q865" t="s">
        <v>1809</v>
      </c>
    </row>
    <row r="866" spans="1:17" x14ac:dyDescent="0.3">
      <c r="A866" t="s">
        <v>2617</v>
      </c>
      <c r="B866" t="s">
        <v>1321</v>
      </c>
      <c r="C866" s="1">
        <v>46126</v>
      </c>
      <c r="D866" t="s">
        <v>26</v>
      </c>
      <c r="E866" t="s">
        <v>50</v>
      </c>
      <c r="F866" t="s">
        <v>47</v>
      </c>
      <c r="G866" t="s">
        <v>56</v>
      </c>
      <c r="H866" t="s">
        <v>57</v>
      </c>
      <c r="I866" t="s">
        <v>58</v>
      </c>
      <c r="J866">
        <v>8999</v>
      </c>
      <c r="K866">
        <v>1</v>
      </c>
      <c r="L866">
        <v>8419.8799999999992</v>
      </c>
      <c r="M866">
        <v>841.99</v>
      </c>
      <c r="N866">
        <v>8419.8799999999992</v>
      </c>
      <c r="O866">
        <v>7577.89</v>
      </c>
      <c r="P866" t="s">
        <v>2111</v>
      </c>
      <c r="Q866" t="s">
        <v>1170</v>
      </c>
    </row>
    <row r="867" spans="1:17" x14ac:dyDescent="0.3">
      <c r="A867" t="s">
        <v>2219</v>
      </c>
      <c r="B867" t="s">
        <v>2220</v>
      </c>
      <c r="C867" s="1">
        <v>46128</v>
      </c>
      <c r="D867" t="s">
        <v>16</v>
      </c>
      <c r="E867" t="s">
        <v>17</v>
      </c>
      <c r="F867" t="s">
        <v>60</v>
      </c>
      <c r="G867" t="s">
        <v>126</v>
      </c>
      <c r="H867" t="s">
        <v>127</v>
      </c>
      <c r="I867" t="s">
        <v>45</v>
      </c>
      <c r="J867">
        <v>2499</v>
      </c>
      <c r="K867">
        <v>1</v>
      </c>
      <c r="L867">
        <v>2678.52</v>
      </c>
      <c r="M867">
        <v>535.70000000000005</v>
      </c>
      <c r="N867">
        <v>2678.52</v>
      </c>
      <c r="O867">
        <v>2142.8200000000002</v>
      </c>
      <c r="P867" t="s">
        <v>2111</v>
      </c>
      <c r="Q867" t="s">
        <v>1170</v>
      </c>
    </row>
    <row r="868" spans="1:17" x14ac:dyDescent="0.3">
      <c r="A868" t="s">
        <v>1710</v>
      </c>
      <c r="B868" t="s">
        <v>1709</v>
      </c>
      <c r="C868" s="1">
        <v>46163</v>
      </c>
      <c r="D868" t="s">
        <v>16</v>
      </c>
      <c r="E868" t="s">
        <v>17</v>
      </c>
      <c r="F868" t="s">
        <v>60</v>
      </c>
      <c r="G868" t="s">
        <v>51</v>
      </c>
      <c r="H868" t="s">
        <v>52</v>
      </c>
      <c r="I868" t="s">
        <v>20</v>
      </c>
      <c r="J868">
        <v>999</v>
      </c>
      <c r="K868">
        <v>1</v>
      </c>
      <c r="L868">
        <v>979.72</v>
      </c>
      <c r="M868">
        <v>0</v>
      </c>
      <c r="N868">
        <v>979.72</v>
      </c>
      <c r="O868">
        <v>979.72</v>
      </c>
      <c r="P868" t="s">
        <v>2111</v>
      </c>
      <c r="Q868" t="s">
        <v>1479</v>
      </c>
    </row>
    <row r="869" spans="1:17" x14ac:dyDescent="0.3">
      <c r="A869" t="s">
        <v>2413</v>
      </c>
      <c r="B869" t="s">
        <v>1213</v>
      </c>
      <c r="C869" s="1">
        <v>46192</v>
      </c>
      <c r="D869" t="s">
        <v>26</v>
      </c>
      <c r="E869" t="s">
        <v>17</v>
      </c>
      <c r="F869" t="s">
        <v>47</v>
      </c>
      <c r="G869" t="s">
        <v>126</v>
      </c>
      <c r="H869" t="s">
        <v>127</v>
      </c>
      <c r="I869" t="s">
        <v>45</v>
      </c>
      <c r="J869">
        <v>2499</v>
      </c>
      <c r="K869">
        <v>1</v>
      </c>
      <c r="L869">
        <v>2448.29</v>
      </c>
      <c r="M869">
        <v>244.83</v>
      </c>
      <c r="N869">
        <v>2448.29</v>
      </c>
      <c r="O869">
        <v>2203.46</v>
      </c>
      <c r="P869" t="s">
        <v>2111</v>
      </c>
      <c r="Q869" t="s">
        <v>1809</v>
      </c>
    </row>
    <row r="870" spans="1:17" x14ac:dyDescent="0.3">
      <c r="A870" t="s">
        <v>2618</v>
      </c>
      <c r="B870" t="s">
        <v>2619</v>
      </c>
      <c r="C870" s="1">
        <v>46037</v>
      </c>
      <c r="D870" t="s">
        <v>26</v>
      </c>
      <c r="E870" t="s">
        <v>17</v>
      </c>
      <c r="F870" t="s">
        <v>60</v>
      </c>
      <c r="G870" t="s">
        <v>250</v>
      </c>
      <c r="H870" t="s">
        <v>251</v>
      </c>
      <c r="I870" t="s">
        <v>108</v>
      </c>
      <c r="J870">
        <v>899</v>
      </c>
      <c r="K870">
        <v>2</v>
      </c>
      <c r="L870">
        <v>839.65</v>
      </c>
      <c r="M870">
        <v>335.86</v>
      </c>
      <c r="N870">
        <v>1679.3</v>
      </c>
      <c r="O870">
        <v>1343.44</v>
      </c>
      <c r="P870" t="s">
        <v>2111</v>
      </c>
      <c r="Q870" t="s">
        <v>23</v>
      </c>
    </row>
    <row r="871" spans="1:17" x14ac:dyDescent="0.3">
      <c r="A871" t="s">
        <v>2620</v>
      </c>
      <c r="B871" t="s">
        <v>2621</v>
      </c>
      <c r="C871" s="1">
        <v>46179</v>
      </c>
      <c r="D871" t="s">
        <v>16</v>
      </c>
      <c r="E871" t="s">
        <v>42</v>
      </c>
      <c r="F871" t="s">
        <v>47</v>
      </c>
      <c r="G871" t="s">
        <v>112</v>
      </c>
      <c r="H871" t="s">
        <v>113</v>
      </c>
      <c r="I871" t="s">
        <v>37</v>
      </c>
      <c r="J871">
        <v>1499</v>
      </c>
      <c r="K871">
        <v>2</v>
      </c>
      <c r="L871">
        <v>1463.94</v>
      </c>
      <c r="M871">
        <v>146.38999999999999</v>
      </c>
      <c r="N871">
        <v>2927.88</v>
      </c>
      <c r="O871">
        <v>2781.49</v>
      </c>
      <c r="P871" t="s">
        <v>2111</v>
      </c>
      <c r="Q871" t="s">
        <v>1809</v>
      </c>
    </row>
    <row r="872" spans="1:17" x14ac:dyDescent="0.3">
      <c r="A872" t="s">
        <v>459</v>
      </c>
      <c r="B872" t="s">
        <v>314</v>
      </c>
      <c r="C872" s="1">
        <v>46049</v>
      </c>
      <c r="D872" t="s">
        <v>26</v>
      </c>
      <c r="E872" t="s">
        <v>17</v>
      </c>
      <c r="F872" t="s">
        <v>47</v>
      </c>
      <c r="G872" t="s">
        <v>101</v>
      </c>
      <c r="H872" t="s">
        <v>102</v>
      </c>
      <c r="I872" t="s">
        <v>45</v>
      </c>
      <c r="J872">
        <v>4999</v>
      </c>
      <c r="K872">
        <v>2</v>
      </c>
      <c r="L872">
        <v>5370.54</v>
      </c>
      <c r="M872">
        <v>2148.2199999999998</v>
      </c>
      <c r="N872">
        <v>10741.08</v>
      </c>
      <c r="O872">
        <v>8592.86</v>
      </c>
      <c r="P872" t="s">
        <v>2111</v>
      </c>
      <c r="Q872" t="s">
        <v>23</v>
      </c>
    </row>
    <row r="873" spans="1:17" x14ac:dyDescent="0.3">
      <c r="A873" t="s">
        <v>2622</v>
      </c>
      <c r="B873" t="s">
        <v>2623</v>
      </c>
      <c r="C873" s="1">
        <v>46037</v>
      </c>
      <c r="D873" t="s">
        <v>26</v>
      </c>
      <c r="E873" t="s">
        <v>17</v>
      </c>
      <c r="F873" t="s">
        <v>74</v>
      </c>
      <c r="G873" t="s">
        <v>96</v>
      </c>
      <c r="H873" t="s">
        <v>97</v>
      </c>
      <c r="I873" t="s">
        <v>58</v>
      </c>
      <c r="J873">
        <v>7499</v>
      </c>
      <c r="K873">
        <v>1</v>
      </c>
      <c r="L873">
        <v>7293.72</v>
      </c>
      <c r="M873">
        <v>0</v>
      </c>
      <c r="N873">
        <v>7293.72</v>
      </c>
      <c r="O873">
        <v>7293.72</v>
      </c>
      <c r="P873" t="s">
        <v>2111</v>
      </c>
      <c r="Q873" t="s">
        <v>23</v>
      </c>
    </row>
    <row r="874" spans="1:17" x14ac:dyDescent="0.3">
      <c r="A874" t="s">
        <v>2624</v>
      </c>
      <c r="B874" t="s">
        <v>2625</v>
      </c>
      <c r="C874" s="1">
        <v>46164</v>
      </c>
      <c r="D874" t="s">
        <v>34</v>
      </c>
      <c r="E874" t="s">
        <v>50</v>
      </c>
      <c r="F874" t="s">
        <v>31</v>
      </c>
      <c r="G874" t="s">
        <v>191</v>
      </c>
      <c r="H874" t="s">
        <v>192</v>
      </c>
      <c r="I874" t="s">
        <v>45</v>
      </c>
      <c r="J874">
        <v>699</v>
      </c>
      <c r="K874">
        <v>1</v>
      </c>
      <c r="L874">
        <v>762.13</v>
      </c>
      <c r="M874">
        <v>114.32</v>
      </c>
      <c r="N874">
        <v>762.13</v>
      </c>
      <c r="O874">
        <v>647.80999999999995</v>
      </c>
      <c r="P874" t="s">
        <v>2111</v>
      </c>
      <c r="Q874" t="s">
        <v>1479</v>
      </c>
    </row>
    <row r="875" spans="1:17" x14ac:dyDescent="0.3">
      <c r="A875" t="s">
        <v>1710</v>
      </c>
      <c r="B875" t="s">
        <v>1709</v>
      </c>
      <c r="C875" s="1">
        <v>46163</v>
      </c>
      <c r="D875" t="s">
        <v>16</v>
      </c>
      <c r="E875" t="s">
        <v>17</v>
      </c>
      <c r="F875" t="s">
        <v>60</v>
      </c>
      <c r="G875" t="s">
        <v>126</v>
      </c>
      <c r="H875" t="s">
        <v>127</v>
      </c>
      <c r="I875" t="s">
        <v>45</v>
      </c>
      <c r="J875">
        <v>2499</v>
      </c>
      <c r="K875">
        <v>1</v>
      </c>
      <c r="L875">
        <v>2722.07</v>
      </c>
      <c r="M875">
        <v>544.41</v>
      </c>
      <c r="N875">
        <v>2722.07</v>
      </c>
      <c r="O875">
        <v>2177.66</v>
      </c>
      <c r="P875" t="s">
        <v>2111</v>
      </c>
      <c r="Q875" t="s">
        <v>1479</v>
      </c>
    </row>
    <row r="876" spans="1:17" x14ac:dyDescent="0.3">
      <c r="A876" t="s">
        <v>486</v>
      </c>
      <c r="B876" t="s">
        <v>485</v>
      </c>
      <c r="C876" s="1">
        <v>46053</v>
      </c>
      <c r="D876" t="s">
        <v>16</v>
      </c>
      <c r="E876" t="s">
        <v>17</v>
      </c>
      <c r="F876" t="s">
        <v>74</v>
      </c>
      <c r="G876" t="s">
        <v>80</v>
      </c>
      <c r="H876" t="s">
        <v>81</v>
      </c>
      <c r="I876" t="s">
        <v>82</v>
      </c>
      <c r="J876">
        <v>4299</v>
      </c>
      <c r="K876">
        <v>4</v>
      </c>
      <c r="L876">
        <v>3993.68</v>
      </c>
      <c r="M876">
        <v>2396.21</v>
      </c>
      <c r="N876">
        <v>15974.72</v>
      </c>
      <c r="O876">
        <v>13578.51</v>
      </c>
      <c r="P876" t="s">
        <v>2111</v>
      </c>
      <c r="Q876" t="s">
        <v>23</v>
      </c>
    </row>
    <row r="877" spans="1:17" x14ac:dyDescent="0.3">
      <c r="A877" t="s">
        <v>1907</v>
      </c>
      <c r="B877" t="s">
        <v>1906</v>
      </c>
      <c r="C877" s="1">
        <v>46182</v>
      </c>
      <c r="D877" t="s">
        <v>16</v>
      </c>
      <c r="E877" t="s">
        <v>17</v>
      </c>
      <c r="F877" t="s">
        <v>74</v>
      </c>
      <c r="G877" t="s">
        <v>86</v>
      </c>
      <c r="H877" t="s">
        <v>87</v>
      </c>
      <c r="I877" t="s">
        <v>82</v>
      </c>
      <c r="J877">
        <v>3499</v>
      </c>
      <c r="K877">
        <v>1</v>
      </c>
      <c r="L877">
        <v>3273.18</v>
      </c>
      <c r="M877">
        <v>327.32</v>
      </c>
      <c r="N877">
        <v>3273.18</v>
      </c>
      <c r="O877">
        <v>2945.86</v>
      </c>
      <c r="P877" t="s">
        <v>2111</v>
      </c>
      <c r="Q877" t="s">
        <v>1809</v>
      </c>
    </row>
    <row r="878" spans="1:17" x14ac:dyDescent="0.3">
      <c r="A878" t="s">
        <v>575</v>
      </c>
      <c r="B878" t="s">
        <v>574</v>
      </c>
      <c r="C878" s="1">
        <v>46061</v>
      </c>
      <c r="D878" t="s">
        <v>34</v>
      </c>
      <c r="E878" t="s">
        <v>17</v>
      </c>
      <c r="F878" t="s">
        <v>22</v>
      </c>
      <c r="G878" t="s">
        <v>18</v>
      </c>
      <c r="H878" t="s">
        <v>19</v>
      </c>
      <c r="I878" t="s">
        <v>20</v>
      </c>
      <c r="J878">
        <v>2799</v>
      </c>
      <c r="K878">
        <v>2</v>
      </c>
      <c r="L878">
        <v>3002.02</v>
      </c>
      <c r="M878">
        <v>0</v>
      </c>
      <c r="N878">
        <v>6004.04</v>
      </c>
      <c r="O878">
        <v>6004.04</v>
      </c>
      <c r="P878" t="s">
        <v>2111</v>
      </c>
      <c r="Q878" t="s">
        <v>498</v>
      </c>
    </row>
    <row r="879" spans="1:17" x14ac:dyDescent="0.3">
      <c r="A879" t="s">
        <v>1441</v>
      </c>
      <c r="B879" t="s">
        <v>1440</v>
      </c>
      <c r="C879" s="1">
        <v>46139</v>
      </c>
      <c r="D879" t="s">
        <v>41</v>
      </c>
      <c r="E879" t="s">
        <v>17</v>
      </c>
      <c r="F879" t="s">
        <v>60</v>
      </c>
      <c r="G879" t="s">
        <v>43</v>
      </c>
      <c r="H879" t="s">
        <v>44</v>
      </c>
      <c r="I879" t="s">
        <v>45</v>
      </c>
      <c r="J879">
        <v>3299</v>
      </c>
      <c r="K879">
        <v>1</v>
      </c>
      <c r="L879">
        <v>3228.24</v>
      </c>
      <c r="M879">
        <v>645.65</v>
      </c>
      <c r="N879">
        <v>3228.24</v>
      </c>
      <c r="O879">
        <v>2582.59</v>
      </c>
      <c r="P879" t="s">
        <v>2111</v>
      </c>
      <c r="Q879" t="s">
        <v>1170</v>
      </c>
    </row>
    <row r="880" spans="1:17" x14ac:dyDescent="0.3">
      <c r="A880" t="s">
        <v>2626</v>
      </c>
      <c r="B880" t="s">
        <v>2627</v>
      </c>
      <c r="C880" s="1">
        <v>46176</v>
      </c>
      <c r="D880" t="s">
        <v>16</v>
      </c>
      <c r="E880" t="s">
        <v>17</v>
      </c>
      <c r="F880" t="s">
        <v>74</v>
      </c>
      <c r="G880" t="s">
        <v>101</v>
      </c>
      <c r="H880" t="s">
        <v>102</v>
      </c>
      <c r="I880" t="s">
        <v>45</v>
      </c>
      <c r="J880">
        <v>4999</v>
      </c>
      <c r="K880">
        <v>1</v>
      </c>
      <c r="L880">
        <v>4503.47</v>
      </c>
      <c r="M880">
        <v>450.35</v>
      </c>
      <c r="N880">
        <v>4503.47</v>
      </c>
      <c r="O880">
        <v>4053.12</v>
      </c>
      <c r="P880" t="s">
        <v>2111</v>
      </c>
      <c r="Q880" t="s">
        <v>1809</v>
      </c>
    </row>
    <row r="881" spans="1:17" x14ac:dyDescent="0.3">
      <c r="A881" t="s">
        <v>2571</v>
      </c>
      <c r="B881" t="s">
        <v>337</v>
      </c>
      <c r="C881" s="1">
        <v>46160</v>
      </c>
      <c r="D881" t="s">
        <v>63</v>
      </c>
      <c r="E881" t="s">
        <v>17</v>
      </c>
      <c r="F881" t="s">
        <v>31</v>
      </c>
      <c r="G881" t="s">
        <v>35</v>
      </c>
      <c r="H881" t="s">
        <v>36</v>
      </c>
      <c r="I881" t="s">
        <v>37</v>
      </c>
      <c r="J881">
        <v>799</v>
      </c>
      <c r="K881">
        <v>1</v>
      </c>
      <c r="L881">
        <v>762.86</v>
      </c>
      <c r="M881">
        <v>0</v>
      </c>
      <c r="N881">
        <v>762.86</v>
      </c>
      <c r="O881">
        <v>762.86</v>
      </c>
      <c r="P881" t="s">
        <v>2114</v>
      </c>
      <c r="Q881" t="s">
        <v>1479</v>
      </c>
    </row>
    <row r="882" spans="1:17" x14ac:dyDescent="0.3">
      <c r="A882" t="s">
        <v>2325</v>
      </c>
      <c r="B882" t="s">
        <v>2326</v>
      </c>
      <c r="C882" s="1">
        <v>46175</v>
      </c>
      <c r="D882" t="s">
        <v>16</v>
      </c>
      <c r="E882" t="s">
        <v>50</v>
      </c>
      <c r="F882" t="s">
        <v>47</v>
      </c>
      <c r="G882" t="s">
        <v>86</v>
      </c>
      <c r="H882" t="s">
        <v>87</v>
      </c>
      <c r="I882" t="s">
        <v>82</v>
      </c>
      <c r="J882">
        <v>3499</v>
      </c>
      <c r="K882">
        <v>1</v>
      </c>
      <c r="L882">
        <v>3567.32</v>
      </c>
      <c r="M882">
        <v>535.1</v>
      </c>
      <c r="N882">
        <v>3567.32</v>
      </c>
      <c r="O882">
        <v>3032.22</v>
      </c>
      <c r="P882" t="s">
        <v>2111</v>
      </c>
      <c r="Q882" t="s">
        <v>1809</v>
      </c>
    </row>
    <row r="883" spans="1:17" x14ac:dyDescent="0.3">
      <c r="A883" t="s">
        <v>2628</v>
      </c>
      <c r="B883" t="s">
        <v>2629</v>
      </c>
      <c r="C883" s="1">
        <v>46202</v>
      </c>
      <c r="D883" t="s">
        <v>34</v>
      </c>
      <c r="E883" t="s">
        <v>17</v>
      </c>
      <c r="F883" t="s">
        <v>47</v>
      </c>
      <c r="G883" t="s">
        <v>27</v>
      </c>
      <c r="H883" t="s">
        <v>28</v>
      </c>
      <c r="I883" t="s">
        <v>29</v>
      </c>
      <c r="J883">
        <v>1599</v>
      </c>
      <c r="K883">
        <v>3</v>
      </c>
      <c r="L883">
        <v>1694.71</v>
      </c>
      <c r="M883">
        <v>508.41</v>
      </c>
      <c r="N883">
        <v>5084.13</v>
      </c>
      <c r="O883">
        <v>4575.72</v>
      </c>
      <c r="P883" t="s">
        <v>2111</v>
      </c>
      <c r="Q883" t="s">
        <v>1809</v>
      </c>
    </row>
    <row r="884" spans="1:17" x14ac:dyDescent="0.3">
      <c r="A884" t="s">
        <v>2156</v>
      </c>
      <c r="B884" t="s">
        <v>2157</v>
      </c>
      <c r="C884" s="1">
        <v>46123</v>
      </c>
      <c r="D884" t="s">
        <v>63</v>
      </c>
      <c r="E884" t="s">
        <v>50</v>
      </c>
      <c r="F884" t="s">
        <v>31</v>
      </c>
      <c r="G884" t="s">
        <v>106</v>
      </c>
      <c r="H884" t="s">
        <v>107</v>
      </c>
      <c r="I884" t="s">
        <v>108</v>
      </c>
      <c r="J884">
        <v>599</v>
      </c>
      <c r="K884">
        <v>4</v>
      </c>
      <c r="L884">
        <v>555.08000000000004</v>
      </c>
      <c r="M884">
        <v>0</v>
      </c>
      <c r="N884">
        <v>2220.3200000000002</v>
      </c>
      <c r="O884">
        <v>2220.3200000000002</v>
      </c>
      <c r="P884" t="s">
        <v>2111</v>
      </c>
      <c r="Q884" t="s">
        <v>1170</v>
      </c>
    </row>
    <row r="885" spans="1:17" x14ac:dyDescent="0.3">
      <c r="A885" t="s">
        <v>2129</v>
      </c>
      <c r="B885" t="s">
        <v>2130</v>
      </c>
      <c r="C885" s="1">
        <v>46201</v>
      </c>
      <c r="D885" t="s">
        <v>34</v>
      </c>
      <c r="E885" t="s">
        <v>17</v>
      </c>
      <c r="F885" t="s">
        <v>22</v>
      </c>
      <c r="G885" t="s">
        <v>51</v>
      </c>
      <c r="H885" t="s">
        <v>52</v>
      </c>
      <c r="I885" t="s">
        <v>20</v>
      </c>
      <c r="J885">
        <v>999</v>
      </c>
      <c r="K885">
        <v>1</v>
      </c>
      <c r="L885">
        <v>921.19</v>
      </c>
      <c r="M885">
        <v>46.06</v>
      </c>
      <c r="N885">
        <v>921.19</v>
      </c>
      <c r="O885">
        <v>875.13</v>
      </c>
      <c r="P885" t="s">
        <v>2111</v>
      </c>
      <c r="Q885" t="s">
        <v>1809</v>
      </c>
    </row>
    <row r="886" spans="1:17" x14ac:dyDescent="0.3">
      <c r="A886" t="s">
        <v>1924</v>
      </c>
      <c r="B886" t="s">
        <v>1923</v>
      </c>
      <c r="C886" s="1">
        <v>46185</v>
      </c>
      <c r="D886" t="s">
        <v>26</v>
      </c>
      <c r="E886" t="s">
        <v>17</v>
      </c>
      <c r="F886" t="s">
        <v>31</v>
      </c>
      <c r="G886" t="s">
        <v>35</v>
      </c>
      <c r="H886" t="s">
        <v>36</v>
      </c>
      <c r="I886" t="s">
        <v>37</v>
      </c>
      <c r="J886">
        <v>799</v>
      </c>
      <c r="K886">
        <v>1</v>
      </c>
      <c r="L886">
        <v>866.45</v>
      </c>
      <c r="M886">
        <v>0</v>
      </c>
      <c r="N886">
        <v>866.45</v>
      </c>
      <c r="O886">
        <v>866.45</v>
      </c>
      <c r="P886" t="s">
        <v>2111</v>
      </c>
      <c r="Q886" t="s">
        <v>1809</v>
      </c>
    </row>
    <row r="887" spans="1:17" x14ac:dyDescent="0.3">
      <c r="A887" t="s">
        <v>2227</v>
      </c>
      <c r="B887" t="s">
        <v>2228</v>
      </c>
      <c r="C887" s="1">
        <v>46094</v>
      </c>
      <c r="D887" t="s">
        <v>34</v>
      </c>
      <c r="E887" t="s">
        <v>17</v>
      </c>
      <c r="F887" t="s">
        <v>60</v>
      </c>
      <c r="G887" t="s">
        <v>160</v>
      </c>
      <c r="H887" t="s">
        <v>161</v>
      </c>
      <c r="I887" t="s">
        <v>82</v>
      </c>
      <c r="J887">
        <v>799</v>
      </c>
      <c r="K887">
        <v>3</v>
      </c>
      <c r="L887">
        <v>839.13</v>
      </c>
      <c r="M887">
        <v>251.74</v>
      </c>
      <c r="N887">
        <v>2517.39</v>
      </c>
      <c r="O887">
        <v>2265.65</v>
      </c>
      <c r="P887" t="s">
        <v>2111</v>
      </c>
      <c r="Q887" t="s">
        <v>789</v>
      </c>
    </row>
    <row r="888" spans="1:17" x14ac:dyDescent="0.3">
      <c r="A888" t="s">
        <v>2132</v>
      </c>
      <c r="B888" t="s">
        <v>2133</v>
      </c>
      <c r="C888" s="1">
        <v>46052</v>
      </c>
      <c r="D888" t="s">
        <v>26</v>
      </c>
      <c r="E888" t="s">
        <v>42</v>
      </c>
      <c r="F888" t="s">
        <v>60</v>
      </c>
      <c r="G888" t="s">
        <v>126</v>
      </c>
      <c r="H888" t="s">
        <v>127</v>
      </c>
      <c r="I888" t="s">
        <v>45</v>
      </c>
      <c r="J888">
        <v>2499</v>
      </c>
      <c r="K888">
        <v>2</v>
      </c>
      <c r="L888">
        <v>2543.87</v>
      </c>
      <c r="M888">
        <v>508.77</v>
      </c>
      <c r="N888">
        <v>5087.74</v>
      </c>
      <c r="O888">
        <v>4578.97</v>
      </c>
      <c r="P888" t="s">
        <v>2111</v>
      </c>
      <c r="Q888" t="s">
        <v>23</v>
      </c>
    </row>
    <row r="889" spans="1:17" x14ac:dyDescent="0.3">
      <c r="A889" t="s">
        <v>2232</v>
      </c>
      <c r="B889" t="s">
        <v>2233</v>
      </c>
      <c r="C889" s="1">
        <v>46058</v>
      </c>
      <c r="D889" t="s">
        <v>63</v>
      </c>
      <c r="E889" t="s">
        <v>50</v>
      </c>
      <c r="F889" t="s">
        <v>31</v>
      </c>
      <c r="G889" t="s">
        <v>43</v>
      </c>
      <c r="H889" t="s">
        <v>44</v>
      </c>
      <c r="I889" t="s">
        <v>45</v>
      </c>
      <c r="J889">
        <v>3299</v>
      </c>
      <c r="K889">
        <v>1</v>
      </c>
      <c r="L889">
        <v>3476.61</v>
      </c>
      <c r="M889">
        <v>347.66</v>
      </c>
      <c r="N889">
        <v>3476.61</v>
      </c>
      <c r="O889">
        <v>3128.95</v>
      </c>
      <c r="P889" t="s">
        <v>2111</v>
      </c>
      <c r="Q889" t="s">
        <v>498</v>
      </c>
    </row>
    <row r="890" spans="1:17" x14ac:dyDescent="0.3">
      <c r="A890" t="s">
        <v>2618</v>
      </c>
      <c r="B890" t="s">
        <v>2619</v>
      </c>
      <c r="C890" s="1">
        <v>46037</v>
      </c>
      <c r="D890" t="s">
        <v>26</v>
      </c>
      <c r="E890" t="s">
        <v>17</v>
      </c>
      <c r="F890" t="s">
        <v>60</v>
      </c>
      <c r="G890" t="s">
        <v>160</v>
      </c>
      <c r="H890" t="s">
        <v>161</v>
      </c>
      <c r="I890" t="s">
        <v>82</v>
      </c>
      <c r="J890">
        <v>799</v>
      </c>
      <c r="K890">
        <v>1</v>
      </c>
      <c r="L890">
        <v>787.63</v>
      </c>
      <c r="M890">
        <v>118.14</v>
      </c>
      <c r="N890">
        <v>787.63</v>
      </c>
      <c r="O890">
        <v>669.49</v>
      </c>
      <c r="P890" t="s">
        <v>2111</v>
      </c>
      <c r="Q890" t="s">
        <v>23</v>
      </c>
    </row>
    <row r="891" spans="1:17" x14ac:dyDescent="0.3">
      <c r="A891" t="s">
        <v>2496</v>
      </c>
      <c r="B891" t="s">
        <v>2497</v>
      </c>
      <c r="C891" s="1">
        <v>46024</v>
      </c>
      <c r="D891" t="s">
        <v>16</v>
      </c>
      <c r="E891" t="s">
        <v>50</v>
      </c>
      <c r="F891" t="s">
        <v>31</v>
      </c>
      <c r="G891" t="s">
        <v>106</v>
      </c>
      <c r="H891" t="s">
        <v>107</v>
      </c>
      <c r="I891" t="s">
        <v>108</v>
      </c>
      <c r="J891">
        <v>599</v>
      </c>
      <c r="K891">
        <v>1</v>
      </c>
      <c r="L891">
        <v>629.96</v>
      </c>
      <c r="M891">
        <v>125.99</v>
      </c>
      <c r="N891">
        <v>629.96</v>
      </c>
      <c r="O891">
        <v>503.97</v>
      </c>
      <c r="P891" t="s">
        <v>2111</v>
      </c>
      <c r="Q891" t="s">
        <v>23</v>
      </c>
    </row>
    <row r="892" spans="1:17" x14ac:dyDescent="0.3">
      <c r="A892" t="s">
        <v>1475</v>
      </c>
      <c r="B892" t="s">
        <v>1474</v>
      </c>
      <c r="C892" s="1">
        <v>46142</v>
      </c>
      <c r="D892" t="s">
        <v>26</v>
      </c>
      <c r="E892" t="s">
        <v>17</v>
      </c>
      <c r="F892" t="s">
        <v>22</v>
      </c>
      <c r="G892" t="s">
        <v>43</v>
      </c>
      <c r="H892" t="s">
        <v>44</v>
      </c>
      <c r="I892" t="s">
        <v>45</v>
      </c>
      <c r="J892">
        <v>3299</v>
      </c>
      <c r="K892">
        <v>1</v>
      </c>
      <c r="L892">
        <v>3214.42</v>
      </c>
      <c r="M892">
        <v>321.44</v>
      </c>
      <c r="N892">
        <v>3214.42</v>
      </c>
      <c r="O892">
        <v>2892.98</v>
      </c>
      <c r="P892" t="s">
        <v>2114</v>
      </c>
      <c r="Q892" t="s">
        <v>1170</v>
      </c>
    </row>
    <row r="893" spans="1:17" x14ac:dyDescent="0.3">
      <c r="A893" t="s">
        <v>1347</v>
      </c>
      <c r="B893" t="s">
        <v>1346</v>
      </c>
      <c r="C893" s="1">
        <v>46132</v>
      </c>
      <c r="D893" t="s">
        <v>34</v>
      </c>
      <c r="E893" t="s">
        <v>17</v>
      </c>
      <c r="F893" t="s">
        <v>74</v>
      </c>
      <c r="G893" t="s">
        <v>96</v>
      </c>
      <c r="H893" t="s">
        <v>97</v>
      </c>
      <c r="I893" t="s">
        <v>58</v>
      </c>
      <c r="J893">
        <v>7499</v>
      </c>
      <c r="K893">
        <v>1</v>
      </c>
      <c r="L893">
        <v>7115.19</v>
      </c>
      <c r="M893">
        <v>0</v>
      </c>
      <c r="N893">
        <v>7115.19</v>
      </c>
      <c r="O893">
        <v>7115.19</v>
      </c>
      <c r="P893" t="s">
        <v>2111</v>
      </c>
      <c r="Q893" t="s">
        <v>1170</v>
      </c>
    </row>
    <row r="894" spans="1:17" x14ac:dyDescent="0.3">
      <c r="A894" t="s">
        <v>1203</v>
      </c>
      <c r="B894" t="s">
        <v>742</v>
      </c>
      <c r="C894" s="1">
        <v>46117</v>
      </c>
      <c r="D894" t="s">
        <v>26</v>
      </c>
      <c r="E894" t="s">
        <v>17</v>
      </c>
      <c r="F894" t="s">
        <v>47</v>
      </c>
      <c r="G894" t="s">
        <v>35</v>
      </c>
      <c r="H894" t="s">
        <v>36</v>
      </c>
      <c r="I894" t="s">
        <v>37</v>
      </c>
      <c r="J894">
        <v>799</v>
      </c>
      <c r="K894">
        <v>1</v>
      </c>
      <c r="L894">
        <v>835.6</v>
      </c>
      <c r="M894">
        <v>125.34</v>
      </c>
      <c r="N894">
        <v>835.6</v>
      </c>
      <c r="O894">
        <v>710.26</v>
      </c>
      <c r="P894" t="s">
        <v>2111</v>
      </c>
      <c r="Q894" t="s">
        <v>1170</v>
      </c>
    </row>
    <row r="895" spans="1:17" x14ac:dyDescent="0.3">
      <c r="A895" t="s">
        <v>1863</v>
      </c>
      <c r="B895" t="s">
        <v>1862</v>
      </c>
      <c r="C895" s="1">
        <v>46177</v>
      </c>
      <c r="D895" t="s">
        <v>26</v>
      </c>
      <c r="E895" t="s">
        <v>17</v>
      </c>
      <c r="F895" t="s">
        <v>74</v>
      </c>
      <c r="G895" t="s">
        <v>126</v>
      </c>
      <c r="H895" t="s">
        <v>127</v>
      </c>
      <c r="I895" t="s">
        <v>45</v>
      </c>
      <c r="J895">
        <v>2499</v>
      </c>
      <c r="K895">
        <v>1</v>
      </c>
      <c r="L895">
        <v>2458.85</v>
      </c>
      <c r="M895">
        <v>245.88</v>
      </c>
      <c r="N895">
        <v>2458.85</v>
      </c>
      <c r="O895">
        <v>2212.9699999999998</v>
      </c>
      <c r="P895" t="s">
        <v>2111</v>
      </c>
      <c r="Q895" t="s">
        <v>1809</v>
      </c>
    </row>
    <row r="896" spans="1:17" x14ac:dyDescent="0.3">
      <c r="A896" t="s">
        <v>945</v>
      </c>
      <c r="B896" t="s">
        <v>944</v>
      </c>
      <c r="C896" s="1">
        <v>46093</v>
      </c>
      <c r="D896" t="s">
        <v>16</v>
      </c>
      <c r="E896" t="s">
        <v>17</v>
      </c>
      <c r="F896" t="s">
        <v>74</v>
      </c>
      <c r="G896" t="s">
        <v>80</v>
      </c>
      <c r="H896" t="s">
        <v>81</v>
      </c>
      <c r="I896" t="s">
        <v>82</v>
      </c>
      <c r="J896">
        <v>4299</v>
      </c>
      <c r="K896">
        <v>1</v>
      </c>
      <c r="L896">
        <v>4712.8900000000003</v>
      </c>
      <c r="M896">
        <v>471.29</v>
      </c>
      <c r="N896">
        <v>4712.8900000000003</v>
      </c>
      <c r="O896">
        <v>4241.6000000000004</v>
      </c>
      <c r="P896" t="s">
        <v>2111</v>
      </c>
      <c r="Q896" t="s">
        <v>789</v>
      </c>
    </row>
    <row r="897" spans="1:17" x14ac:dyDescent="0.3">
      <c r="A897" t="s">
        <v>1500</v>
      </c>
      <c r="B897" t="s">
        <v>1499</v>
      </c>
      <c r="C897" s="1">
        <v>46144</v>
      </c>
      <c r="D897" t="s">
        <v>34</v>
      </c>
      <c r="E897" t="s">
        <v>17</v>
      </c>
      <c r="F897" t="s">
        <v>22</v>
      </c>
      <c r="G897" t="s">
        <v>35</v>
      </c>
      <c r="H897" t="s">
        <v>36</v>
      </c>
      <c r="I897" t="s">
        <v>37</v>
      </c>
      <c r="J897">
        <v>799</v>
      </c>
      <c r="K897">
        <v>1</v>
      </c>
      <c r="L897">
        <v>774.95</v>
      </c>
      <c r="M897">
        <v>116.24</v>
      </c>
      <c r="N897">
        <v>774.95</v>
      </c>
      <c r="O897">
        <v>658.71</v>
      </c>
      <c r="P897" t="s">
        <v>2111</v>
      </c>
      <c r="Q897" t="s">
        <v>1479</v>
      </c>
    </row>
    <row r="898" spans="1:17" x14ac:dyDescent="0.3">
      <c r="A898" t="s">
        <v>70</v>
      </c>
      <c r="B898" t="s">
        <v>69</v>
      </c>
      <c r="C898" s="1">
        <v>46024</v>
      </c>
      <c r="D898" t="s">
        <v>41</v>
      </c>
      <c r="E898" t="s">
        <v>17</v>
      </c>
      <c r="F898" t="s">
        <v>31</v>
      </c>
      <c r="G898" t="s">
        <v>96</v>
      </c>
      <c r="H898" t="s">
        <v>97</v>
      </c>
      <c r="I898" t="s">
        <v>58</v>
      </c>
      <c r="J898">
        <v>7499</v>
      </c>
      <c r="K898">
        <v>2</v>
      </c>
      <c r="L898">
        <v>8131.51</v>
      </c>
      <c r="M898">
        <v>813.15</v>
      </c>
      <c r="N898">
        <v>16263.02</v>
      </c>
      <c r="O898">
        <v>15449.87</v>
      </c>
      <c r="P898" t="s">
        <v>2111</v>
      </c>
      <c r="Q898" t="s">
        <v>23</v>
      </c>
    </row>
    <row r="899" spans="1:17" x14ac:dyDescent="0.3">
      <c r="A899" t="s">
        <v>2630</v>
      </c>
      <c r="B899" t="s">
        <v>2631</v>
      </c>
      <c r="C899" s="1">
        <v>46048</v>
      </c>
      <c r="D899" t="s">
        <v>34</v>
      </c>
      <c r="E899" t="s">
        <v>50</v>
      </c>
      <c r="F899" t="s">
        <v>22</v>
      </c>
      <c r="G899" t="s">
        <v>101</v>
      </c>
      <c r="H899" t="s">
        <v>102</v>
      </c>
      <c r="I899" t="s">
        <v>45</v>
      </c>
      <c r="J899">
        <v>4999</v>
      </c>
      <c r="K899">
        <v>2</v>
      </c>
      <c r="L899">
        <v>5431.88</v>
      </c>
      <c r="M899">
        <v>2172.75</v>
      </c>
      <c r="N899">
        <v>10863.76</v>
      </c>
      <c r="O899">
        <v>8691.01</v>
      </c>
      <c r="P899" t="s">
        <v>2111</v>
      </c>
      <c r="Q899" t="s">
        <v>23</v>
      </c>
    </row>
    <row r="900" spans="1:17" x14ac:dyDescent="0.3">
      <c r="A900" t="s">
        <v>1641</v>
      </c>
      <c r="B900" t="s">
        <v>1640</v>
      </c>
      <c r="C900" s="1">
        <v>46156</v>
      </c>
      <c r="D900" t="s">
        <v>26</v>
      </c>
      <c r="E900" t="s">
        <v>17</v>
      </c>
      <c r="F900" t="s">
        <v>31</v>
      </c>
      <c r="G900" t="s">
        <v>165</v>
      </c>
      <c r="H900" t="s">
        <v>166</v>
      </c>
      <c r="I900" t="s">
        <v>29</v>
      </c>
      <c r="J900">
        <v>449</v>
      </c>
      <c r="K900">
        <v>1</v>
      </c>
      <c r="L900">
        <v>425.82</v>
      </c>
      <c r="M900">
        <v>0</v>
      </c>
      <c r="N900">
        <v>425.82</v>
      </c>
      <c r="O900">
        <v>425.82</v>
      </c>
      <c r="P900" t="s">
        <v>2111</v>
      </c>
      <c r="Q900" t="s">
        <v>1479</v>
      </c>
    </row>
    <row r="901" spans="1:17" x14ac:dyDescent="0.3">
      <c r="A901" t="s">
        <v>2632</v>
      </c>
      <c r="B901" t="s">
        <v>2633</v>
      </c>
      <c r="C901" s="1">
        <v>46061</v>
      </c>
      <c r="D901" t="s">
        <v>26</v>
      </c>
      <c r="E901" t="s">
        <v>50</v>
      </c>
      <c r="F901" t="s">
        <v>31</v>
      </c>
      <c r="G901" t="s">
        <v>27</v>
      </c>
      <c r="H901" t="s">
        <v>28</v>
      </c>
      <c r="I901" t="s">
        <v>29</v>
      </c>
      <c r="J901">
        <v>1599</v>
      </c>
      <c r="K901">
        <v>3</v>
      </c>
      <c r="L901">
        <v>1694.37</v>
      </c>
      <c r="M901">
        <v>762.47</v>
      </c>
      <c r="N901">
        <v>5083.1099999999997</v>
      </c>
      <c r="O901">
        <v>4320.6400000000003</v>
      </c>
      <c r="P901" t="s">
        <v>2111</v>
      </c>
      <c r="Q901" t="s">
        <v>498</v>
      </c>
    </row>
    <row r="902" spans="1:17" x14ac:dyDescent="0.3">
      <c r="A902" t="s">
        <v>2634</v>
      </c>
      <c r="B902" t="s">
        <v>2270</v>
      </c>
      <c r="C902" s="1">
        <v>46039</v>
      </c>
      <c r="D902" t="s">
        <v>16</v>
      </c>
      <c r="E902" t="s">
        <v>17</v>
      </c>
      <c r="F902" t="s">
        <v>60</v>
      </c>
      <c r="G902" t="s">
        <v>80</v>
      </c>
      <c r="H902" t="s">
        <v>81</v>
      </c>
      <c r="I902" t="s">
        <v>82</v>
      </c>
      <c r="J902">
        <v>4299</v>
      </c>
      <c r="K902">
        <v>3</v>
      </c>
      <c r="L902">
        <v>4241.46</v>
      </c>
      <c r="M902">
        <v>0</v>
      </c>
      <c r="N902">
        <v>12724.38</v>
      </c>
      <c r="O902">
        <v>12724.38</v>
      </c>
      <c r="P902" t="s">
        <v>2111</v>
      </c>
      <c r="Q902" t="s">
        <v>23</v>
      </c>
    </row>
    <row r="903" spans="1:17" x14ac:dyDescent="0.3">
      <c r="A903" t="s">
        <v>2605</v>
      </c>
      <c r="B903" t="s">
        <v>2606</v>
      </c>
      <c r="C903" s="1">
        <v>46051</v>
      </c>
      <c r="D903" t="s">
        <v>41</v>
      </c>
      <c r="E903" t="s">
        <v>17</v>
      </c>
      <c r="F903" t="s">
        <v>22</v>
      </c>
      <c r="G903" t="s">
        <v>165</v>
      </c>
      <c r="H903" t="s">
        <v>166</v>
      </c>
      <c r="I903" t="s">
        <v>29</v>
      </c>
      <c r="J903">
        <v>449</v>
      </c>
      <c r="K903">
        <v>1</v>
      </c>
      <c r="L903">
        <v>486.49</v>
      </c>
      <c r="M903">
        <v>97.3</v>
      </c>
      <c r="N903">
        <v>486.49</v>
      </c>
      <c r="O903">
        <v>389.19</v>
      </c>
      <c r="P903" t="s">
        <v>2111</v>
      </c>
      <c r="Q903" t="s">
        <v>23</v>
      </c>
    </row>
    <row r="904" spans="1:17" x14ac:dyDescent="0.3">
      <c r="A904" t="s">
        <v>252</v>
      </c>
      <c r="B904" t="s">
        <v>249</v>
      </c>
      <c r="C904" s="1">
        <v>46034</v>
      </c>
      <c r="D904" t="s">
        <v>41</v>
      </c>
      <c r="E904" t="s">
        <v>17</v>
      </c>
      <c r="F904" t="s">
        <v>22</v>
      </c>
      <c r="G904" t="s">
        <v>51</v>
      </c>
      <c r="H904" t="s">
        <v>52</v>
      </c>
      <c r="I904" t="s">
        <v>20</v>
      </c>
      <c r="J904">
        <v>999</v>
      </c>
      <c r="K904">
        <v>1</v>
      </c>
      <c r="L904">
        <v>989.03</v>
      </c>
      <c r="M904">
        <v>0</v>
      </c>
      <c r="N904">
        <v>989.03</v>
      </c>
      <c r="O904">
        <v>989.03</v>
      </c>
      <c r="P904" t="s">
        <v>2111</v>
      </c>
      <c r="Q904" t="s">
        <v>23</v>
      </c>
    </row>
    <row r="905" spans="1:17" x14ac:dyDescent="0.3">
      <c r="A905" t="s">
        <v>2635</v>
      </c>
      <c r="B905" t="s">
        <v>2636</v>
      </c>
      <c r="C905" s="1">
        <v>46144</v>
      </c>
      <c r="D905" t="s">
        <v>34</v>
      </c>
      <c r="E905" t="s">
        <v>50</v>
      </c>
      <c r="F905" t="s">
        <v>47</v>
      </c>
      <c r="G905" t="s">
        <v>126</v>
      </c>
      <c r="H905" t="s">
        <v>127</v>
      </c>
      <c r="I905" t="s">
        <v>45</v>
      </c>
      <c r="J905">
        <v>2499</v>
      </c>
      <c r="K905">
        <v>2</v>
      </c>
      <c r="L905">
        <v>2621.1</v>
      </c>
      <c r="M905">
        <v>0</v>
      </c>
      <c r="N905">
        <v>5242.2</v>
      </c>
      <c r="O905">
        <v>5242.2</v>
      </c>
      <c r="P905" t="s">
        <v>2111</v>
      </c>
      <c r="Q905" t="s">
        <v>1479</v>
      </c>
    </row>
    <row r="906" spans="1:17" x14ac:dyDescent="0.3">
      <c r="A906" t="s">
        <v>2591</v>
      </c>
      <c r="B906" t="s">
        <v>2592</v>
      </c>
      <c r="C906" s="1">
        <v>46061</v>
      </c>
      <c r="D906" t="s">
        <v>63</v>
      </c>
      <c r="E906" t="s">
        <v>17</v>
      </c>
      <c r="F906" t="s">
        <v>22</v>
      </c>
      <c r="G906" t="s">
        <v>112</v>
      </c>
      <c r="H906" t="s">
        <v>113</v>
      </c>
      <c r="I906" t="s">
        <v>37</v>
      </c>
      <c r="J906">
        <v>1499</v>
      </c>
      <c r="K906">
        <v>2</v>
      </c>
      <c r="L906">
        <v>1489.1</v>
      </c>
      <c r="M906">
        <v>148.91</v>
      </c>
      <c r="N906">
        <v>2978.2</v>
      </c>
      <c r="O906">
        <v>2829.29</v>
      </c>
      <c r="P906" t="s">
        <v>2111</v>
      </c>
      <c r="Q906" t="s">
        <v>498</v>
      </c>
    </row>
    <row r="907" spans="1:17" x14ac:dyDescent="0.3">
      <c r="A907" t="s">
        <v>2637</v>
      </c>
      <c r="B907" t="s">
        <v>1534</v>
      </c>
      <c r="C907" s="1">
        <v>46159</v>
      </c>
      <c r="D907" t="s">
        <v>41</v>
      </c>
      <c r="E907" t="s">
        <v>50</v>
      </c>
      <c r="F907" t="s">
        <v>74</v>
      </c>
      <c r="G907" t="s">
        <v>355</v>
      </c>
      <c r="H907" t="s">
        <v>356</v>
      </c>
      <c r="I907" t="s">
        <v>82</v>
      </c>
      <c r="J907">
        <v>499</v>
      </c>
      <c r="K907">
        <v>4</v>
      </c>
      <c r="L907">
        <v>471.83</v>
      </c>
      <c r="M907">
        <v>94.37</v>
      </c>
      <c r="N907">
        <v>1887.32</v>
      </c>
      <c r="O907">
        <v>1792.95</v>
      </c>
      <c r="P907" t="s">
        <v>2111</v>
      </c>
      <c r="Q907" t="s">
        <v>1479</v>
      </c>
    </row>
    <row r="908" spans="1:17" x14ac:dyDescent="0.3">
      <c r="A908" t="s">
        <v>2591</v>
      </c>
      <c r="B908" t="s">
        <v>2592</v>
      </c>
      <c r="C908" s="1">
        <v>46061</v>
      </c>
      <c r="D908" t="s">
        <v>63</v>
      </c>
      <c r="E908" t="s">
        <v>17</v>
      </c>
      <c r="F908" t="s">
        <v>22</v>
      </c>
      <c r="G908" t="s">
        <v>51</v>
      </c>
      <c r="H908" t="s">
        <v>52</v>
      </c>
      <c r="I908" t="s">
        <v>20</v>
      </c>
      <c r="J908">
        <v>999</v>
      </c>
      <c r="K908">
        <v>3</v>
      </c>
      <c r="L908">
        <v>938.93</v>
      </c>
      <c r="M908">
        <v>140.84</v>
      </c>
      <c r="N908">
        <v>2816.79</v>
      </c>
      <c r="O908">
        <v>2675.95</v>
      </c>
      <c r="P908" t="s">
        <v>2114</v>
      </c>
      <c r="Q908" t="s">
        <v>498</v>
      </c>
    </row>
    <row r="909" spans="1:17" x14ac:dyDescent="0.3">
      <c r="A909" t="s">
        <v>2040</v>
      </c>
      <c r="B909" t="s">
        <v>1096</v>
      </c>
      <c r="C909" s="1">
        <v>46198</v>
      </c>
      <c r="D909" t="s">
        <v>16</v>
      </c>
      <c r="E909" t="s">
        <v>17</v>
      </c>
      <c r="F909" t="s">
        <v>31</v>
      </c>
      <c r="G909" t="s">
        <v>91</v>
      </c>
      <c r="H909" t="s">
        <v>92</v>
      </c>
      <c r="I909" t="s">
        <v>37</v>
      </c>
      <c r="J909">
        <v>1899</v>
      </c>
      <c r="K909">
        <v>1</v>
      </c>
      <c r="L909">
        <v>1870.68</v>
      </c>
      <c r="M909">
        <v>187.07</v>
      </c>
      <c r="N909">
        <v>1870.68</v>
      </c>
      <c r="O909">
        <v>1683.61</v>
      </c>
      <c r="P909" t="s">
        <v>2111</v>
      </c>
      <c r="Q909" t="s">
        <v>1809</v>
      </c>
    </row>
    <row r="910" spans="1:17" x14ac:dyDescent="0.3">
      <c r="A910" t="s">
        <v>1773</v>
      </c>
      <c r="B910" t="s">
        <v>1772</v>
      </c>
      <c r="C910" s="1">
        <v>46170</v>
      </c>
      <c r="D910" t="s">
        <v>34</v>
      </c>
      <c r="E910" t="s">
        <v>17</v>
      </c>
      <c r="F910" t="s">
        <v>47</v>
      </c>
      <c r="G910" t="s">
        <v>106</v>
      </c>
      <c r="H910" t="s">
        <v>107</v>
      </c>
      <c r="I910" t="s">
        <v>108</v>
      </c>
      <c r="J910">
        <v>599</v>
      </c>
      <c r="K910">
        <v>1</v>
      </c>
      <c r="L910">
        <v>629.61</v>
      </c>
      <c r="M910">
        <v>62.96</v>
      </c>
      <c r="N910">
        <v>629.61</v>
      </c>
      <c r="O910">
        <v>566.65</v>
      </c>
      <c r="P910" t="s">
        <v>2111</v>
      </c>
      <c r="Q910" t="s">
        <v>1479</v>
      </c>
    </row>
    <row r="911" spans="1:17" x14ac:dyDescent="0.3">
      <c r="A911" t="s">
        <v>244</v>
      </c>
      <c r="B911" t="s">
        <v>243</v>
      </c>
      <c r="C911" s="1">
        <v>46034</v>
      </c>
      <c r="D911" t="s">
        <v>63</v>
      </c>
      <c r="E911" t="s">
        <v>17</v>
      </c>
      <c r="F911" t="s">
        <v>74</v>
      </c>
      <c r="G911" t="s">
        <v>191</v>
      </c>
      <c r="H911" t="s">
        <v>192</v>
      </c>
      <c r="I911" t="s">
        <v>45</v>
      </c>
      <c r="J911">
        <v>699</v>
      </c>
      <c r="K911">
        <v>1</v>
      </c>
      <c r="L911">
        <v>713.69</v>
      </c>
      <c r="M911">
        <v>0</v>
      </c>
      <c r="N911">
        <v>713.69</v>
      </c>
      <c r="O911">
        <v>713.69</v>
      </c>
      <c r="P911" t="s">
        <v>2111</v>
      </c>
      <c r="Q911" t="s">
        <v>23</v>
      </c>
    </row>
    <row r="912" spans="1:17" x14ac:dyDescent="0.3">
      <c r="A912" t="s">
        <v>2138</v>
      </c>
      <c r="B912" t="s">
        <v>2139</v>
      </c>
      <c r="C912" s="1">
        <v>46158</v>
      </c>
      <c r="D912" t="s">
        <v>41</v>
      </c>
      <c r="E912" t="s">
        <v>17</v>
      </c>
      <c r="F912" t="s">
        <v>47</v>
      </c>
      <c r="G912" t="s">
        <v>80</v>
      </c>
      <c r="H912" t="s">
        <v>81</v>
      </c>
      <c r="I912" t="s">
        <v>82</v>
      </c>
      <c r="J912">
        <v>4299</v>
      </c>
      <c r="K912">
        <v>1</v>
      </c>
      <c r="L912">
        <v>4461.18</v>
      </c>
      <c r="M912">
        <v>223.06</v>
      </c>
      <c r="N912">
        <v>4461.18</v>
      </c>
      <c r="O912">
        <v>4238.12</v>
      </c>
      <c r="P912" t="s">
        <v>2111</v>
      </c>
      <c r="Q912" t="s">
        <v>1479</v>
      </c>
    </row>
    <row r="913" spans="1:17" x14ac:dyDescent="0.3">
      <c r="A913" t="s">
        <v>2638</v>
      </c>
      <c r="B913" t="s">
        <v>2113</v>
      </c>
      <c r="C913" s="1">
        <v>46093</v>
      </c>
      <c r="D913" t="s">
        <v>63</v>
      </c>
      <c r="E913" t="s">
        <v>17</v>
      </c>
      <c r="F913" t="s">
        <v>22</v>
      </c>
      <c r="G913" t="s">
        <v>96</v>
      </c>
      <c r="H913" t="s">
        <v>97</v>
      </c>
      <c r="I913" t="s">
        <v>58</v>
      </c>
      <c r="J913">
        <v>7499</v>
      </c>
      <c r="K913">
        <v>1</v>
      </c>
      <c r="L913">
        <v>7172.53</v>
      </c>
      <c r="M913">
        <v>1075.8800000000001</v>
      </c>
      <c r="N913">
        <v>7172.53</v>
      </c>
      <c r="O913">
        <v>6096.65</v>
      </c>
      <c r="P913" t="s">
        <v>2111</v>
      </c>
      <c r="Q913" t="s">
        <v>789</v>
      </c>
    </row>
    <row r="914" spans="1:17" x14ac:dyDescent="0.3">
      <c r="A914" t="s">
        <v>2639</v>
      </c>
      <c r="B914" t="s">
        <v>2640</v>
      </c>
      <c r="C914" s="1">
        <v>46196</v>
      </c>
      <c r="D914" t="s">
        <v>63</v>
      </c>
      <c r="E914" t="s">
        <v>50</v>
      </c>
      <c r="F914" t="s">
        <v>47</v>
      </c>
      <c r="G914" t="s">
        <v>101</v>
      </c>
      <c r="H914" t="s">
        <v>102</v>
      </c>
      <c r="I914" t="s">
        <v>45</v>
      </c>
      <c r="J914">
        <v>4999</v>
      </c>
      <c r="K914">
        <v>2</v>
      </c>
      <c r="L914">
        <v>4980.4399999999996</v>
      </c>
      <c r="M914">
        <v>1494.13</v>
      </c>
      <c r="N914">
        <v>9960.8799999999992</v>
      </c>
      <c r="O914">
        <v>8466.75</v>
      </c>
      <c r="P914" t="s">
        <v>2114</v>
      </c>
      <c r="Q914" t="s">
        <v>1809</v>
      </c>
    </row>
    <row r="915" spans="1:17" x14ac:dyDescent="0.3">
      <c r="A915" t="s">
        <v>1288</v>
      </c>
      <c r="B915" t="s">
        <v>1287</v>
      </c>
      <c r="C915" s="1">
        <v>46126</v>
      </c>
      <c r="D915" t="s">
        <v>34</v>
      </c>
      <c r="E915" t="s">
        <v>50</v>
      </c>
      <c r="F915" t="s">
        <v>22</v>
      </c>
      <c r="G915" t="s">
        <v>191</v>
      </c>
      <c r="H915" t="s">
        <v>192</v>
      </c>
      <c r="I915" t="s">
        <v>45</v>
      </c>
      <c r="J915">
        <v>699</v>
      </c>
      <c r="K915">
        <v>1</v>
      </c>
      <c r="L915">
        <v>635.30999999999995</v>
      </c>
      <c r="M915">
        <v>95.3</v>
      </c>
      <c r="N915">
        <v>635.30999999999995</v>
      </c>
      <c r="O915">
        <v>540.01</v>
      </c>
      <c r="P915" t="s">
        <v>2111</v>
      </c>
      <c r="Q915" t="s">
        <v>1170</v>
      </c>
    </row>
    <row r="916" spans="1:17" x14ac:dyDescent="0.3">
      <c r="A916" t="s">
        <v>1768</v>
      </c>
      <c r="B916" t="s">
        <v>1767</v>
      </c>
      <c r="C916" s="1">
        <v>46169</v>
      </c>
      <c r="D916" t="s">
        <v>16</v>
      </c>
      <c r="E916" t="s">
        <v>50</v>
      </c>
      <c r="F916" t="s">
        <v>47</v>
      </c>
      <c r="G916" t="s">
        <v>112</v>
      </c>
      <c r="H916" t="s">
        <v>113</v>
      </c>
      <c r="I916" t="s">
        <v>37</v>
      </c>
      <c r="J916">
        <v>1499</v>
      </c>
      <c r="K916">
        <v>2</v>
      </c>
      <c r="L916">
        <v>1594.2</v>
      </c>
      <c r="M916">
        <v>478.26</v>
      </c>
      <c r="N916">
        <v>3188.4</v>
      </c>
      <c r="O916">
        <v>2710.14</v>
      </c>
      <c r="P916" t="s">
        <v>2111</v>
      </c>
      <c r="Q916" t="s">
        <v>1479</v>
      </c>
    </row>
    <row r="917" spans="1:17" x14ac:dyDescent="0.3">
      <c r="A917" t="s">
        <v>2550</v>
      </c>
      <c r="B917" t="s">
        <v>159</v>
      </c>
      <c r="C917" s="1">
        <v>46056</v>
      </c>
      <c r="D917" t="s">
        <v>16</v>
      </c>
      <c r="E917" t="s">
        <v>17</v>
      </c>
      <c r="F917" t="s">
        <v>31</v>
      </c>
      <c r="G917" t="s">
        <v>355</v>
      </c>
      <c r="H917" t="s">
        <v>356</v>
      </c>
      <c r="I917" t="s">
        <v>82</v>
      </c>
      <c r="J917">
        <v>499</v>
      </c>
      <c r="K917">
        <v>1</v>
      </c>
      <c r="L917">
        <v>547.89</v>
      </c>
      <c r="M917">
        <v>27.39</v>
      </c>
      <c r="N917">
        <v>547.89</v>
      </c>
      <c r="O917">
        <v>520.5</v>
      </c>
      <c r="P917" t="s">
        <v>2111</v>
      </c>
      <c r="Q917" t="s">
        <v>498</v>
      </c>
    </row>
    <row r="918" spans="1:17" x14ac:dyDescent="0.3">
      <c r="A918" t="s">
        <v>120</v>
      </c>
      <c r="B918" t="s">
        <v>119</v>
      </c>
      <c r="C918" s="1">
        <v>46027</v>
      </c>
      <c r="D918" t="s">
        <v>26</v>
      </c>
      <c r="E918" t="s">
        <v>50</v>
      </c>
      <c r="F918" t="s">
        <v>74</v>
      </c>
      <c r="G918" t="s">
        <v>355</v>
      </c>
      <c r="H918" t="s">
        <v>356</v>
      </c>
      <c r="I918" t="s">
        <v>82</v>
      </c>
      <c r="J918">
        <v>499</v>
      </c>
      <c r="K918">
        <v>1</v>
      </c>
      <c r="L918">
        <v>489.71</v>
      </c>
      <c r="M918">
        <v>0</v>
      </c>
      <c r="N918">
        <v>489.71</v>
      </c>
      <c r="O918">
        <v>489.71</v>
      </c>
      <c r="P918" t="s">
        <v>2111</v>
      </c>
      <c r="Q918" t="s">
        <v>23</v>
      </c>
    </row>
    <row r="919" spans="1:17" x14ac:dyDescent="0.3">
      <c r="A919" t="s">
        <v>2641</v>
      </c>
      <c r="B919" t="s">
        <v>2642</v>
      </c>
      <c r="C919" s="1">
        <v>46046</v>
      </c>
      <c r="D919" t="s">
        <v>41</v>
      </c>
      <c r="E919" t="s">
        <v>50</v>
      </c>
      <c r="F919" t="s">
        <v>74</v>
      </c>
      <c r="G919" t="s">
        <v>56</v>
      </c>
      <c r="H919" t="s">
        <v>57</v>
      </c>
      <c r="I919" t="s">
        <v>58</v>
      </c>
      <c r="J919">
        <v>8999</v>
      </c>
      <c r="K919">
        <v>1</v>
      </c>
      <c r="L919">
        <v>8118.83</v>
      </c>
      <c r="M919">
        <v>405.94</v>
      </c>
      <c r="N919">
        <v>8118.83</v>
      </c>
      <c r="O919">
        <v>7712.89</v>
      </c>
      <c r="P919" t="s">
        <v>2111</v>
      </c>
      <c r="Q919" t="s">
        <v>23</v>
      </c>
    </row>
    <row r="920" spans="1:17" x14ac:dyDescent="0.3">
      <c r="A920" t="s">
        <v>223</v>
      </c>
      <c r="B920" t="s">
        <v>222</v>
      </c>
      <c r="C920" s="1">
        <v>46032</v>
      </c>
      <c r="D920" t="s">
        <v>41</v>
      </c>
      <c r="E920" t="s">
        <v>50</v>
      </c>
      <c r="F920" t="s">
        <v>74</v>
      </c>
      <c r="G920" t="s">
        <v>106</v>
      </c>
      <c r="H920" t="s">
        <v>107</v>
      </c>
      <c r="I920" t="s">
        <v>108</v>
      </c>
      <c r="J920">
        <v>599</v>
      </c>
      <c r="K920">
        <v>1</v>
      </c>
      <c r="L920">
        <v>559.44000000000005</v>
      </c>
      <c r="M920">
        <v>111.89</v>
      </c>
      <c r="N920">
        <v>559.44000000000005</v>
      </c>
      <c r="O920">
        <v>447.55</v>
      </c>
      <c r="P920" t="s">
        <v>2111</v>
      </c>
      <c r="Q920" t="s">
        <v>23</v>
      </c>
    </row>
    <row r="921" spans="1:17" x14ac:dyDescent="0.3">
      <c r="A921" t="s">
        <v>1535</v>
      </c>
      <c r="B921" t="s">
        <v>1534</v>
      </c>
      <c r="C921" s="1">
        <v>46147</v>
      </c>
      <c r="D921" t="s">
        <v>16</v>
      </c>
      <c r="E921" t="s">
        <v>42</v>
      </c>
      <c r="F921" t="s">
        <v>60</v>
      </c>
      <c r="G921" t="s">
        <v>126</v>
      </c>
      <c r="H921" t="s">
        <v>127</v>
      </c>
      <c r="I921" t="s">
        <v>45</v>
      </c>
      <c r="J921">
        <v>2499</v>
      </c>
      <c r="K921">
        <v>2</v>
      </c>
      <c r="L921">
        <v>2575.23</v>
      </c>
      <c r="M921">
        <v>1287.6199999999999</v>
      </c>
      <c r="N921">
        <v>5150.46</v>
      </c>
      <c r="O921">
        <v>3862.84</v>
      </c>
      <c r="P921" t="s">
        <v>2111</v>
      </c>
      <c r="Q921" t="s">
        <v>1479</v>
      </c>
    </row>
    <row r="922" spans="1:17" x14ac:dyDescent="0.3">
      <c r="A922" t="s">
        <v>2643</v>
      </c>
      <c r="B922" t="s">
        <v>846</v>
      </c>
      <c r="C922" s="1">
        <v>46150</v>
      </c>
      <c r="D922" t="s">
        <v>34</v>
      </c>
      <c r="E922" t="s">
        <v>17</v>
      </c>
      <c r="F922" t="s">
        <v>47</v>
      </c>
      <c r="G922" t="s">
        <v>18</v>
      </c>
      <c r="H922" t="s">
        <v>19</v>
      </c>
      <c r="I922" t="s">
        <v>20</v>
      </c>
      <c r="J922">
        <v>2799</v>
      </c>
      <c r="K922">
        <v>2</v>
      </c>
      <c r="L922">
        <v>2861.74</v>
      </c>
      <c r="M922">
        <v>572.35</v>
      </c>
      <c r="N922">
        <v>5723.48</v>
      </c>
      <c r="O922">
        <v>5151.13</v>
      </c>
      <c r="P922" t="s">
        <v>2111</v>
      </c>
      <c r="Q922" t="s">
        <v>1479</v>
      </c>
    </row>
    <row r="923" spans="1:17" x14ac:dyDescent="0.3">
      <c r="A923" t="s">
        <v>771</v>
      </c>
      <c r="B923" t="s">
        <v>770</v>
      </c>
      <c r="C923" s="1">
        <v>46080</v>
      </c>
      <c r="D923" t="s">
        <v>26</v>
      </c>
      <c r="E923" t="s">
        <v>50</v>
      </c>
      <c r="F923" t="s">
        <v>31</v>
      </c>
      <c r="G923" t="s">
        <v>160</v>
      </c>
      <c r="H923" t="s">
        <v>161</v>
      </c>
      <c r="I923" t="s">
        <v>82</v>
      </c>
      <c r="J923">
        <v>799</v>
      </c>
      <c r="K923">
        <v>4</v>
      </c>
      <c r="L923">
        <v>845</v>
      </c>
      <c r="M923">
        <v>0</v>
      </c>
      <c r="N923">
        <v>3380</v>
      </c>
      <c r="O923">
        <v>3380</v>
      </c>
      <c r="P923" t="s">
        <v>2111</v>
      </c>
      <c r="Q923" t="s">
        <v>498</v>
      </c>
    </row>
    <row r="924" spans="1:17" x14ac:dyDescent="0.3">
      <c r="A924" t="s">
        <v>1632</v>
      </c>
      <c r="B924" t="s">
        <v>1631</v>
      </c>
      <c r="C924" s="1">
        <v>46155</v>
      </c>
      <c r="D924" t="s">
        <v>16</v>
      </c>
      <c r="E924" t="s">
        <v>17</v>
      </c>
      <c r="F924" t="s">
        <v>22</v>
      </c>
      <c r="G924" t="s">
        <v>56</v>
      </c>
      <c r="H924" t="s">
        <v>57</v>
      </c>
      <c r="I924" t="s">
        <v>58</v>
      </c>
      <c r="J924">
        <v>8999</v>
      </c>
      <c r="K924">
        <v>1</v>
      </c>
      <c r="L924">
        <v>8556.0400000000009</v>
      </c>
      <c r="M924">
        <v>0</v>
      </c>
      <c r="N924">
        <v>8556.0400000000009</v>
      </c>
      <c r="O924">
        <v>8556.0400000000009</v>
      </c>
      <c r="P924" t="s">
        <v>2111</v>
      </c>
      <c r="Q924" t="s">
        <v>1479</v>
      </c>
    </row>
    <row r="925" spans="1:17" x14ac:dyDescent="0.3">
      <c r="A925" t="s">
        <v>2423</v>
      </c>
      <c r="B925" t="s">
        <v>2424</v>
      </c>
      <c r="C925" s="1">
        <v>46198</v>
      </c>
      <c r="D925" t="s">
        <v>41</v>
      </c>
      <c r="E925" t="s">
        <v>17</v>
      </c>
      <c r="F925" t="s">
        <v>60</v>
      </c>
      <c r="G925" t="s">
        <v>51</v>
      </c>
      <c r="H925" t="s">
        <v>52</v>
      </c>
      <c r="I925" t="s">
        <v>20</v>
      </c>
      <c r="J925">
        <v>999</v>
      </c>
      <c r="K925">
        <v>1</v>
      </c>
      <c r="L925">
        <v>1051.67</v>
      </c>
      <c r="M925">
        <v>52.58</v>
      </c>
      <c r="N925">
        <v>1051.67</v>
      </c>
      <c r="O925">
        <v>999.09</v>
      </c>
      <c r="P925" t="s">
        <v>2111</v>
      </c>
      <c r="Q925" t="s">
        <v>1809</v>
      </c>
    </row>
    <row r="926" spans="1:17" x14ac:dyDescent="0.3">
      <c r="A926" t="s">
        <v>2385</v>
      </c>
      <c r="B926" t="s">
        <v>539</v>
      </c>
      <c r="C926" s="1">
        <v>46104</v>
      </c>
      <c r="D926" t="s">
        <v>16</v>
      </c>
      <c r="E926" t="s">
        <v>50</v>
      </c>
      <c r="F926" t="s">
        <v>60</v>
      </c>
      <c r="G926" t="s">
        <v>112</v>
      </c>
      <c r="H926" t="s">
        <v>113</v>
      </c>
      <c r="I926" t="s">
        <v>37</v>
      </c>
      <c r="J926">
        <v>1499</v>
      </c>
      <c r="K926">
        <v>1</v>
      </c>
      <c r="L926">
        <v>1555.36</v>
      </c>
      <c r="M926">
        <v>155.54</v>
      </c>
      <c r="N926">
        <v>1555.36</v>
      </c>
      <c r="O926">
        <v>1399.82</v>
      </c>
      <c r="P926" t="s">
        <v>2111</v>
      </c>
      <c r="Q926" t="s">
        <v>789</v>
      </c>
    </row>
    <row r="927" spans="1:17" x14ac:dyDescent="0.3">
      <c r="A927" t="s">
        <v>146</v>
      </c>
      <c r="B927" t="s">
        <v>145</v>
      </c>
      <c r="C927" s="1">
        <v>46028</v>
      </c>
      <c r="D927" t="s">
        <v>16</v>
      </c>
      <c r="E927" t="s">
        <v>50</v>
      </c>
      <c r="F927" t="s">
        <v>22</v>
      </c>
      <c r="G927" t="s">
        <v>250</v>
      </c>
      <c r="H927" t="s">
        <v>251</v>
      </c>
      <c r="I927" t="s">
        <v>108</v>
      </c>
      <c r="J927">
        <v>899</v>
      </c>
      <c r="K927">
        <v>1</v>
      </c>
      <c r="L927">
        <v>867.14</v>
      </c>
      <c r="M927">
        <v>0</v>
      </c>
      <c r="N927">
        <v>867.14</v>
      </c>
      <c r="O927">
        <v>867.14</v>
      </c>
      <c r="P927" t="s">
        <v>2114</v>
      </c>
      <c r="Q927" t="s">
        <v>23</v>
      </c>
    </row>
    <row r="928" spans="1:17" x14ac:dyDescent="0.3">
      <c r="A928" t="s">
        <v>1253</v>
      </c>
      <c r="B928" t="s">
        <v>1252</v>
      </c>
      <c r="C928" s="1">
        <v>46121</v>
      </c>
      <c r="D928" t="s">
        <v>26</v>
      </c>
      <c r="E928" t="s">
        <v>17</v>
      </c>
      <c r="F928" t="s">
        <v>74</v>
      </c>
      <c r="G928" t="s">
        <v>80</v>
      </c>
      <c r="H928" t="s">
        <v>81</v>
      </c>
      <c r="I928" t="s">
        <v>82</v>
      </c>
      <c r="J928">
        <v>4299</v>
      </c>
      <c r="K928">
        <v>2</v>
      </c>
      <c r="L928">
        <v>4338.1099999999997</v>
      </c>
      <c r="M928">
        <v>1735.24</v>
      </c>
      <c r="N928">
        <v>8676.2199999999993</v>
      </c>
      <c r="O928">
        <v>6940.98</v>
      </c>
      <c r="P928" t="s">
        <v>2111</v>
      </c>
      <c r="Q928" t="s">
        <v>1170</v>
      </c>
    </row>
    <row r="929" spans="1:17" x14ac:dyDescent="0.3">
      <c r="A929" t="s">
        <v>1892</v>
      </c>
      <c r="B929" t="s">
        <v>1891</v>
      </c>
      <c r="C929" s="1">
        <v>46181</v>
      </c>
      <c r="D929" t="s">
        <v>26</v>
      </c>
      <c r="E929" t="s">
        <v>17</v>
      </c>
      <c r="F929" t="s">
        <v>22</v>
      </c>
      <c r="G929" t="s">
        <v>91</v>
      </c>
      <c r="H929" t="s">
        <v>92</v>
      </c>
      <c r="I929" t="s">
        <v>37</v>
      </c>
      <c r="J929">
        <v>1899</v>
      </c>
      <c r="K929">
        <v>2</v>
      </c>
      <c r="L929">
        <v>1765.03</v>
      </c>
      <c r="M929">
        <v>176.5</v>
      </c>
      <c r="N929">
        <v>3530.06</v>
      </c>
      <c r="O929">
        <v>3353.56</v>
      </c>
      <c r="P929" t="s">
        <v>2111</v>
      </c>
      <c r="Q929" t="s">
        <v>1809</v>
      </c>
    </row>
    <row r="930" spans="1:17" x14ac:dyDescent="0.3">
      <c r="A930" t="s">
        <v>728</v>
      </c>
      <c r="B930" t="s">
        <v>33</v>
      </c>
      <c r="C930" s="1">
        <v>46076</v>
      </c>
      <c r="D930" t="s">
        <v>26</v>
      </c>
      <c r="E930" t="s">
        <v>17</v>
      </c>
      <c r="F930" t="s">
        <v>60</v>
      </c>
      <c r="G930" t="s">
        <v>80</v>
      </c>
      <c r="H930" t="s">
        <v>81</v>
      </c>
      <c r="I930" t="s">
        <v>82</v>
      </c>
      <c r="J930">
        <v>4299</v>
      </c>
      <c r="K930">
        <v>3</v>
      </c>
      <c r="L930">
        <v>4258.21</v>
      </c>
      <c r="M930">
        <v>2554.9299999999998</v>
      </c>
      <c r="N930">
        <v>12774.63</v>
      </c>
      <c r="O930">
        <v>10219.700000000001</v>
      </c>
      <c r="P930" t="s">
        <v>2111</v>
      </c>
      <c r="Q930" t="s">
        <v>498</v>
      </c>
    </row>
    <row r="931" spans="1:17" x14ac:dyDescent="0.3">
      <c r="A931" t="s">
        <v>2356</v>
      </c>
      <c r="B931" t="s">
        <v>195</v>
      </c>
      <c r="C931" s="1">
        <v>46157</v>
      </c>
      <c r="D931" t="s">
        <v>41</v>
      </c>
      <c r="E931" t="s">
        <v>50</v>
      </c>
      <c r="F931" t="s">
        <v>31</v>
      </c>
      <c r="G931" t="s">
        <v>355</v>
      </c>
      <c r="H931" t="s">
        <v>356</v>
      </c>
      <c r="I931" t="s">
        <v>82</v>
      </c>
      <c r="J931">
        <v>499</v>
      </c>
      <c r="K931">
        <v>1</v>
      </c>
      <c r="L931">
        <v>537.04</v>
      </c>
      <c r="M931">
        <v>80.56</v>
      </c>
      <c r="N931">
        <v>537.04</v>
      </c>
      <c r="O931">
        <v>456.48</v>
      </c>
      <c r="P931" t="s">
        <v>2111</v>
      </c>
      <c r="Q931" t="s">
        <v>1479</v>
      </c>
    </row>
    <row r="932" spans="1:17" x14ac:dyDescent="0.3">
      <c r="A932" t="s">
        <v>2644</v>
      </c>
      <c r="B932" t="s">
        <v>2645</v>
      </c>
      <c r="C932" s="1">
        <v>46103</v>
      </c>
      <c r="D932" t="s">
        <v>16</v>
      </c>
      <c r="E932" t="s">
        <v>42</v>
      </c>
      <c r="F932" t="s">
        <v>74</v>
      </c>
      <c r="G932" t="s">
        <v>160</v>
      </c>
      <c r="H932" t="s">
        <v>161</v>
      </c>
      <c r="I932" t="s">
        <v>82</v>
      </c>
      <c r="J932">
        <v>799</v>
      </c>
      <c r="K932">
        <v>3</v>
      </c>
      <c r="L932">
        <v>786.41</v>
      </c>
      <c r="M932">
        <v>353.88</v>
      </c>
      <c r="N932">
        <v>2359.23</v>
      </c>
      <c r="O932">
        <v>2005.35</v>
      </c>
      <c r="P932" t="s">
        <v>2111</v>
      </c>
      <c r="Q932" t="s">
        <v>789</v>
      </c>
    </row>
    <row r="933" spans="1:17" x14ac:dyDescent="0.3">
      <c r="A933" t="s">
        <v>128</v>
      </c>
      <c r="B933" t="s">
        <v>125</v>
      </c>
      <c r="C933" s="1">
        <v>46027</v>
      </c>
      <c r="D933" t="s">
        <v>63</v>
      </c>
      <c r="E933" t="s">
        <v>50</v>
      </c>
      <c r="F933" t="s">
        <v>74</v>
      </c>
      <c r="G933" t="s">
        <v>91</v>
      </c>
      <c r="H933" t="s">
        <v>92</v>
      </c>
      <c r="I933" t="s">
        <v>37</v>
      </c>
      <c r="J933">
        <v>1899</v>
      </c>
      <c r="K933">
        <v>1</v>
      </c>
      <c r="L933">
        <v>2027.97</v>
      </c>
      <c r="M933">
        <v>202.8</v>
      </c>
      <c r="N933">
        <v>2027.97</v>
      </c>
      <c r="O933">
        <v>1825.17</v>
      </c>
      <c r="P933" t="s">
        <v>2111</v>
      </c>
      <c r="Q933" t="s">
        <v>23</v>
      </c>
    </row>
    <row r="934" spans="1:17" x14ac:dyDescent="0.3">
      <c r="A934" t="s">
        <v>2646</v>
      </c>
      <c r="B934" t="s">
        <v>2647</v>
      </c>
      <c r="C934" s="1">
        <v>46171</v>
      </c>
      <c r="D934" t="s">
        <v>16</v>
      </c>
      <c r="E934" t="s">
        <v>50</v>
      </c>
      <c r="F934" t="s">
        <v>74</v>
      </c>
      <c r="G934" t="s">
        <v>35</v>
      </c>
      <c r="H934" t="s">
        <v>36</v>
      </c>
      <c r="I934" t="s">
        <v>37</v>
      </c>
      <c r="J934">
        <v>799</v>
      </c>
      <c r="K934">
        <v>3</v>
      </c>
      <c r="L934">
        <v>813.42</v>
      </c>
      <c r="M934">
        <v>244.03</v>
      </c>
      <c r="N934">
        <v>2440.2600000000002</v>
      </c>
      <c r="O934">
        <v>2196.23</v>
      </c>
      <c r="P934" t="s">
        <v>2111</v>
      </c>
      <c r="Q934" t="s">
        <v>1479</v>
      </c>
    </row>
    <row r="935" spans="1:17" x14ac:dyDescent="0.3">
      <c r="A935" t="s">
        <v>309</v>
      </c>
      <c r="B935" t="s">
        <v>308</v>
      </c>
      <c r="C935" s="1">
        <v>46038</v>
      </c>
      <c r="D935" t="s">
        <v>63</v>
      </c>
      <c r="E935" t="s">
        <v>50</v>
      </c>
      <c r="F935" t="s">
        <v>60</v>
      </c>
      <c r="G935" t="s">
        <v>250</v>
      </c>
      <c r="H935" t="s">
        <v>251</v>
      </c>
      <c r="I935" t="s">
        <v>108</v>
      </c>
      <c r="J935">
        <v>899</v>
      </c>
      <c r="K935">
        <v>1</v>
      </c>
      <c r="L935">
        <v>843.6</v>
      </c>
      <c r="M935">
        <v>126.54</v>
      </c>
      <c r="N935">
        <v>843.6</v>
      </c>
      <c r="O935">
        <v>717.06</v>
      </c>
      <c r="P935" t="s">
        <v>2111</v>
      </c>
      <c r="Q935" t="s">
        <v>23</v>
      </c>
    </row>
    <row r="936" spans="1:17" x14ac:dyDescent="0.3">
      <c r="A936" t="s">
        <v>682</v>
      </c>
      <c r="B936" t="s">
        <v>681</v>
      </c>
      <c r="C936" s="1">
        <v>46072</v>
      </c>
      <c r="D936" t="s">
        <v>16</v>
      </c>
      <c r="E936" t="s">
        <v>50</v>
      </c>
      <c r="F936" t="s">
        <v>31</v>
      </c>
      <c r="G936" t="s">
        <v>86</v>
      </c>
      <c r="H936" t="s">
        <v>87</v>
      </c>
      <c r="I936" t="s">
        <v>82</v>
      </c>
      <c r="J936">
        <v>3499</v>
      </c>
      <c r="K936">
        <v>1</v>
      </c>
      <c r="L936">
        <v>3555.76</v>
      </c>
      <c r="M936">
        <v>355.58</v>
      </c>
      <c r="N936">
        <v>3555.76</v>
      </c>
      <c r="O936">
        <v>3200.18</v>
      </c>
      <c r="P936" t="s">
        <v>2111</v>
      </c>
      <c r="Q936" t="s">
        <v>498</v>
      </c>
    </row>
    <row r="937" spans="1:17" x14ac:dyDescent="0.3">
      <c r="A937" t="s">
        <v>2648</v>
      </c>
      <c r="B937" t="s">
        <v>2649</v>
      </c>
      <c r="C937" s="1">
        <v>46131</v>
      </c>
      <c r="D937" t="s">
        <v>16</v>
      </c>
      <c r="E937" t="s">
        <v>42</v>
      </c>
      <c r="F937" t="s">
        <v>47</v>
      </c>
      <c r="G937" t="s">
        <v>112</v>
      </c>
      <c r="H937" t="s">
        <v>113</v>
      </c>
      <c r="I937" t="s">
        <v>37</v>
      </c>
      <c r="J937">
        <v>1499</v>
      </c>
      <c r="K937">
        <v>1</v>
      </c>
      <c r="L937">
        <v>1500.79</v>
      </c>
      <c r="M937">
        <v>150.08000000000001</v>
      </c>
      <c r="N937">
        <v>1500.79</v>
      </c>
      <c r="O937">
        <v>1350.71</v>
      </c>
      <c r="P937" t="s">
        <v>2111</v>
      </c>
      <c r="Q937" t="s">
        <v>1170</v>
      </c>
    </row>
    <row r="938" spans="1:17" x14ac:dyDescent="0.3">
      <c r="A938" t="s">
        <v>2444</v>
      </c>
      <c r="B938" t="s">
        <v>2445</v>
      </c>
      <c r="C938" s="1">
        <v>46100</v>
      </c>
      <c r="D938" t="s">
        <v>34</v>
      </c>
      <c r="E938" t="s">
        <v>17</v>
      </c>
      <c r="F938" t="s">
        <v>31</v>
      </c>
      <c r="G938" t="s">
        <v>51</v>
      </c>
      <c r="H938" t="s">
        <v>52</v>
      </c>
      <c r="I938" t="s">
        <v>20</v>
      </c>
      <c r="J938">
        <v>999</v>
      </c>
      <c r="K938">
        <v>3</v>
      </c>
      <c r="L938">
        <v>978.75</v>
      </c>
      <c r="M938">
        <v>734.06</v>
      </c>
      <c r="N938">
        <v>2936.25</v>
      </c>
      <c r="O938">
        <v>2202.19</v>
      </c>
      <c r="P938" t="s">
        <v>2111</v>
      </c>
      <c r="Q938" t="s">
        <v>789</v>
      </c>
    </row>
    <row r="939" spans="1:17" x14ac:dyDescent="0.3">
      <c r="A939" t="s">
        <v>1383</v>
      </c>
      <c r="B939" t="s">
        <v>1382</v>
      </c>
      <c r="C939" s="1">
        <v>46134</v>
      </c>
      <c r="D939" t="s">
        <v>16</v>
      </c>
      <c r="E939" t="s">
        <v>50</v>
      </c>
      <c r="F939" t="s">
        <v>22</v>
      </c>
      <c r="G939" t="s">
        <v>80</v>
      </c>
      <c r="H939" t="s">
        <v>81</v>
      </c>
      <c r="I939" t="s">
        <v>82</v>
      </c>
      <c r="J939">
        <v>4299</v>
      </c>
      <c r="K939">
        <v>1</v>
      </c>
      <c r="L939">
        <v>3971.96</v>
      </c>
      <c r="M939">
        <v>595.79</v>
      </c>
      <c r="N939">
        <v>3971.96</v>
      </c>
      <c r="O939">
        <v>3376.17</v>
      </c>
      <c r="P939" t="s">
        <v>2111</v>
      </c>
      <c r="Q939" t="s">
        <v>1170</v>
      </c>
    </row>
    <row r="940" spans="1:17" x14ac:dyDescent="0.3">
      <c r="A940" t="s">
        <v>2650</v>
      </c>
      <c r="B940" t="s">
        <v>482</v>
      </c>
      <c r="C940" s="1">
        <v>46072</v>
      </c>
      <c r="D940" t="s">
        <v>41</v>
      </c>
      <c r="E940" t="s">
        <v>17</v>
      </c>
      <c r="F940" t="s">
        <v>74</v>
      </c>
      <c r="G940" t="s">
        <v>112</v>
      </c>
      <c r="H940" t="s">
        <v>113</v>
      </c>
      <c r="I940" t="s">
        <v>37</v>
      </c>
      <c r="J940">
        <v>1499</v>
      </c>
      <c r="K940">
        <v>1</v>
      </c>
      <c r="L940">
        <v>1474.03</v>
      </c>
      <c r="M940">
        <v>221.1</v>
      </c>
      <c r="N940">
        <v>1474.03</v>
      </c>
      <c r="O940">
        <v>1252.93</v>
      </c>
      <c r="P940" t="s">
        <v>2111</v>
      </c>
      <c r="Q940" t="s">
        <v>498</v>
      </c>
    </row>
    <row r="941" spans="1:17" x14ac:dyDescent="0.3">
      <c r="A941" t="s">
        <v>2651</v>
      </c>
      <c r="B941" t="s">
        <v>1047</v>
      </c>
      <c r="C941" s="1">
        <v>46164</v>
      </c>
      <c r="D941" t="s">
        <v>34</v>
      </c>
      <c r="E941" t="s">
        <v>17</v>
      </c>
      <c r="F941" t="s">
        <v>60</v>
      </c>
      <c r="G941" t="s">
        <v>35</v>
      </c>
      <c r="H941" t="s">
        <v>36</v>
      </c>
      <c r="I941" t="s">
        <v>37</v>
      </c>
      <c r="J941">
        <v>799</v>
      </c>
      <c r="K941">
        <v>2</v>
      </c>
      <c r="L941">
        <v>730.73</v>
      </c>
      <c r="M941">
        <v>292.29000000000002</v>
      </c>
      <c r="N941">
        <v>1461.46</v>
      </c>
      <c r="O941">
        <v>1169.17</v>
      </c>
      <c r="P941" t="s">
        <v>2111</v>
      </c>
      <c r="Q941" t="s">
        <v>1479</v>
      </c>
    </row>
    <row r="942" spans="1:17" x14ac:dyDescent="0.3">
      <c r="A942" t="s">
        <v>1638</v>
      </c>
      <c r="B942" t="s">
        <v>1637</v>
      </c>
      <c r="C942" s="1">
        <v>46156</v>
      </c>
      <c r="D942" t="s">
        <v>16</v>
      </c>
      <c r="E942" t="s">
        <v>17</v>
      </c>
      <c r="F942" t="s">
        <v>74</v>
      </c>
      <c r="G942" t="s">
        <v>250</v>
      </c>
      <c r="H942" t="s">
        <v>251</v>
      </c>
      <c r="I942" t="s">
        <v>108</v>
      </c>
      <c r="J942">
        <v>899</v>
      </c>
      <c r="K942">
        <v>1</v>
      </c>
      <c r="L942">
        <v>826.86</v>
      </c>
      <c r="M942">
        <v>41.34</v>
      </c>
      <c r="N942">
        <v>826.86</v>
      </c>
      <c r="O942">
        <v>785.52</v>
      </c>
      <c r="P942" t="s">
        <v>2111</v>
      </c>
      <c r="Q942" t="s">
        <v>1479</v>
      </c>
    </row>
    <row r="943" spans="1:17" x14ac:dyDescent="0.3">
      <c r="A943" t="s">
        <v>483</v>
      </c>
      <c r="B943" t="s">
        <v>482</v>
      </c>
      <c r="C943" s="1">
        <v>46053</v>
      </c>
      <c r="D943" t="s">
        <v>63</v>
      </c>
      <c r="E943" t="s">
        <v>17</v>
      </c>
      <c r="F943" t="s">
        <v>31</v>
      </c>
      <c r="G943" t="s">
        <v>35</v>
      </c>
      <c r="H943" t="s">
        <v>36</v>
      </c>
      <c r="I943" t="s">
        <v>37</v>
      </c>
      <c r="J943">
        <v>799</v>
      </c>
      <c r="K943">
        <v>1</v>
      </c>
      <c r="L943">
        <v>785.56</v>
      </c>
      <c r="M943">
        <v>0</v>
      </c>
      <c r="N943">
        <v>785.56</v>
      </c>
      <c r="O943">
        <v>785.56</v>
      </c>
      <c r="P943" t="s">
        <v>2111</v>
      </c>
      <c r="Q943" t="s">
        <v>23</v>
      </c>
    </row>
    <row r="944" spans="1:17" x14ac:dyDescent="0.3">
      <c r="A944" t="s">
        <v>1026</v>
      </c>
      <c r="B944" t="s">
        <v>1025</v>
      </c>
      <c r="C944" s="1">
        <v>46098</v>
      </c>
      <c r="D944" t="s">
        <v>34</v>
      </c>
      <c r="E944" t="s">
        <v>17</v>
      </c>
      <c r="F944" t="s">
        <v>22</v>
      </c>
      <c r="G944" t="s">
        <v>18</v>
      </c>
      <c r="H944" t="s">
        <v>19</v>
      </c>
      <c r="I944" t="s">
        <v>20</v>
      </c>
      <c r="J944">
        <v>2799</v>
      </c>
      <c r="K944">
        <v>1</v>
      </c>
      <c r="L944">
        <v>2690.05</v>
      </c>
      <c r="M944">
        <v>269.01</v>
      </c>
      <c r="N944">
        <v>2690.05</v>
      </c>
      <c r="O944">
        <v>2421.04</v>
      </c>
      <c r="P944" t="s">
        <v>2111</v>
      </c>
      <c r="Q944" t="s">
        <v>789</v>
      </c>
    </row>
    <row r="945" spans="1:17" x14ac:dyDescent="0.3">
      <c r="A945" t="s">
        <v>2246</v>
      </c>
      <c r="B945" t="s">
        <v>272</v>
      </c>
      <c r="C945" s="1">
        <v>46026</v>
      </c>
      <c r="D945" t="s">
        <v>26</v>
      </c>
      <c r="E945" t="s">
        <v>50</v>
      </c>
      <c r="F945" t="s">
        <v>31</v>
      </c>
      <c r="G945" t="s">
        <v>106</v>
      </c>
      <c r="H945" t="s">
        <v>107</v>
      </c>
      <c r="I945" t="s">
        <v>108</v>
      </c>
      <c r="J945">
        <v>599</v>
      </c>
      <c r="K945">
        <v>1</v>
      </c>
      <c r="L945">
        <v>649.98</v>
      </c>
      <c r="M945">
        <v>65</v>
      </c>
      <c r="N945">
        <v>649.98</v>
      </c>
      <c r="O945">
        <v>584.98</v>
      </c>
      <c r="P945" t="s">
        <v>2111</v>
      </c>
      <c r="Q945" t="s">
        <v>23</v>
      </c>
    </row>
    <row r="946" spans="1:17" x14ac:dyDescent="0.3">
      <c r="A946" t="s">
        <v>2566</v>
      </c>
      <c r="B946" t="s">
        <v>2567</v>
      </c>
      <c r="C946" s="1">
        <v>46086</v>
      </c>
      <c r="D946" t="s">
        <v>34</v>
      </c>
      <c r="E946" t="s">
        <v>50</v>
      </c>
      <c r="F946" t="s">
        <v>31</v>
      </c>
      <c r="G946" t="s">
        <v>51</v>
      </c>
      <c r="H946" t="s">
        <v>52</v>
      </c>
      <c r="I946" t="s">
        <v>20</v>
      </c>
      <c r="J946">
        <v>999</v>
      </c>
      <c r="K946">
        <v>3</v>
      </c>
      <c r="L946">
        <v>974.17</v>
      </c>
      <c r="M946">
        <v>438.38</v>
      </c>
      <c r="N946">
        <v>2922.51</v>
      </c>
      <c r="O946">
        <v>2484.13</v>
      </c>
      <c r="P946" t="s">
        <v>2111</v>
      </c>
      <c r="Q946" t="s">
        <v>789</v>
      </c>
    </row>
    <row r="947" spans="1:17" x14ac:dyDescent="0.3">
      <c r="A947" t="s">
        <v>2292</v>
      </c>
      <c r="B947" t="s">
        <v>1282</v>
      </c>
      <c r="C947" s="1">
        <v>46040</v>
      </c>
      <c r="D947" t="s">
        <v>26</v>
      </c>
      <c r="E947" t="s">
        <v>17</v>
      </c>
      <c r="F947" t="s">
        <v>47</v>
      </c>
      <c r="G947" t="s">
        <v>191</v>
      </c>
      <c r="H947" t="s">
        <v>192</v>
      </c>
      <c r="I947" t="s">
        <v>45</v>
      </c>
      <c r="J947">
        <v>699</v>
      </c>
      <c r="K947">
        <v>2</v>
      </c>
      <c r="L947">
        <v>735.05</v>
      </c>
      <c r="M947">
        <v>147.01</v>
      </c>
      <c r="N947">
        <v>1470.1</v>
      </c>
      <c r="O947">
        <v>1323.09</v>
      </c>
      <c r="P947" t="s">
        <v>2114</v>
      </c>
      <c r="Q947" t="s">
        <v>23</v>
      </c>
    </row>
    <row r="948" spans="1:17" x14ac:dyDescent="0.3">
      <c r="A948" t="s">
        <v>2652</v>
      </c>
      <c r="B948" t="s">
        <v>809</v>
      </c>
      <c r="C948" s="1">
        <v>46116</v>
      </c>
      <c r="D948" t="s">
        <v>16</v>
      </c>
      <c r="E948" t="s">
        <v>50</v>
      </c>
      <c r="F948" t="s">
        <v>74</v>
      </c>
      <c r="G948" t="s">
        <v>86</v>
      </c>
      <c r="H948" t="s">
        <v>87</v>
      </c>
      <c r="I948" t="s">
        <v>82</v>
      </c>
      <c r="J948">
        <v>3499</v>
      </c>
      <c r="K948">
        <v>1</v>
      </c>
      <c r="L948">
        <v>3520.17</v>
      </c>
      <c r="M948">
        <v>352.02</v>
      </c>
      <c r="N948">
        <v>3520.17</v>
      </c>
      <c r="O948">
        <v>3168.15</v>
      </c>
      <c r="P948" t="s">
        <v>2111</v>
      </c>
      <c r="Q948" t="s">
        <v>1170</v>
      </c>
    </row>
    <row r="949" spans="1:17" x14ac:dyDescent="0.3">
      <c r="A949" t="s">
        <v>468</v>
      </c>
      <c r="B949" t="s">
        <v>467</v>
      </c>
      <c r="C949" s="1">
        <v>46051</v>
      </c>
      <c r="D949" t="s">
        <v>26</v>
      </c>
      <c r="E949" t="s">
        <v>50</v>
      </c>
      <c r="F949" t="s">
        <v>31</v>
      </c>
      <c r="G949" t="s">
        <v>250</v>
      </c>
      <c r="H949" t="s">
        <v>251</v>
      </c>
      <c r="I949" t="s">
        <v>108</v>
      </c>
      <c r="J949">
        <v>899</v>
      </c>
      <c r="K949">
        <v>4</v>
      </c>
      <c r="L949">
        <v>935.69</v>
      </c>
      <c r="M949">
        <v>374.28</v>
      </c>
      <c r="N949">
        <v>3742.76</v>
      </c>
      <c r="O949">
        <v>3368.48</v>
      </c>
      <c r="P949" t="s">
        <v>2111</v>
      </c>
      <c r="Q949" t="s">
        <v>23</v>
      </c>
    </row>
    <row r="950" spans="1:17" x14ac:dyDescent="0.3">
      <c r="A950" t="s">
        <v>2653</v>
      </c>
      <c r="B950" t="s">
        <v>557</v>
      </c>
      <c r="C950" s="1">
        <v>46062</v>
      </c>
      <c r="D950" t="s">
        <v>63</v>
      </c>
      <c r="E950" t="s">
        <v>42</v>
      </c>
      <c r="F950" t="s">
        <v>31</v>
      </c>
      <c r="G950" t="s">
        <v>86</v>
      </c>
      <c r="H950" t="s">
        <v>87</v>
      </c>
      <c r="I950" t="s">
        <v>82</v>
      </c>
      <c r="J950">
        <v>3499</v>
      </c>
      <c r="K950">
        <v>1</v>
      </c>
      <c r="L950">
        <v>3331.13</v>
      </c>
      <c r="M950">
        <v>0</v>
      </c>
      <c r="N950">
        <v>3331.13</v>
      </c>
      <c r="O950">
        <v>3331.13</v>
      </c>
      <c r="P950" t="s">
        <v>2111</v>
      </c>
      <c r="Q950" t="s">
        <v>498</v>
      </c>
    </row>
    <row r="951" spans="1:17" x14ac:dyDescent="0.3">
      <c r="A951" t="s">
        <v>2654</v>
      </c>
      <c r="B951" t="s">
        <v>2212</v>
      </c>
      <c r="C951" s="1">
        <v>46061</v>
      </c>
      <c r="D951" t="s">
        <v>63</v>
      </c>
      <c r="E951" t="s">
        <v>50</v>
      </c>
      <c r="F951" t="s">
        <v>60</v>
      </c>
      <c r="G951" t="s">
        <v>80</v>
      </c>
      <c r="H951" t="s">
        <v>81</v>
      </c>
      <c r="I951" t="s">
        <v>82</v>
      </c>
      <c r="J951">
        <v>4299</v>
      </c>
      <c r="K951">
        <v>1</v>
      </c>
      <c r="L951">
        <v>4678.95</v>
      </c>
      <c r="M951">
        <v>467.9</v>
      </c>
      <c r="N951">
        <v>4678.95</v>
      </c>
      <c r="O951">
        <v>4211.05</v>
      </c>
      <c r="P951" t="s">
        <v>2111</v>
      </c>
      <c r="Q951" t="s">
        <v>498</v>
      </c>
    </row>
    <row r="952" spans="1:17" x14ac:dyDescent="0.3">
      <c r="A952" t="s">
        <v>395</v>
      </c>
      <c r="B952" t="s">
        <v>394</v>
      </c>
      <c r="C952" s="1">
        <v>46044</v>
      </c>
      <c r="D952" t="s">
        <v>63</v>
      </c>
      <c r="E952" t="s">
        <v>50</v>
      </c>
      <c r="F952" t="s">
        <v>22</v>
      </c>
      <c r="G952" t="s">
        <v>160</v>
      </c>
      <c r="H952" t="s">
        <v>161</v>
      </c>
      <c r="I952" t="s">
        <v>82</v>
      </c>
      <c r="J952">
        <v>799</v>
      </c>
      <c r="K952">
        <v>1</v>
      </c>
      <c r="L952">
        <v>803.81</v>
      </c>
      <c r="M952">
        <v>120.57</v>
      </c>
      <c r="N952">
        <v>803.81</v>
      </c>
      <c r="O952">
        <v>683.24</v>
      </c>
      <c r="P952" t="s">
        <v>2111</v>
      </c>
      <c r="Q952" t="s">
        <v>23</v>
      </c>
    </row>
    <row r="953" spans="1:17" x14ac:dyDescent="0.3">
      <c r="A953" t="s">
        <v>2655</v>
      </c>
      <c r="B953" t="s">
        <v>2139</v>
      </c>
      <c r="C953" s="1">
        <v>46174</v>
      </c>
      <c r="D953" t="s">
        <v>16</v>
      </c>
      <c r="E953" t="s">
        <v>17</v>
      </c>
      <c r="F953" t="s">
        <v>22</v>
      </c>
      <c r="G953" t="s">
        <v>18</v>
      </c>
      <c r="H953" t="s">
        <v>19</v>
      </c>
      <c r="I953" t="s">
        <v>20</v>
      </c>
      <c r="J953">
        <v>2799</v>
      </c>
      <c r="K953">
        <v>1</v>
      </c>
      <c r="L953">
        <v>2984.48</v>
      </c>
      <c r="M953">
        <v>0</v>
      </c>
      <c r="N953">
        <v>2984.48</v>
      </c>
      <c r="O953">
        <v>2984.48</v>
      </c>
      <c r="P953" t="s">
        <v>2111</v>
      </c>
      <c r="Q953" t="s">
        <v>1809</v>
      </c>
    </row>
    <row r="954" spans="1:17" x14ac:dyDescent="0.3">
      <c r="A954" t="s">
        <v>114</v>
      </c>
      <c r="B954" t="s">
        <v>111</v>
      </c>
      <c r="C954" s="1">
        <v>46026</v>
      </c>
      <c r="D954" t="s">
        <v>63</v>
      </c>
      <c r="E954" t="s">
        <v>17</v>
      </c>
      <c r="F954" t="s">
        <v>22</v>
      </c>
      <c r="G954" t="s">
        <v>101</v>
      </c>
      <c r="H954" t="s">
        <v>102</v>
      </c>
      <c r="I954" t="s">
        <v>45</v>
      </c>
      <c r="J954">
        <v>4999</v>
      </c>
      <c r="K954">
        <v>1</v>
      </c>
      <c r="L954">
        <v>4864.07</v>
      </c>
      <c r="M954">
        <v>486.41</v>
      </c>
      <c r="N954">
        <v>4864.07</v>
      </c>
      <c r="O954">
        <v>4377.66</v>
      </c>
      <c r="P954" t="s">
        <v>2111</v>
      </c>
      <c r="Q954" t="s">
        <v>23</v>
      </c>
    </row>
    <row r="955" spans="1:17" x14ac:dyDescent="0.3">
      <c r="A955" t="s">
        <v>1776</v>
      </c>
      <c r="B955" t="s">
        <v>1775</v>
      </c>
      <c r="C955" s="1">
        <v>46170</v>
      </c>
      <c r="D955" t="s">
        <v>41</v>
      </c>
      <c r="E955" t="s">
        <v>50</v>
      </c>
      <c r="F955" t="s">
        <v>22</v>
      </c>
      <c r="G955" t="s">
        <v>101</v>
      </c>
      <c r="H955" t="s">
        <v>102</v>
      </c>
      <c r="I955" t="s">
        <v>45</v>
      </c>
      <c r="J955">
        <v>4999</v>
      </c>
      <c r="K955">
        <v>3</v>
      </c>
      <c r="L955">
        <v>4599.29</v>
      </c>
      <c r="M955">
        <v>1379.79</v>
      </c>
      <c r="N955">
        <v>13797.87</v>
      </c>
      <c r="O955">
        <v>12418.08</v>
      </c>
      <c r="P955" t="s">
        <v>2111</v>
      </c>
      <c r="Q955" t="s">
        <v>1479</v>
      </c>
    </row>
    <row r="956" spans="1:17" x14ac:dyDescent="0.3">
      <c r="A956" t="s">
        <v>2656</v>
      </c>
      <c r="B956" t="s">
        <v>919</v>
      </c>
      <c r="C956" s="1">
        <v>46116</v>
      </c>
      <c r="D956" t="s">
        <v>26</v>
      </c>
      <c r="E956" t="s">
        <v>17</v>
      </c>
      <c r="F956" t="s">
        <v>74</v>
      </c>
      <c r="G956" t="s">
        <v>106</v>
      </c>
      <c r="H956" t="s">
        <v>107</v>
      </c>
      <c r="I956" t="s">
        <v>108</v>
      </c>
      <c r="J956">
        <v>599</v>
      </c>
      <c r="K956">
        <v>2</v>
      </c>
      <c r="L956">
        <v>619.80999999999995</v>
      </c>
      <c r="M956">
        <v>0</v>
      </c>
      <c r="N956">
        <v>1239.6199999999999</v>
      </c>
      <c r="O956">
        <v>1239.6199999999999</v>
      </c>
      <c r="P956" t="s">
        <v>2111</v>
      </c>
      <c r="Q956" t="s">
        <v>1170</v>
      </c>
    </row>
    <row r="957" spans="1:17" x14ac:dyDescent="0.3">
      <c r="A957" t="s">
        <v>235</v>
      </c>
      <c r="B957" t="s">
        <v>234</v>
      </c>
      <c r="C957" s="1">
        <v>46033</v>
      </c>
      <c r="D957" t="s">
        <v>26</v>
      </c>
      <c r="E957" t="s">
        <v>17</v>
      </c>
      <c r="F957" t="s">
        <v>47</v>
      </c>
      <c r="G957" t="s">
        <v>86</v>
      </c>
      <c r="H957" t="s">
        <v>87</v>
      </c>
      <c r="I957" t="s">
        <v>82</v>
      </c>
      <c r="J957">
        <v>3499</v>
      </c>
      <c r="K957">
        <v>1</v>
      </c>
      <c r="L957">
        <v>3154.53</v>
      </c>
      <c r="M957">
        <v>0</v>
      </c>
      <c r="N957">
        <v>3154.53</v>
      </c>
      <c r="O957">
        <v>3154.53</v>
      </c>
      <c r="P957" t="s">
        <v>2111</v>
      </c>
      <c r="Q957" t="s">
        <v>23</v>
      </c>
    </row>
    <row r="958" spans="1:17" x14ac:dyDescent="0.3">
      <c r="A958" t="s">
        <v>561</v>
      </c>
      <c r="B958" t="s">
        <v>560</v>
      </c>
      <c r="C958" s="1">
        <v>46059</v>
      </c>
      <c r="D958" t="s">
        <v>63</v>
      </c>
      <c r="E958" t="s">
        <v>42</v>
      </c>
      <c r="F958" t="s">
        <v>60</v>
      </c>
      <c r="G958" t="s">
        <v>80</v>
      </c>
      <c r="H958" t="s">
        <v>81</v>
      </c>
      <c r="I958" t="s">
        <v>82</v>
      </c>
      <c r="J958">
        <v>4299</v>
      </c>
      <c r="K958">
        <v>1</v>
      </c>
      <c r="L958">
        <v>4277.76</v>
      </c>
      <c r="M958">
        <v>1069.44</v>
      </c>
      <c r="N958">
        <v>4277.76</v>
      </c>
      <c r="O958">
        <v>3208.32</v>
      </c>
      <c r="P958" t="s">
        <v>2111</v>
      </c>
      <c r="Q958" t="s">
        <v>498</v>
      </c>
    </row>
    <row r="959" spans="1:17" x14ac:dyDescent="0.3">
      <c r="A959" t="s">
        <v>765</v>
      </c>
      <c r="B959" t="s">
        <v>764</v>
      </c>
      <c r="C959" s="1">
        <v>46080</v>
      </c>
      <c r="D959" t="s">
        <v>63</v>
      </c>
      <c r="E959" t="s">
        <v>50</v>
      </c>
      <c r="F959" t="s">
        <v>47</v>
      </c>
      <c r="G959" t="s">
        <v>86</v>
      </c>
      <c r="H959" t="s">
        <v>87</v>
      </c>
      <c r="I959" t="s">
        <v>82</v>
      </c>
      <c r="J959">
        <v>3499</v>
      </c>
      <c r="K959">
        <v>2</v>
      </c>
      <c r="L959">
        <v>3284.02</v>
      </c>
      <c r="M959">
        <v>656.8</v>
      </c>
      <c r="N959">
        <v>6568.04</v>
      </c>
      <c r="O959">
        <v>5911.24</v>
      </c>
      <c r="P959" t="s">
        <v>2111</v>
      </c>
      <c r="Q959" t="s">
        <v>498</v>
      </c>
    </row>
    <row r="960" spans="1:17" x14ac:dyDescent="0.3">
      <c r="A960" t="s">
        <v>1051</v>
      </c>
      <c r="B960" t="s">
        <v>1050</v>
      </c>
      <c r="C960" s="1">
        <v>46102</v>
      </c>
      <c r="D960" t="s">
        <v>63</v>
      </c>
      <c r="E960" t="s">
        <v>50</v>
      </c>
      <c r="F960" t="s">
        <v>74</v>
      </c>
      <c r="G960" t="s">
        <v>18</v>
      </c>
      <c r="H960" t="s">
        <v>19</v>
      </c>
      <c r="I960" t="s">
        <v>20</v>
      </c>
      <c r="J960">
        <v>2799</v>
      </c>
      <c r="K960">
        <v>3</v>
      </c>
      <c r="L960">
        <v>2870.3</v>
      </c>
      <c r="M960">
        <v>430.55</v>
      </c>
      <c r="N960">
        <v>8610.9</v>
      </c>
      <c r="O960">
        <v>8180.35</v>
      </c>
      <c r="P960" t="s">
        <v>2111</v>
      </c>
      <c r="Q960" t="s">
        <v>789</v>
      </c>
    </row>
    <row r="961" spans="1:17" x14ac:dyDescent="0.3">
      <c r="A961" t="s">
        <v>413</v>
      </c>
      <c r="B961" t="s">
        <v>412</v>
      </c>
      <c r="C961" s="1">
        <v>46046</v>
      </c>
      <c r="D961" t="s">
        <v>16</v>
      </c>
      <c r="E961" t="s">
        <v>17</v>
      </c>
      <c r="F961" t="s">
        <v>60</v>
      </c>
      <c r="G961" t="s">
        <v>126</v>
      </c>
      <c r="H961" t="s">
        <v>127</v>
      </c>
      <c r="I961" t="s">
        <v>45</v>
      </c>
      <c r="J961">
        <v>2499</v>
      </c>
      <c r="K961">
        <v>3</v>
      </c>
      <c r="L961">
        <v>2738.61</v>
      </c>
      <c r="M961">
        <v>0</v>
      </c>
      <c r="N961">
        <v>8215.83</v>
      </c>
      <c r="O961">
        <v>8215.83</v>
      </c>
      <c r="P961" t="s">
        <v>2111</v>
      </c>
      <c r="Q961" t="s">
        <v>23</v>
      </c>
    </row>
    <row r="962" spans="1:17" x14ac:dyDescent="0.3">
      <c r="A962" t="s">
        <v>247</v>
      </c>
      <c r="B962" t="s">
        <v>246</v>
      </c>
      <c r="C962" s="1">
        <v>46034</v>
      </c>
      <c r="D962" t="s">
        <v>34</v>
      </c>
      <c r="E962" t="s">
        <v>50</v>
      </c>
      <c r="F962" t="s">
        <v>47</v>
      </c>
      <c r="G962" t="s">
        <v>51</v>
      </c>
      <c r="H962" t="s">
        <v>52</v>
      </c>
      <c r="I962" t="s">
        <v>20</v>
      </c>
      <c r="J962">
        <v>999</v>
      </c>
      <c r="K962">
        <v>1</v>
      </c>
      <c r="L962">
        <v>991.89</v>
      </c>
      <c r="M962">
        <v>148.78</v>
      </c>
      <c r="N962">
        <v>991.89</v>
      </c>
      <c r="O962">
        <v>843.11</v>
      </c>
      <c r="P962" t="s">
        <v>2114</v>
      </c>
      <c r="Q962" t="s">
        <v>23</v>
      </c>
    </row>
    <row r="963" spans="1:17" x14ac:dyDescent="0.3">
      <c r="A963" t="s">
        <v>810</v>
      </c>
      <c r="B963" t="s">
        <v>809</v>
      </c>
      <c r="C963" s="1">
        <v>46083</v>
      </c>
      <c r="D963" t="s">
        <v>16</v>
      </c>
      <c r="E963" t="s">
        <v>50</v>
      </c>
      <c r="F963" t="s">
        <v>47</v>
      </c>
      <c r="G963" t="s">
        <v>106</v>
      </c>
      <c r="H963" t="s">
        <v>107</v>
      </c>
      <c r="I963" t="s">
        <v>108</v>
      </c>
      <c r="J963">
        <v>599</v>
      </c>
      <c r="K963">
        <v>2</v>
      </c>
      <c r="L963">
        <v>637.04</v>
      </c>
      <c r="M963">
        <v>127.41</v>
      </c>
      <c r="N963">
        <v>1274.08</v>
      </c>
      <c r="O963">
        <v>1146.67</v>
      </c>
      <c r="P963" t="s">
        <v>2111</v>
      </c>
      <c r="Q963" t="s">
        <v>789</v>
      </c>
    </row>
    <row r="964" spans="1:17" x14ac:dyDescent="0.3">
      <c r="A964" t="s">
        <v>380</v>
      </c>
      <c r="B964" t="s">
        <v>379</v>
      </c>
      <c r="C964" s="1">
        <v>46043</v>
      </c>
      <c r="D964" t="s">
        <v>63</v>
      </c>
      <c r="E964" t="s">
        <v>42</v>
      </c>
      <c r="F964" t="s">
        <v>74</v>
      </c>
      <c r="G964" t="s">
        <v>355</v>
      </c>
      <c r="H964" t="s">
        <v>356</v>
      </c>
      <c r="I964" t="s">
        <v>82</v>
      </c>
      <c r="J964">
        <v>499</v>
      </c>
      <c r="K964">
        <v>1</v>
      </c>
      <c r="L964">
        <v>499.78</v>
      </c>
      <c r="M964">
        <v>74.97</v>
      </c>
      <c r="N964">
        <v>499.78</v>
      </c>
      <c r="O964">
        <v>424.81</v>
      </c>
      <c r="P964" t="s">
        <v>2111</v>
      </c>
      <c r="Q964" t="s">
        <v>23</v>
      </c>
    </row>
    <row r="965" spans="1:17" x14ac:dyDescent="0.3">
      <c r="A965" t="s">
        <v>383</v>
      </c>
      <c r="B965" t="s">
        <v>382</v>
      </c>
      <c r="C965" s="1">
        <v>46043</v>
      </c>
      <c r="D965" t="s">
        <v>63</v>
      </c>
      <c r="E965" t="s">
        <v>42</v>
      </c>
      <c r="F965" t="s">
        <v>74</v>
      </c>
      <c r="G965" t="s">
        <v>18</v>
      </c>
      <c r="H965" t="s">
        <v>19</v>
      </c>
      <c r="I965" t="s">
        <v>20</v>
      </c>
      <c r="J965">
        <v>2799</v>
      </c>
      <c r="K965">
        <v>1</v>
      </c>
      <c r="L965">
        <v>2796.67</v>
      </c>
      <c r="M965">
        <v>0</v>
      </c>
      <c r="N965">
        <v>2796.67</v>
      </c>
      <c r="O965">
        <v>2796.67</v>
      </c>
      <c r="P965" t="s">
        <v>2111</v>
      </c>
      <c r="Q965" t="s">
        <v>23</v>
      </c>
    </row>
    <row r="966" spans="1:17" x14ac:dyDescent="0.3">
      <c r="A966" t="s">
        <v>2564</v>
      </c>
      <c r="B966" t="s">
        <v>2565</v>
      </c>
      <c r="C966" s="1">
        <v>46194</v>
      </c>
      <c r="D966" t="s">
        <v>16</v>
      </c>
      <c r="E966" t="s">
        <v>17</v>
      </c>
      <c r="F966" t="s">
        <v>31</v>
      </c>
      <c r="G966" t="s">
        <v>149</v>
      </c>
      <c r="H966" t="s">
        <v>150</v>
      </c>
      <c r="I966" t="s">
        <v>37</v>
      </c>
      <c r="J966">
        <v>2999</v>
      </c>
      <c r="K966">
        <v>1</v>
      </c>
      <c r="L966">
        <v>3257.17</v>
      </c>
      <c r="M966">
        <v>651.42999999999995</v>
      </c>
      <c r="N966">
        <v>3257.17</v>
      </c>
      <c r="O966">
        <v>2605.7399999999998</v>
      </c>
      <c r="P966" t="s">
        <v>2111</v>
      </c>
      <c r="Q966" t="s">
        <v>1809</v>
      </c>
    </row>
    <row r="967" spans="1:17" x14ac:dyDescent="0.3">
      <c r="A967" t="s">
        <v>2434</v>
      </c>
      <c r="B967" t="s">
        <v>2435</v>
      </c>
      <c r="C967" s="1">
        <v>46087</v>
      </c>
      <c r="D967" t="s">
        <v>41</v>
      </c>
      <c r="E967" t="s">
        <v>17</v>
      </c>
      <c r="F967" t="s">
        <v>31</v>
      </c>
      <c r="G967" t="s">
        <v>27</v>
      </c>
      <c r="H967" t="s">
        <v>28</v>
      </c>
      <c r="I967" t="s">
        <v>29</v>
      </c>
      <c r="J967">
        <v>1599</v>
      </c>
      <c r="K967">
        <v>1</v>
      </c>
      <c r="L967">
        <v>1723.71</v>
      </c>
      <c r="M967">
        <v>172.37</v>
      </c>
      <c r="N967">
        <v>1723.71</v>
      </c>
      <c r="O967">
        <v>1551.34</v>
      </c>
      <c r="P967" t="s">
        <v>2111</v>
      </c>
      <c r="Q967" t="s">
        <v>789</v>
      </c>
    </row>
    <row r="968" spans="1:17" x14ac:dyDescent="0.3">
      <c r="A968" t="s">
        <v>2366</v>
      </c>
      <c r="B968" t="s">
        <v>2367</v>
      </c>
      <c r="C968" s="1">
        <v>46065</v>
      </c>
      <c r="D968" t="s">
        <v>16</v>
      </c>
      <c r="E968" t="s">
        <v>17</v>
      </c>
      <c r="F968" t="s">
        <v>60</v>
      </c>
      <c r="G968" t="s">
        <v>126</v>
      </c>
      <c r="H968" t="s">
        <v>127</v>
      </c>
      <c r="I968" t="s">
        <v>45</v>
      </c>
      <c r="J968">
        <v>2499</v>
      </c>
      <c r="K968">
        <v>1</v>
      </c>
      <c r="L968">
        <v>2641.84</v>
      </c>
      <c r="M968">
        <v>132.09</v>
      </c>
      <c r="N968">
        <v>2641.84</v>
      </c>
      <c r="O968">
        <v>2509.75</v>
      </c>
      <c r="P968" t="s">
        <v>2111</v>
      </c>
      <c r="Q968" t="s">
        <v>498</v>
      </c>
    </row>
    <row r="969" spans="1:17" x14ac:dyDescent="0.3">
      <c r="A969" t="s">
        <v>2657</v>
      </c>
      <c r="B969" t="s">
        <v>2658</v>
      </c>
      <c r="C969" s="1">
        <v>46166</v>
      </c>
      <c r="D969" t="s">
        <v>34</v>
      </c>
      <c r="E969" t="s">
        <v>17</v>
      </c>
      <c r="F969" t="s">
        <v>74</v>
      </c>
      <c r="G969" t="s">
        <v>91</v>
      </c>
      <c r="H969" t="s">
        <v>92</v>
      </c>
      <c r="I969" t="s">
        <v>37</v>
      </c>
      <c r="J969">
        <v>1899</v>
      </c>
      <c r="K969">
        <v>1</v>
      </c>
      <c r="L969">
        <v>1821.62</v>
      </c>
      <c r="M969">
        <v>182.16</v>
      </c>
      <c r="N969">
        <v>1821.62</v>
      </c>
      <c r="O969">
        <v>1639.46</v>
      </c>
      <c r="P969" t="s">
        <v>2111</v>
      </c>
      <c r="Q969" t="s">
        <v>1479</v>
      </c>
    </row>
    <row r="970" spans="1:17" x14ac:dyDescent="0.3">
      <c r="A970" t="s">
        <v>2659</v>
      </c>
      <c r="B970" t="s">
        <v>2660</v>
      </c>
      <c r="C970" s="1">
        <v>46198</v>
      </c>
      <c r="D970" t="s">
        <v>16</v>
      </c>
      <c r="E970" t="s">
        <v>17</v>
      </c>
      <c r="F970" t="s">
        <v>60</v>
      </c>
      <c r="G970" t="s">
        <v>106</v>
      </c>
      <c r="H970" t="s">
        <v>107</v>
      </c>
      <c r="I970" t="s">
        <v>108</v>
      </c>
      <c r="J970">
        <v>599</v>
      </c>
      <c r="K970">
        <v>1</v>
      </c>
      <c r="L970">
        <v>604.39</v>
      </c>
      <c r="M970">
        <v>60.44</v>
      </c>
      <c r="N970">
        <v>604.39</v>
      </c>
      <c r="O970">
        <v>543.95000000000005</v>
      </c>
      <c r="P970" t="s">
        <v>2111</v>
      </c>
      <c r="Q970" t="s">
        <v>1809</v>
      </c>
    </row>
    <row r="971" spans="1:17" x14ac:dyDescent="0.3">
      <c r="A971" t="s">
        <v>2661</v>
      </c>
      <c r="B971" t="s">
        <v>2662</v>
      </c>
      <c r="C971" s="1">
        <v>46113</v>
      </c>
      <c r="D971" t="s">
        <v>16</v>
      </c>
      <c r="E971" t="s">
        <v>50</v>
      </c>
      <c r="F971" t="s">
        <v>74</v>
      </c>
      <c r="G971" t="s">
        <v>43</v>
      </c>
      <c r="H971" t="s">
        <v>44</v>
      </c>
      <c r="I971" t="s">
        <v>45</v>
      </c>
      <c r="J971">
        <v>3299</v>
      </c>
      <c r="K971">
        <v>2</v>
      </c>
      <c r="L971">
        <v>3116.83</v>
      </c>
      <c r="M971">
        <v>1246.73</v>
      </c>
      <c r="N971">
        <v>6233.66</v>
      </c>
      <c r="O971">
        <v>4986.93</v>
      </c>
      <c r="P971" t="s">
        <v>2111</v>
      </c>
      <c r="Q971" t="s">
        <v>1170</v>
      </c>
    </row>
    <row r="972" spans="1:17" x14ac:dyDescent="0.3">
      <c r="A972" t="s">
        <v>2663</v>
      </c>
      <c r="B972" t="s">
        <v>2664</v>
      </c>
      <c r="C972" s="1">
        <v>46180</v>
      </c>
      <c r="D972" t="s">
        <v>26</v>
      </c>
      <c r="E972" t="s">
        <v>17</v>
      </c>
      <c r="F972" t="s">
        <v>74</v>
      </c>
      <c r="G972" t="s">
        <v>96</v>
      </c>
      <c r="H972" t="s">
        <v>97</v>
      </c>
      <c r="I972" t="s">
        <v>58</v>
      </c>
      <c r="J972">
        <v>7499</v>
      </c>
      <c r="K972">
        <v>1</v>
      </c>
      <c r="L972">
        <v>7414.89</v>
      </c>
      <c r="M972">
        <v>1482.98</v>
      </c>
      <c r="N972">
        <v>7414.89</v>
      </c>
      <c r="O972">
        <v>5931.91</v>
      </c>
      <c r="P972" t="s">
        <v>2111</v>
      </c>
      <c r="Q972" t="s">
        <v>1809</v>
      </c>
    </row>
    <row r="973" spans="1:17" x14ac:dyDescent="0.3">
      <c r="A973" t="s">
        <v>2665</v>
      </c>
      <c r="B973" t="s">
        <v>2666</v>
      </c>
      <c r="C973" s="1">
        <v>46158</v>
      </c>
      <c r="D973" t="s">
        <v>16</v>
      </c>
      <c r="E973" t="s">
        <v>17</v>
      </c>
      <c r="F973" t="s">
        <v>74</v>
      </c>
      <c r="G973" t="s">
        <v>355</v>
      </c>
      <c r="H973" t="s">
        <v>356</v>
      </c>
      <c r="I973" t="s">
        <v>82</v>
      </c>
      <c r="J973">
        <v>499</v>
      </c>
      <c r="K973">
        <v>1</v>
      </c>
      <c r="L973">
        <v>497.42</v>
      </c>
      <c r="M973">
        <v>24.87</v>
      </c>
      <c r="N973">
        <v>497.42</v>
      </c>
      <c r="O973">
        <v>472.55</v>
      </c>
      <c r="P973" t="s">
        <v>2111</v>
      </c>
      <c r="Q973" t="s">
        <v>1479</v>
      </c>
    </row>
    <row r="974" spans="1:17" x14ac:dyDescent="0.3">
      <c r="A974" t="s">
        <v>410</v>
      </c>
      <c r="B974" t="s">
        <v>409</v>
      </c>
      <c r="C974" s="1">
        <v>46046</v>
      </c>
      <c r="D974" t="s">
        <v>34</v>
      </c>
      <c r="E974" t="s">
        <v>50</v>
      </c>
      <c r="F974" t="s">
        <v>47</v>
      </c>
      <c r="G974" t="s">
        <v>355</v>
      </c>
      <c r="H974" t="s">
        <v>356</v>
      </c>
      <c r="I974" t="s">
        <v>82</v>
      </c>
      <c r="J974">
        <v>499</v>
      </c>
      <c r="K974">
        <v>1</v>
      </c>
      <c r="L974">
        <v>532.1</v>
      </c>
      <c r="M974">
        <v>106.42</v>
      </c>
      <c r="N974">
        <v>532.1</v>
      </c>
      <c r="O974">
        <v>425.68</v>
      </c>
      <c r="P974" t="s">
        <v>2111</v>
      </c>
      <c r="Q974" t="s">
        <v>23</v>
      </c>
    </row>
    <row r="975" spans="1:17" x14ac:dyDescent="0.3">
      <c r="A975" t="s">
        <v>2540</v>
      </c>
      <c r="B975" t="s">
        <v>2541</v>
      </c>
      <c r="C975" s="1">
        <v>46191</v>
      </c>
      <c r="D975" t="s">
        <v>63</v>
      </c>
      <c r="E975" t="s">
        <v>17</v>
      </c>
      <c r="F975" t="s">
        <v>47</v>
      </c>
      <c r="G975" t="s">
        <v>43</v>
      </c>
      <c r="H975" t="s">
        <v>44</v>
      </c>
      <c r="I975" t="s">
        <v>45</v>
      </c>
      <c r="J975">
        <v>3299</v>
      </c>
      <c r="K975">
        <v>4</v>
      </c>
      <c r="L975">
        <v>3560.3</v>
      </c>
      <c r="M975">
        <v>2136.1799999999998</v>
      </c>
      <c r="N975">
        <v>14241.2</v>
      </c>
      <c r="O975">
        <v>12105.02</v>
      </c>
      <c r="P975" t="s">
        <v>2111</v>
      </c>
      <c r="Q975" t="s">
        <v>1809</v>
      </c>
    </row>
    <row r="976" spans="1:17" x14ac:dyDescent="0.3">
      <c r="A976" t="s">
        <v>993</v>
      </c>
      <c r="B976" t="s">
        <v>992</v>
      </c>
      <c r="C976" s="1">
        <v>46097</v>
      </c>
      <c r="D976" t="s">
        <v>34</v>
      </c>
      <c r="E976" t="s">
        <v>17</v>
      </c>
      <c r="F976" t="s">
        <v>31</v>
      </c>
      <c r="G976" t="s">
        <v>35</v>
      </c>
      <c r="H976" t="s">
        <v>36</v>
      </c>
      <c r="I976" t="s">
        <v>37</v>
      </c>
      <c r="J976">
        <v>799</v>
      </c>
      <c r="K976">
        <v>1</v>
      </c>
      <c r="L976">
        <v>785.36</v>
      </c>
      <c r="M976">
        <v>157.07</v>
      </c>
      <c r="N976">
        <v>785.36</v>
      </c>
      <c r="O976">
        <v>628.29</v>
      </c>
      <c r="P976" t="s">
        <v>2111</v>
      </c>
      <c r="Q976" t="s">
        <v>789</v>
      </c>
    </row>
    <row r="977" spans="1:17" x14ac:dyDescent="0.3">
      <c r="A977" t="s">
        <v>841</v>
      </c>
      <c r="B977" t="s">
        <v>636</v>
      </c>
      <c r="C977" s="1">
        <v>46085</v>
      </c>
      <c r="D977" t="s">
        <v>16</v>
      </c>
      <c r="E977" t="s">
        <v>17</v>
      </c>
      <c r="F977" t="s">
        <v>47</v>
      </c>
      <c r="G977" t="s">
        <v>112</v>
      </c>
      <c r="H977" t="s">
        <v>113</v>
      </c>
      <c r="I977" t="s">
        <v>37</v>
      </c>
      <c r="J977">
        <v>1499</v>
      </c>
      <c r="K977">
        <v>1</v>
      </c>
      <c r="L977">
        <v>1354.41</v>
      </c>
      <c r="M977">
        <v>67.72</v>
      </c>
      <c r="N977">
        <v>1354.41</v>
      </c>
      <c r="O977">
        <v>1286.69</v>
      </c>
      <c r="P977" t="s">
        <v>2111</v>
      </c>
      <c r="Q977" t="s">
        <v>789</v>
      </c>
    </row>
    <row r="978" spans="1:17" x14ac:dyDescent="0.3">
      <c r="A978" t="s">
        <v>1571</v>
      </c>
      <c r="B978" t="s">
        <v>1570</v>
      </c>
      <c r="C978" s="1">
        <v>46150</v>
      </c>
      <c r="D978" t="s">
        <v>34</v>
      </c>
      <c r="E978" t="s">
        <v>17</v>
      </c>
      <c r="F978" t="s">
        <v>31</v>
      </c>
      <c r="G978" t="s">
        <v>160</v>
      </c>
      <c r="H978" t="s">
        <v>161</v>
      </c>
      <c r="I978" t="s">
        <v>82</v>
      </c>
      <c r="J978">
        <v>799</v>
      </c>
      <c r="K978">
        <v>1</v>
      </c>
      <c r="L978">
        <v>856.81</v>
      </c>
      <c r="M978">
        <v>85.68</v>
      </c>
      <c r="N978">
        <v>856.81</v>
      </c>
      <c r="O978">
        <v>771.13</v>
      </c>
      <c r="P978" t="s">
        <v>2111</v>
      </c>
      <c r="Q978" t="s">
        <v>1479</v>
      </c>
    </row>
    <row r="979" spans="1:17" x14ac:dyDescent="0.3">
      <c r="A979" t="s">
        <v>2667</v>
      </c>
      <c r="B979" t="s">
        <v>1683</v>
      </c>
      <c r="C979" s="1">
        <v>46106</v>
      </c>
      <c r="D979" t="s">
        <v>16</v>
      </c>
      <c r="E979" t="s">
        <v>17</v>
      </c>
      <c r="F979" t="s">
        <v>22</v>
      </c>
      <c r="G979" t="s">
        <v>80</v>
      </c>
      <c r="H979" t="s">
        <v>81</v>
      </c>
      <c r="I979" t="s">
        <v>82</v>
      </c>
      <c r="J979">
        <v>4299</v>
      </c>
      <c r="K979">
        <v>2</v>
      </c>
      <c r="L979">
        <v>4018.94</v>
      </c>
      <c r="M979">
        <v>401.89</v>
      </c>
      <c r="N979">
        <v>8037.88</v>
      </c>
      <c r="O979">
        <v>7635.99</v>
      </c>
      <c r="P979" t="s">
        <v>2114</v>
      </c>
      <c r="Q979" t="s">
        <v>789</v>
      </c>
    </row>
    <row r="980" spans="1:17" x14ac:dyDescent="0.3">
      <c r="A980" t="s">
        <v>973</v>
      </c>
      <c r="B980" t="s">
        <v>972</v>
      </c>
      <c r="C980" s="1">
        <v>46095</v>
      </c>
      <c r="D980" t="s">
        <v>16</v>
      </c>
      <c r="E980" t="s">
        <v>17</v>
      </c>
      <c r="F980" t="s">
        <v>47</v>
      </c>
      <c r="G980" t="s">
        <v>86</v>
      </c>
      <c r="H980" t="s">
        <v>87</v>
      </c>
      <c r="I980" t="s">
        <v>82</v>
      </c>
      <c r="J980">
        <v>3499</v>
      </c>
      <c r="K980">
        <v>4</v>
      </c>
      <c r="L980">
        <v>3584.29</v>
      </c>
      <c r="M980">
        <v>2150.5700000000002</v>
      </c>
      <c r="N980">
        <v>14337.16</v>
      </c>
      <c r="O980">
        <v>12186.59</v>
      </c>
      <c r="P980" t="s">
        <v>2111</v>
      </c>
      <c r="Q980" t="s">
        <v>789</v>
      </c>
    </row>
    <row r="981" spans="1:17" x14ac:dyDescent="0.3">
      <c r="A981" t="s">
        <v>2363</v>
      </c>
      <c r="B981" t="s">
        <v>1573</v>
      </c>
      <c r="C981" s="1">
        <v>46075</v>
      </c>
      <c r="D981" t="s">
        <v>16</v>
      </c>
      <c r="E981" t="s">
        <v>50</v>
      </c>
      <c r="F981" t="s">
        <v>60</v>
      </c>
      <c r="G981" t="s">
        <v>355</v>
      </c>
      <c r="H981" t="s">
        <v>356</v>
      </c>
      <c r="I981" t="s">
        <v>82</v>
      </c>
      <c r="J981">
        <v>499</v>
      </c>
      <c r="K981">
        <v>1</v>
      </c>
      <c r="L981">
        <v>451.59</v>
      </c>
      <c r="M981">
        <v>0</v>
      </c>
      <c r="N981">
        <v>451.59</v>
      </c>
      <c r="O981">
        <v>451.59</v>
      </c>
      <c r="P981" t="s">
        <v>2114</v>
      </c>
      <c r="Q981" t="s">
        <v>498</v>
      </c>
    </row>
    <row r="982" spans="1:17" x14ac:dyDescent="0.3">
      <c r="A982" t="s">
        <v>2668</v>
      </c>
      <c r="B982" t="s">
        <v>2298</v>
      </c>
      <c r="C982" s="1">
        <v>46039</v>
      </c>
      <c r="D982" t="s">
        <v>41</v>
      </c>
      <c r="E982" t="s">
        <v>50</v>
      </c>
      <c r="F982" t="s">
        <v>47</v>
      </c>
      <c r="G982" t="s">
        <v>149</v>
      </c>
      <c r="H982" t="s">
        <v>150</v>
      </c>
      <c r="I982" t="s">
        <v>37</v>
      </c>
      <c r="J982">
        <v>2999</v>
      </c>
      <c r="K982">
        <v>1</v>
      </c>
      <c r="L982">
        <v>2938.72</v>
      </c>
      <c r="M982">
        <v>293.87</v>
      </c>
      <c r="N982">
        <v>2938.72</v>
      </c>
      <c r="O982">
        <v>2644.85</v>
      </c>
      <c r="P982" t="s">
        <v>2111</v>
      </c>
      <c r="Q982" t="s">
        <v>23</v>
      </c>
    </row>
    <row r="983" spans="1:17" x14ac:dyDescent="0.3">
      <c r="A983" t="s">
        <v>2669</v>
      </c>
      <c r="B983" t="s">
        <v>1454</v>
      </c>
      <c r="C983" s="1">
        <v>46073</v>
      </c>
      <c r="D983" t="s">
        <v>34</v>
      </c>
      <c r="E983" t="s">
        <v>17</v>
      </c>
      <c r="F983" t="s">
        <v>31</v>
      </c>
      <c r="G983" t="s">
        <v>112</v>
      </c>
      <c r="H983" t="s">
        <v>113</v>
      </c>
      <c r="I983" t="s">
        <v>37</v>
      </c>
      <c r="J983">
        <v>1499</v>
      </c>
      <c r="K983">
        <v>3</v>
      </c>
      <c r="L983">
        <v>1644.69</v>
      </c>
      <c r="M983">
        <v>246.7</v>
      </c>
      <c r="N983">
        <v>4934.07</v>
      </c>
      <c r="O983">
        <v>4687.37</v>
      </c>
      <c r="P983" t="s">
        <v>2114</v>
      </c>
      <c r="Q983" t="s">
        <v>498</v>
      </c>
    </row>
    <row r="984" spans="1:17" x14ac:dyDescent="0.3">
      <c r="A984" t="s">
        <v>1544</v>
      </c>
      <c r="B984" t="s">
        <v>1543</v>
      </c>
      <c r="C984" s="1">
        <v>46148</v>
      </c>
      <c r="D984" t="s">
        <v>16</v>
      </c>
      <c r="E984" t="s">
        <v>17</v>
      </c>
      <c r="F984" t="s">
        <v>31</v>
      </c>
      <c r="G984" t="s">
        <v>160</v>
      </c>
      <c r="H984" t="s">
        <v>161</v>
      </c>
      <c r="I984" t="s">
        <v>82</v>
      </c>
      <c r="J984">
        <v>799</v>
      </c>
      <c r="K984">
        <v>1</v>
      </c>
      <c r="L984">
        <v>735.19</v>
      </c>
      <c r="M984">
        <v>36.76</v>
      </c>
      <c r="N984">
        <v>735.19</v>
      </c>
      <c r="O984">
        <v>698.43</v>
      </c>
      <c r="P984" t="s">
        <v>2111</v>
      </c>
      <c r="Q984" t="s">
        <v>1479</v>
      </c>
    </row>
    <row r="985" spans="1:17" x14ac:dyDescent="0.3">
      <c r="A985" t="s">
        <v>2166</v>
      </c>
      <c r="B985" t="s">
        <v>1507</v>
      </c>
      <c r="C985" s="1">
        <v>46035</v>
      </c>
      <c r="D985" t="s">
        <v>63</v>
      </c>
      <c r="E985" t="s">
        <v>17</v>
      </c>
      <c r="F985" t="s">
        <v>47</v>
      </c>
      <c r="G985" t="s">
        <v>35</v>
      </c>
      <c r="H985" t="s">
        <v>36</v>
      </c>
      <c r="I985" t="s">
        <v>37</v>
      </c>
      <c r="J985">
        <v>799</v>
      </c>
      <c r="K985">
        <v>1</v>
      </c>
      <c r="L985">
        <v>786.81</v>
      </c>
      <c r="M985">
        <v>118.02</v>
      </c>
      <c r="N985">
        <v>786.81</v>
      </c>
      <c r="O985">
        <v>668.79</v>
      </c>
      <c r="P985" t="s">
        <v>2111</v>
      </c>
      <c r="Q985" t="s">
        <v>23</v>
      </c>
    </row>
    <row r="986" spans="1:17" x14ac:dyDescent="0.3">
      <c r="A986" t="s">
        <v>2670</v>
      </c>
      <c r="B986" t="s">
        <v>2384</v>
      </c>
      <c r="C986" s="1">
        <v>46148</v>
      </c>
      <c r="D986" t="s">
        <v>41</v>
      </c>
      <c r="E986" t="s">
        <v>17</v>
      </c>
      <c r="F986" t="s">
        <v>47</v>
      </c>
      <c r="G986" t="s">
        <v>165</v>
      </c>
      <c r="H986" t="s">
        <v>166</v>
      </c>
      <c r="I986" t="s">
        <v>29</v>
      </c>
      <c r="J986">
        <v>449</v>
      </c>
      <c r="K986">
        <v>1</v>
      </c>
      <c r="L986">
        <v>431.68</v>
      </c>
      <c r="M986">
        <v>86.34</v>
      </c>
      <c r="N986">
        <v>431.68</v>
      </c>
      <c r="O986">
        <v>345.34</v>
      </c>
      <c r="P986" t="s">
        <v>2111</v>
      </c>
      <c r="Q986" t="s">
        <v>1479</v>
      </c>
    </row>
    <row r="987" spans="1:17" x14ac:dyDescent="0.3">
      <c r="A987" t="s">
        <v>834</v>
      </c>
      <c r="B987" t="s">
        <v>833</v>
      </c>
      <c r="C987" s="1">
        <v>46084</v>
      </c>
      <c r="D987" t="s">
        <v>16</v>
      </c>
      <c r="E987" t="s">
        <v>17</v>
      </c>
      <c r="F987" t="s">
        <v>74</v>
      </c>
      <c r="G987" t="s">
        <v>27</v>
      </c>
      <c r="H987" t="s">
        <v>28</v>
      </c>
      <c r="I987" t="s">
        <v>29</v>
      </c>
      <c r="J987">
        <v>1599</v>
      </c>
      <c r="K987">
        <v>1</v>
      </c>
      <c r="L987">
        <v>1728.55</v>
      </c>
      <c r="M987">
        <v>172.86</v>
      </c>
      <c r="N987">
        <v>1728.55</v>
      </c>
      <c r="O987">
        <v>1555.69</v>
      </c>
      <c r="P987" t="s">
        <v>2111</v>
      </c>
      <c r="Q987" t="s">
        <v>789</v>
      </c>
    </row>
    <row r="988" spans="1:17" x14ac:dyDescent="0.3">
      <c r="A988" t="s">
        <v>419</v>
      </c>
      <c r="B988" t="s">
        <v>418</v>
      </c>
      <c r="C988" s="1">
        <v>46047</v>
      </c>
      <c r="D988" t="s">
        <v>41</v>
      </c>
      <c r="E988" t="s">
        <v>17</v>
      </c>
      <c r="F988" t="s">
        <v>74</v>
      </c>
      <c r="G988" t="s">
        <v>18</v>
      </c>
      <c r="H988" t="s">
        <v>19</v>
      </c>
      <c r="I988" t="s">
        <v>20</v>
      </c>
      <c r="J988">
        <v>2799</v>
      </c>
      <c r="K988">
        <v>1</v>
      </c>
      <c r="L988">
        <v>3005.76</v>
      </c>
      <c r="M988">
        <v>601.15</v>
      </c>
      <c r="N988">
        <v>3005.76</v>
      </c>
      <c r="O988">
        <v>2404.61</v>
      </c>
      <c r="P988" t="s">
        <v>2111</v>
      </c>
      <c r="Q988" t="s">
        <v>23</v>
      </c>
    </row>
    <row r="989" spans="1:17" x14ac:dyDescent="0.3">
      <c r="A989" t="s">
        <v>927</v>
      </c>
      <c r="B989" t="s">
        <v>764</v>
      </c>
      <c r="C989" s="1">
        <v>46091</v>
      </c>
      <c r="D989" t="s">
        <v>26</v>
      </c>
      <c r="E989" t="s">
        <v>17</v>
      </c>
      <c r="F989" t="s">
        <v>47</v>
      </c>
      <c r="G989" t="s">
        <v>160</v>
      </c>
      <c r="H989" t="s">
        <v>161</v>
      </c>
      <c r="I989" t="s">
        <v>82</v>
      </c>
      <c r="J989">
        <v>799</v>
      </c>
      <c r="K989">
        <v>1</v>
      </c>
      <c r="L989">
        <v>757.08</v>
      </c>
      <c r="M989">
        <v>37.85</v>
      </c>
      <c r="N989">
        <v>757.08</v>
      </c>
      <c r="O989">
        <v>719.23</v>
      </c>
      <c r="P989" t="s">
        <v>2111</v>
      </c>
      <c r="Q989" t="s">
        <v>789</v>
      </c>
    </row>
    <row r="990" spans="1:17" x14ac:dyDescent="0.3">
      <c r="A990" t="s">
        <v>1987</v>
      </c>
      <c r="B990" t="s">
        <v>1986</v>
      </c>
      <c r="C990" s="1">
        <v>46193</v>
      </c>
      <c r="D990" t="s">
        <v>63</v>
      </c>
      <c r="E990" t="s">
        <v>17</v>
      </c>
      <c r="F990" t="s">
        <v>47</v>
      </c>
      <c r="G990" t="s">
        <v>80</v>
      </c>
      <c r="H990" t="s">
        <v>81</v>
      </c>
      <c r="I990" t="s">
        <v>82</v>
      </c>
      <c r="J990">
        <v>4299</v>
      </c>
      <c r="K990">
        <v>2</v>
      </c>
      <c r="L990">
        <v>3938.91</v>
      </c>
      <c r="M990">
        <v>787.78</v>
      </c>
      <c r="N990">
        <v>7877.82</v>
      </c>
      <c r="O990">
        <v>7090.04</v>
      </c>
      <c r="P990" t="s">
        <v>2111</v>
      </c>
      <c r="Q990" t="s">
        <v>1809</v>
      </c>
    </row>
    <row r="991" spans="1:17" x14ac:dyDescent="0.3">
      <c r="A991" t="s">
        <v>1322</v>
      </c>
      <c r="B991" t="s">
        <v>1321</v>
      </c>
      <c r="C991" s="1">
        <v>46130</v>
      </c>
      <c r="D991" t="s">
        <v>26</v>
      </c>
      <c r="E991" t="s">
        <v>17</v>
      </c>
      <c r="F991" t="s">
        <v>60</v>
      </c>
      <c r="G991" t="s">
        <v>91</v>
      </c>
      <c r="H991" t="s">
        <v>92</v>
      </c>
      <c r="I991" t="s">
        <v>37</v>
      </c>
      <c r="J991">
        <v>1899</v>
      </c>
      <c r="K991">
        <v>3</v>
      </c>
      <c r="L991">
        <v>1947.29</v>
      </c>
      <c r="M991">
        <v>584.19000000000005</v>
      </c>
      <c r="N991">
        <v>5841.87</v>
      </c>
      <c r="O991">
        <v>5257.68</v>
      </c>
      <c r="P991" t="s">
        <v>2114</v>
      </c>
      <c r="Q991" t="s">
        <v>1170</v>
      </c>
    </row>
    <row r="992" spans="1:17" x14ac:dyDescent="0.3">
      <c r="A992" t="s">
        <v>728</v>
      </c>
      <c r="B992" t="s">
        <v>33</v>
      </c>
      <c r="C992" s="1">
        <v>46076</v>
      </c>
      <c r="D992" t="s">
        <v>26</v>
      </c>
      <c r="E992" t="s">
        <v>17</v>
      </c>
      <c r="F992" t="s">
        <v>60</v>
      </c>
      <c r="G992" t="s">
        <v>355</v>
      </c>
      <c r="H992" t="s">
        <v>356</v>
      </c>
      <c r="I992" t="s">
        <v>82</v>
      </c>
      <c r="J992">
        <v>499</v>
      </c>
      <c r="K992">
        <v>1</v>
      </c>
      <c r="L992">
        <v>482.67</v>
      </c>
      <c r="M992">
        <v>0</v>
      </c>
      <c r="N992">
        <v>482.67</v>
      </c>
      <c r="O992">
        <v>482.67</v>
      </c>
      <c r="P992" t="s">
        <v>2111</v>
      </c>
      <c r="Q992" t="s">
        <v>498</v>
      </c>
    </row>
    <row r="993" spans="1:17" x14ac:dyDescent="0.3">
      <c r="A993" t="s">
        <v>2473</v>
      </c>
      <c r="B993" t="s">
        <v>2474</v>
      </c>
      <c r="C993" s="1">
        <v>46159</v>
      </c>
      <c r="D993" t="s">
        <v>26</v>
      </c>
      <c r="E993" t="s">
        <v>17</v>
      </c>
      <c r="F993" t="s">
        <v>22</v>
      </c>
      <c r="G993" t="s">
        <v>56</v>
      </c>
      <c r="H993" t="s">
        <v>57</v>
      </c>
      <c r="I993" t="s">
        <v>58</v>
      </c>
      <c r="J993">
        <v>8999</v>
      </c>
      <c r="K993">
        <v>2</v>
      </c>
      <c r="L993">
        <v>9308.7199999999993</v>
      </c>
      <c r="M993">
        <v>1861.74</v>
      </c>
      <c r="N993">
        <v>18617.439999999999</v>
      </c>
      <c r="O993">
        <v>16755.7</v>
      </c>
      <c r="P993" t="s">
        <v>2111</v>
      </c>
      <c r="Q993" t="s">
        <v>1479</v>
      </c>
    </row>
    <row r="994" spans="1:17" x14ac:dyDescent="0.3">
      <c r="A994" t="s">
        <v>1314</v>
      </c>
      <c r="B994" t="s">
        <v>1313</v>
      </c>
      <c r="C994" s="1">
        <v>46129</v>
      </c>
      <c r="D994" t="s">
        <v>16</v>
      </c>
      <c r="E994" t="s">
        <v>50</v>
      </c>
      <c r="F994" t="s">
        <v>60</v>
      </c>
      <c r="G994" t="s">
        <v>101</v>
      </c>
      <c r="H994" t="s">
        <v>102</v>
      </c>
      <c r="I994" t="s">
        <v>45</v>
      </c>
      <c r="J994">
        <v>4999</v>
      </c>
      <c r="K994">
        <v>1</v>
      </c>
      <c r="L994">
        <v>4531.21</v>
      </c>
      <c r="M994">
        <v>679.68</v>
      </c>
      <c r="N994">
        <v>4531.21</v>
      </c>
      <c r="O994">
        <v>3851.53</v>
      </c>
      <c r="P994" t="s">
        <v>2111</v>
      </c>
      <c r="Q994" t="s">
        <v>1170</v>
      </c>
    </row>
    <row r="995" spans="1:17" x14ac:dyDescent="0.3">
      <c r="A995" t="s">
        <v>1173</v>
      </c>
      <c r="B995" t="s">
        <v>1172</v>
      </c>
      <c r="C995" s="1">
        <v>46113</v>
      </c>
      <c r="D995" t="s">
        <v>16</v>
      </c>
      <c r="E995" t="s">
        <v>17</v>
      </c>
      <c r="F995" t="s">
        <v>74</v>
      </c>
      <c r="G995" t="s">
        <v>355</v>
      </c>
      <c r="H995" t="s">
        <v>356</v>
      </c>
      <c r="I995" t="s">
        <v>82</v>
      </c>
      <c r="J995">
        <v>499</v>
      </c>
      <c r="K995">
        <v>1</v>
      </c>
      <c r="L995">
        <v>462.41</v>
      </c>
      <c r="M995">
        <v>46.24</v>
      </c>
      <c r="N995">
        <v>462.41</v>
      </c>
      <c r="O995">
        <v>416.17</v>
      </c>
      <c r="P995" t="s">
        <v>2114</v>
      </c>
      <c r="Q995" t="s">
        <v>1170</v>
      </c>
    </row>
    <row r="996" spans="1:17" x14ac:dyDescent="0.3">
      <c r="A996" t="s">
        <v>120</v>
      </c>
      <c r="B996" t="s">
        <v>119</v>
      </c>
      <c r="C996" s="1">
        <v>46027</v>
      </c>
      <c r="D996" t="s">
        <v>26</v>
      </c>
      <c r="E996" t="s">
        <v>50</v>
      </c>
      <c r="F996" t="s">
        <v>74</v>
      </c>
      <c r="G996" t="s">
        <v>165</v>
      </c>
      <c r="H996" t="s">
        <v>166</v>
      </c>
      <c r="I996" t="s">
        <v>29</v>
      </c>
      <c r="J996">
        <v>449</v>
      </c>
      <c r="K996">
        <v>1</v>
      </c>
      <c r="L996">
        <v>465.74</v>
      </c>
      <c r="M996">
        <v>69.86</v>
      </c>
      <c r="N996">
        <v>465.74</v>
      </c>
      <c r="O996">
        <v>395.88</v>
      </c>
      <c r="P996" t="s">
        <v>2111</v>
      </c>
      <c r="Q996" t="s">
        <v>23</v>
      </c>
    </row>
    <row r="997" spans="1:17" x14ac:dyDescent="0.3">
      <c r="A997" t="s">
        <v>2671</v>
      </c>
      <c r="B997" t="s">
        <v>1236</v>
      </c>
      <c r="C997" s="1">
        <v>46138</v>
      </c>
      <c r="D997" t="s">
        <v>16</v>
      </c>
      <c r="E997" t="s">
        <v>17</v>
      </c>
      <c r="F997" t="s">
        <v>22</v>
      </c>
      <c r="G997" t="s">
        <v>96</v>
      </c>
      <c r="H997" t="s">
        <v>97</v>
      </c>
      <c r="I997" t="s">
        <v>58</v>
      </c>
      <c r="J997">
        <v>7499</v>
      </c>
      <c r="K997">
        <v>3</v>
      </c>
      <c r="L997">
        <v>7067.61</v>
      </c>
      <c r="M997">
        <v>2120.2800000000002</v>
      </c>
      <c r="N997">
        <v>21202.83</v>
      </c>
      <c r="O997">
        <v>19082.55</v>
      </c>
      <c r="P997" t="s">
        <v>2111</v>
      </c>
      <c r="Q997" t="s">
        <v>1170</v>
      </c>
    </row>
    <row r="998" spans="1:17" x14ac:dyDescent="0.3">
      <c r="A998" t="s">
        <v>1669</v>
      </c>
      <c r="B998" t="s">
        <v>1668</v>
      </c>
      <c r="C998" s="1">
        <v>46158</v>
      </c>
      <c r="D998" t="s">
        <v>16</v>
      </c>
      <c r="E998" t="s">
        <v>17</v>
      </c>
      <c r="F998" t="s">
        <v>74</v>
      </c>
      <c r="G998" t="s">
        <v>18</v>
      </c>
      <c r="H998" t="s">
        <v>19</v>
      </c>
      <c r="I998" t="s">
        <v>20</v>
      </c>
      <c r="J998">
        <v>2799</v>
      </c>
      <c r="K998">
        <v>2</v>
      </c>
      <c r="L998">
        <v>2999.18</v>
      </c>
      <c r="M998">
        <v>0</v>
      </c>
      <c r="N998">
        <v>5998.36</v>
      </c>
      <c r="O998">
        <v>5998.36</v>
      </c>
      <c r="P998" t="s">
        <v>2111</v>
      </c>
      <c r="Q998" t="s">
        <v>1479</v>
      </c>
    </row>
    <row r="999" spans="1:17" x14ac:dyDescent="0.3">
      <c r="A999" t="s">
        <v>386</v>
      </c>
      <c r="B999" t="s">
        <v>385</v>
      </c>
      <c r="C999" s="1">
        <v>46044</v>
      </c>
      <c r="D999" t="s">
        <v>26</v>
      </c>
      <c r="E999" t="s">
        <v>17</v>
      </c>
      <c r="F999" t="s">
        <v>22</v>
      </c>
      <c r="G999" t="s">
        <v>355</v>
      </c>
      <c r="H999" t="s">
        <v>356</v>
      </c>
      <c r="I999" t="s">
        <v>82</v>
      </c>
      <c r="J999">
        <v>499</v>
      </c>
      <c r="K999">
        <v>2</v>
      </c>
      <c r="L999">
        <v>454.95</v>
      </c>
      <c r="M999">
        <v>0</v>
      </c>
      <c r="N999">
        <v>909.9</v>
      </c>
      <c r="O999">
        <v>909.9</v>
      </c>
      <c r="P999" t="s">
        <v>2111</v>
      </c>
      <c r="Q999" t="s">
        <v>23</v>
      </c>
    </row>
    <row r="1000" spans="1:17" x14ac:dyDescent="0.3">
      <c r="A1000" t="s">
        <v>241</v>
      </c>
      <c r="B1000" t="s">
        <v>240</v>
      </c>
      <c r="C1000" s="1">
        <v>46034</v>
      </c>
      <c r="D1000" t="s">
        <v>26</v>
      </c>
      <c r="E1000" t="s">
        <v>17</v>
      </c>
      <c r="F1000" t="s">
        <v>22</v>
      </c>
      <c r="G1000" t="s">
        <v>355</v>
      </c>
      <c r="H1000" t="s">
        <v>356</v>
      </c>
      <c r="I1000" t="s">
        <v>82</v>
      </c>
      <c r="J1000">
        <v>499</v>
      </c>
      <c r="K1000">
        <v>2</v>
      </c>
      <c r="L1000">
        <v>470.61</v>
      </c>
      <c r="M1000">
        <v>94.12</v>
      </c>
      <c r="N1000">
        <v>941.22</v>
      </c>
      <c r="O1000">
        <v>847.1</v>
      </c>
      <c r="P1000" t="s">
        <v>2111</v>
      </c>
      <c r="Q1000" t="s">
        <v>23</v>
      </c>
    </row>
    <row r="1001" spans="1:17" x14ac:dyDescent="0.3">
      <c r="A1001" t="s">
        <v>2181</v>
      </c>
      <c r="B1001" t="s">
        <v>2182</v>
      </c>
      <c r="C1001" s="1">
        <v>46080</v>
      </c>
      <c r="D1001" t="s">
        <v>63</v>
      </c>
      <c r="E1001" t="s">
        <v>17</v>
      </c>
      <c r="F1001" t="s">
        <v>60</v>
      </c>
      <c r="G1001" t="s">
        <v>112</v>
      </c>
      <c r="H1001" t="s">
        <v>113</v>
      </c>
      <c r="I1001" t="s">
        <v>37</v>
      </c>
      <c r="J1001">
        <v>1499</v>
      </c>
      <c r="K1001">
        <v>2</v>
      </c>
      <c r="L1001">
        <v>1648.47</v>
      </c>
      <c r="M1001">
        <v>164.85</v>
      </c>
      <c r="N1001">
        <v>3296.94</v>
      </c>
      <c r="O1001">
        <v>3132.09</v>
      </c>
      <c r="P1001" t="s">
        <v>2111</v>
      </c>
      <c r="Q1001" t="s">
        <v>498</v>
      </c>
    </row>
    <row r="1002" spans="1:17" x14ac:dyDescent="0.3">
      <c r="A1002" t="s">
        <v>2329</v>
      </c>
      <c r="B1002" t="s">
        <v>2330</v>
      </c>
      <c r="C1002" s="1">
        <v>46071</v>
      </c>
      <c r="D1002" t="s">
        <v>34</v>
      </c>
      <c r="E1002" t="s">
        <v>17</v>
      </c>
      <c r="F1002" t="s">
        <v>60</v>
      </c>
      <c r="G1002" t="s">
        <v>96</v>
      </c>
      <c r="H1002" t="s">
        <v>97</v>
      </c>
      <c r="I1002" t="s">
        <v>58</v>
      </c>
      <c r="J1002">
        <v>7499</v>
      </c>
      <c r="K1002">
        <v>4</v>
      </c>
      <c r="L1002">
        <v>7398.63</v>
      </c>
      <c r="M1002">
        <v>0</v>
      </c>
      <c r="N1002">
        <v>29594.52</v>
      </c>
      <c r="O1002">
        <v>29594.52</v>
      </c>
      <c r="P1002" t="s">
        <v>2111</v>
      </c>
      <c r="Q1002" t="s">
        <v>498</v>
      </c>
    </row>
    <row r="1003" spans="1:17" x14ac:dyDescent="0.3">
      <c r="A1003" t="s">
        <v>667</v>
      </c>
      <c r="B1003" t="s">
        <v>666</v>
      </c>
      <c r="C1003" s="1">
        <v>46071</v>
      </c>
      <c r="D1003" t="s">
        <v>34</v>
      </c>
      <c r="E1003" t="s">
        <v>50</v>
      </c>
      <c r="F1003" t="s">
        <v>22</v>
      </c>
      <c r="G1003" t="s">
        <v>101</v>
      </c>
      <c r="H1003" t="s">
        <v>102</v>
      </c>
      <c r="I1003" t="s">
        <v>45</v>
      </c>
      <c r="J1003">
        <v>4999</v>
      </c>
      <c r="K1003">
        <v>2</v>
      </c>
      <c r="L1003">
        <v>5201.93</v>
      </c>
      <c r="M1003">
        <v>1040.3900000000001</v>
      </c>
      <c r="N1003">
        <v>10403.86</v>
      </c>
      <c r="O1003">
        <v>9363.4699999999993</v>
      </c>
      <c r="P1003" t="s">
        <v>2111</v>
      </c>
      <c r="Q1003" t="s">
        <v>498</v>
      </c>
    </row>
    <row r="1004" spans="1:17" x14ac:dyDescent="0.3">
      <c r="A1004" t="s">
        <v>2672</v>
      </c>
      <c r="B1004" t="s">
        <v>2673</v>
      </c>
      <c r="C1004" s="1">
        <v>46053</v>
      </c>
      <c r="D1004" t="s">
        <v>16</v>
      </c>
      <c r="E1004" t="s">
        <v>50</v>
      </c>
      <c r="F1004" t="s">
        <v>47</v>
      </c>
      <c r="G1004" t="s">
        <v>27</v>
      </c>
      <c r="H1004" t="s">
        <v>28</v>
      </c>
      <c r="I1004" t="s">
        <v>29</v>
      </c>
      <c r="J1004">
        <v>1599</v>
      </c>
      <c r="K1004">
        <v>3</v>
      </c>
      <c r="L1004">
        <v>1497.52</v>
      </c>
      <c r="M1004">
        <v>449.26</v>
      </c>
      <c r="N1004">
        <v>4492.5600000000004</v>
      </c>
      <c r="O1004">
        <v>4043.3</v>
      </c>
      <c r="P1004" t="s">
        <v>2111</v>
      </c>
      <c r="Q1004" t="s">
        <v>23</v>
      </c>
    </row>
    <row r="1005" spans="1:17" x14ac:dyDescent="0.3">
      <c r="A1005" t="s">
        <v>2484</v>
      </c>
      <c r="B1005" t="s">
        <v>33</v>
      </c>
      <c r="C1005" s="1">
        <v>46136</v>
      </c>
      <c r="D1005" t="s">
        <v>34</v>
      </c>
      <c r="E1005" t="s">
        <v>50</v>
      </c>
      <c r="F1005" t="s">
        <v>31</v>
      </c>
      <c r="G1005" t="s">
        <v>51</v>
      </c>
      <c r="H1005" t="s">
        <v>52</v>
      </c>
      <c r="I1005" t="s">
        <v>20</v>
      </c>
      <c r="J1005">
        <v>999</v>
      </c>
      <c r="K1005">
        <v>1</v>
      </c>
      <c r="L1005">
        <v>1020.95</v>
      </c>
      <c r="M1005">
        <v>51.05</v>
      </c>
      <c r="N1005">
        <v>1020.95</v>
      </c>
      <c r="O1005">
        <v>969.9</v>
      </c>
      <c r="P1005" t="s">
        <v>2111</v>
      </c>
      <c r="Q1005" t="s">
        <v>1170</v>
      </c>
    </row>
    <row r="1006" spans="1:17" x14ac:dyDescent="0.3">
      <c r="A1006" t="s">
        <v>2381</v>
      </c>
      <c r="B1006" t="s">
        <v>2382</v>
      </c>
      <c r="C1006" s="1">
        <v>46139</v>
      </c>
      <c r="D1006" t="s">
        <v>34</v>
      </c>
      <c r="E1006" t="s">
        <v>50</v>
      </c>
      <c r="F1006" t="s">
        <v>60</v>
      </c>
      <c r="G1006" t="s">
        <v>91</v>
      </c>
      <c r="H1006" t="s">
        <v>92</v>
      </c>
      <c r="I1006" t="s">
        <v>37</v>
      </c>
      <c r="J1006">
        <v>1899</v>
      </c>
      <c r="K1006">
        <v>1</v>
      </c>
      <c r="L1006">
        <v>1984.88</v>
      </c>
      <c r="M1006">
        <v>297.73</v>
      </c>
      <c r="N1006">
        <v>1984.88</v>
      </c>
      <c r="O1006">
        <v>1687.15</v>
      </c>
      <c r="P1006" t="s">
        <v>2111</v>
      </c>
      <c r="Q1006" t="s">
        <v>1170</v>
      </c>
    </row>
    <row r="1007" spans="1:17" x14ac:dyDescent="0.3">
      <c r="A1007" t="s">
        <v>2460</v>
      </c>
      <c r="B1007" t="s">
        <v>2461</v>
      </c>
      <c r="C1007" s="1">
        <v>46103</v>
      </c>
      <c r="D1007" t="s">
        <v>16</v>
      </c>
      <c r="E1007" t="s">
        <v>50</v>
      </c>
      <c r="F1007" t="s">
        <v>47</v>
      </c>
      <c r="G1007" t="s">
        <v>56</v>
      </c>
      <c r="H1007" t="s">
        <v>57</v>
      </c>
      <c r="I1007" t="s">
        <v>58</v>
      </c>
      <c r="J1007">
        <v>8999</v>
      </c>
      <c r="K1007">
        <v>1</v>
      </c>
      <c r="L1007">
        <v>8665.1</v>
      </c>
      <c r="M1007">
        <v>1299.77</v>
      </c>
      <c r="N1007">
        <v>8665.1</v>
      </c>
      <c r="O1007">
        <v>7365.33</v>
      </c>
      <c r="P1007" t="s">
        <v>2111</v>
      </c>
      <c r="Q1007" t="s">
        <v>789</v>
      </c>
    </row>
    <row r="1008" spans="1:17" x14ac:dyDescent="0.3">
      <c r="A1008" t="s">
        <v>2620</v>
      </c>
      <c r="B1008" t="s">
        <v>2621</v>
      </c>
      <c r="C1008" s="1">
        <v>46179</v>
      </c>
      <c r="D1008" t="s">
        <v>16</v>
      </c>
      <c r="E1008" t="s">
        <v>42</v>
      </c>
      <c r="F1008" t="s">
        <v>47</v>
      </c>
      <c r="G1008" t="s">
        <v>91</v>
      </c>
      <c r="H1008" t="s">
        <v>92</v>
      </c>
      <c r="I1008" t="s">
        <v>37</v>
      </c>
      <c r="J1008">
        <v>1899</v>
      </c>
      <c r="K1008">
        <v>1</v>
      </c>
      <c r="L1008">
        <v>2023.92</v>
      </c>
      <c r="M1008">
        <v>101.2</v>
      </c>
      <c r="N1008">
        <v>2023.92</v>
      </c>
      <c r="O1008">
        <v>1922.72</v>
      </c>
      <c r="P1008" t="s">
        <v>2111</v>
      </c>
      <c r="Q1008" t="s">
        <v>1809</v>
      </c>
    </row>
    <row r="1009" spans="1:17" x14ac:dyDescent="0.3">
      <c r="A1009" t="s">
        <v>2653</v>
      </c>
      <c r="B1009" t="s">
        <v>557</v>
      </c>
      <c r="C1009" s="1">
        <v>46062</v>
      </c>
      <c r="D1009" t="s">
        <v>63</v>
      </c>
      <c r="E1009" t="s">
        <v>42</v>
      </c>
      <c r="F1009" t="s">
        <v>31</v>
      </c>
      <c r="G1009" t="s">
        <v>112</v>
      </c>
      <c r="H1009" t="s">
        <v>113</v>
      </c>
      <c r="I1009" t="s">
        <v>37</v>
      </c>
      <c r="J1009">
        <v>1499</v>
      </c>
      <c r="K1009">
        <v>1</v>
      </c>
      <c r="L1009">
        <v>1530</v>
      </c>
      <c r="M1009">
        <v>229.5</v>
      </c>
      <c r="N1009">
        <v>1530</v>
      </c>
      <c r="O1009">
        <v>1300.5</v>
      </c>
      <c r="P1009" t="s">
        <v>2111</v>
      </c>
      <c r="Q1009" t="s">
        <v>498</v>
      </c>
    </row>
    <row r="1010" spans="1:17" x14ac:dyDescent="0.3">
      <c r="A1010" t="s">
        <v>1660</v>
      </c>
      <c r="B1010" t="s">
        <v>1659</v>
      </c>
      <c r="C1010" s="1">
        <v>46157</v>
      </c>
      <c r="D1010" t="s">
        <v>63</v>
      </c>
      <c r="E1010" t="s">
        <v>42</v>
      </c>
      <c r="F1010" t="s">
        <v>31</v>
      </c>
      <c r="G1010" t="s">
        <v>355</v>
      </c>
      <c r="H1010" t="s">
        <v>356</v>
      </c>
      <c r="I1010" t="s">
        <v>82</v>
      </c>
      <c r="J1010">
        <v>499</v>
      </c>
      <c r="K1010">
        <v>1</v>
      </c>
      <c r="L1010">
        <v>487.93</v>
      </c>
      <c r="M1010">
        <v>73.19</v>
      </c>
      <c r="N1010">
        <v>487.93</v>
      </c>
      <c r="O1010">
        <v>414.74</v>
      </c>
      <c r="P1010" t="s">
        <v>2111</v>
      </c>
      <c r="Q1010" t="s">
        <v>1479</v>
      </c>
    </row>
    <row r="1011" spans="1:17" x14ac:dyDescent="0.3">
      <c r="A1011" t="s">
        <v>2158</v>
      </c>
      <c r="B1011" t="s">
        <v>2159</v>
      </c>
      <c r="C1011" s="1">
        <v>46139</v>
      </c>
      <c r="D1011" t="s">
        <v>63</v>
      </c>
      <c r="E1011" t="s">
        <v>50</v>
      </c>
      <c r="F1011" t="s">
        <v>22</v>
      </c>
      <c r="G1011" t="s">
        <v>355</v>
      </c>
      <c r="H1011" t="s">
        <v>356</v>
      </c>
      <c r="I1011" t="s">
        <v>82</v>
      </c>
      <c r="J1011">
        <v>499</v>
      </c>
      <c r="K1011">
        <v>2</v>
      </c>
      <c r="L1011">
        <v>504.75</v>
      </c>
      <c r="M1011">
        <v>151.41999999999999</v>
      </c>
      <c r="N1011">
        <v>1009.5</v>
      </c>
      <c r="O1011">
        <v>858.08</v>
      </c>
      <c r="P1011" t="s">
        <v>2111</v>
      </c>
      <c r="Q1011" t="s">
        <v>1170</v>
      </c>
    </row>
    <row r="1012" spans="1:17" x14ac:dyDescent="0.3">
      <c r="A1012" t="s">
        <v>2465</v>
      </c>
      <c r="B1012" t="s">
        <v>2189</v>
      </c>
      <c r="C1012" s="1">
        <v>46076</v>
      </c>
      <c r="D1012" t="s">
        <v>63</v>
      </c>
      <c r="E1012" t="s">
        <v>42</v>
      </c>
      <c r="F1012" t="s">
        <v>22</v>
      </c>
      <c r="G1012" t="s">
        <v>86</v>
      </c>
      <c r="H1012" t="s">
        <v>87</v>
      </c>
      <c r="I1012" t="s">
        <v>82</v>
      </c>
      <c r="J1012">
        <v>3499</v>
      </c>
      <c r="K1012">
        <v>1</v>
      </c>
      <c r="L1012">
        <v>3552.72</v>
      </c>
      <c r="M1012">
        <v>355.27</v>
      </c>
      <c r="N1012">
        <v>3552.72</v>
      </c>
      <c r="O1012">
        <v>3197.45</v>
      </c>
      <c r="P1012" t="s">
        <v>2111</v>
      </c>
      <c r="Q1012" t="s">
        <v>498</v>
      </c>
    </row>
    <row r="1013" spans="1:17" x14ac:dyDescent="0.3">
      <c r="A1013" t="s">
        <v>652</v>
      </c>
      <c r="B1013" t="s">
        <v>651</v>
      </c>
      <c r="C1013" s="1">
        <v>46068</v>
      </c>
      <c r="D1013" t="s">
        <v>16</v>
      </c>
      <c r="E1013" t="s">
        <v>17</v>
      </c>
      <c r="F1013" t="s">
        <v>60</v>
      </c>
      <c r="G1013" t="s">
        <v>112</v>
      </c>
      <c r="H1013" t="s">
        <v>113</v>
      </c>
      <c r="I1013" t="s">
        <v>37</v>
      </c>
      <c r="J1013">
        <v>1499</v>
      </c>
      <c r="K1013">
        <v>1</v>
      </c>
      <c r="L1013">
        <v>1398.73</v>
      </c>
      <c r="M1013">
        <v>0</v>
      </c>
      <c r="N1013">
        <v>1398.73</v>
      </c>
      <c r="O1013">
        <v>1398.73</v>
      </c>
      <c r="P1013" t="s">
        <v>2114</v>
      </c>
      <c r="Q1013" t="s">
        <v>498</v>
      </c>
    </row>
    <row r="1014" spans="1:17" x14ac:dyDescent="0.3">
      <c r="A1014" t="s">
        <v>2175</v>
      </c>
      <c r="B1014" t="s">
        <v>1674</v>
      </c>
      <c r="C1014" s="1">
        <v>46198</v>
      </c>
      <c r="D1014" t="s">
        <v>26</v>
      </c>
      <c r="E1014" t="s">
        <v>50</v>
      </c>
      <c r="F1014" t="s">
        <v>74</v>
      </c>
      <c r="G1014" t="s">
        <v>86</v>
      </c>
      <c r="H1014" t="s">
        <v>87</v>
      </c>
      <c r="I1014" t="s">
        <v>82</v>
      </c>
      <c r="J1014">
        <v>3499</v>
      </c>
      <c r="K1014">
        <v>1</v>
      </c>
      <c r="L1014">
        <v>3430.93</v>
      </c>
      <c r="M1014">
        <v>514.64</v>
      </c>
      <c r="N1014">
        <v>3430.93</v>
      </c>
      <c r="O1014">
        <v>2916.29</v>
      </c>
      <c r="P1014" t="s">
        <v>2111</v>
      </c>
      <c r="Q1014" t="s">
        <v>1809</v>
      </c>
    </row>
    <row r="1015" spans="1:17" x14ac:dyDescent="0.3">
      <c r="A1015" t="s">
        <v>1713</v>
      </c>
      <c r="B1015" t="s">
        <v>1712</v>
      </c>
      <c r="C1015" s="1">
        <v>46164</v>
      </c>
      <c r="D1015" t="s">
        <v>16</v>
      </c>
      <c r="E1015" t="s">
        <v>50</v>
      </c>
      <c r="F1015" t="s">
        <v>74</v>
      </c>
      <c r="G1015" t="s">
        <v>18</v>
      </c>
      <c r="H1015" t="s">
        <v>19</v>
      </c>
      <c r="I1015" t="s">
        <v>20</v>
      </c>
      <c r="J1015">
        <v>2799</v>
      </c>
      <c r="K1015">
        <v>3</v>
      </c>
      <c r="L1015">
        <v>2711.35</v>
      </c>
      <c r="M1015">
        <v>406.7</v>
      </c>
      <c r="N1015">
        <v>8134.05</v>
      </c>
      <c r="O1015">
        <v>7727.35</v>
      </c>
      <c r="P1015" t="s">
        <v>2111</v>
      </c>
      <c r="Q1015" t="s">
        <v>1479</v>
      </c>
    </row>
    <row r="1016" spans="1:17" x14ac:dyDescent="0.3">
      <c r="A1016" t="s">
        <v>1297</v>
      </c>
      <c r="B1016" t="s">
        <v>1296</v>
      </c>
      <c r="C1016" s="1">
        <v>46127</v>
      </c>
      <c r="D1016" t="s">
        <v>41</v>
      </c>
      <c r="E1016" t="s">
        <v>17</v>
      </c>
      <c r="F1016" t="s">
        <v>47</v>
      </c>
      <c r="G1016" t="s">
        <v>191</v>
      </c>
      <c r="H1016" t="s">
        <v>192</v>
      </c>
      <c r="I1016" t="s">
        <v>45</v>
      </c>
      <c r="J1016">
        <v>699</v>
      </c>
      <c r="K1016">
        <v>1</v>
      </c>
      <c r="L1016">
        <v>685.15</v>
      </c>
      <c r="M1016">
        <v>137.03</v>
      </c>
      <c r="N1016">
        <v>685.15</v>
      </c>
      <c r="O1016">
        <v>548.12</v>
      </c>
      <c r="P1016" t="s">
        <v>2111</v>
      </c>
      <c r="Q1016" t="s">
        <v>1170</v>
      </c>
    </row>
    <row r="1017" spans="1:17" x14ac:dyDescent="0.3">
      <c r="A1017" t="s">
        <v>1080</v>
      </c>
      <c r="B1017" t="s">
        <v>1079</v>
      </c>
      <c r="C1017" s="1">
        <v>46104</v>
      </c>
      <c r="D1017" t="s">
        <v>41</v>
      </c>
      <c r="E1017" t="s">
        <v>17</v>
      </c>
      <c r="F1017" t="s">
        <v>47</v>
      </c>
      <c r="G1017" t="s">
        <v>160</v>
      </c>
      <c r="H1017" t="s">
        <v>161</v>
      </c>
      <c r="I1017" t="s">
        <v>82</v>
      </c>
      <c r="J1017">
        <v>799</v>
      </c>
      <c r="K1017">
        <v>1</v>
      </c>
      <c r="L1017">
        <v>840.73</v>
      </c>
      <c r="M1017">
        <v>126.11</v>
      </c>
      <c r="N1017">
        <v>840.73</v>
      </c>
      <c r="O1017">
        <v>714.62</v>
      </c>
      <c r="P1017" t="s">
        <v>2111</v>
      </c>
      <c r="Q1017" t="s">
        <v>789</v>
      </c>
    </row>
    <row r="1018" spans="1:17" x14ac:dyDescent="0.3">
      <c r="A1018" t="s">
        <v>2674</v>
      </c>
      <c r="B1018" t="s">
        <v>2675</v>
      </c>
      <c r="C1018" s="1">
        <v>46184</v>
      </c>
      <c r="D1018" t="s">
        <v>34</v>
      </c>
      <c r="E1018" t="s">
        <v>50</v>
      </c>
      <c r="F1018" t="s">
        <v>74</v>
      </c>
      <c r="G1018" t="s">
        <v>43</v>
      </c>
      <c r="H1018" t="s">
        <v>44</v>
      </c>
      <c r="I1018" t="s">
        <v>45</v>
      </c>
      <c r="J1018">
        <v>3299</v>
      </c>
      <c r="K1018">
        <v>2</v>
      </c>
      <c r="L1018">
        <v>3287.48</v>
      </c>
      <c r="M1018">
        <v>657.5</v>
      </c>
      <c r="N1018">
        <v>6574.96</v>
      </c>
      <c r="O1018">
        <v>5917.46</v>
      </c>
      <c r="P1018" t="s">
        <v>2111</v>
      </c>
      <c r="Q1018" t="s">
        <v>1809</v>
      </c>
    </row>
    <row r="1019" spans="1:17" x14ac:dyDescent="0.3">
      <c r="A1019" t="s">
        <v>688</v>
      </c>
      <c r="B1019" t="s">
        <v>687</v>
      </c>
      <c r="C1019" s="1">
        <v>46072</v>
      </c>
      <c r="D1019" t="s">
        <v>34</v>
      </c>
      <c r="E1019" t="s">
        <v>50</v>
      </c>
      <c r="F1019" t="s">
        <v>31</v>
      </c>
      <c r="G1019" t="s">
        <v>35</v>
      </c>
      <c r="H1019" t="s">
        <v>36</v>
      </c>
      <c r="I1019" t="s">
        <v>37</v>
      </c>
      <c r="J1019">
        <v>799</v>
      </c>
      <c r="K1019">
        <v>1</v>
      </c>
      <c r="L1019">
        <v>869.36</v>
      </c>
      <c r="M1019">
        <v>43.47</v>
      </c>
      <c r="N1019">
        <v>869.36</v>
      </c>
      <c r="O1019">
        <v>825.89</v>
      </c>
      <c r="P1019" t="s">
        <v>2111</v>
      </c>
      <c r="Q1019" t="s">
        <v>498</v>
      </c>
    </row>
    <row r="1020" spans="1:17" x14ac:dyDescent="0.3">
      <c r="A1020" t="s">
        <v>2560</v>
      </c>
      <c r="B1020" t="s">
        <v>2561</v>
      </c>
      <c r="C1020" s="1">
        <v>46123</v>
      </c>
      <c r="D1020" t="s">
        <v>41</v>
      </c>
      <c r="E1020" t="s">
        <v>50</v>
      </c>
      <c r="F1020" t="s">
        <v>31</v>
      </c>
      <c r="G1020" t="s">
        <v>106</v>
      </c>
      <c r="H1020" t="s">
        <v>107</v>
      </c>
      <c r="I1020" t="s">
        <v>108</v>
      </c>
      <c r="J1020">
        <v>599</v>
      </c>
      <c r="K1020">
        <v>1</v>
      </c>
      <c r="L1020">
        <v>574.28</v>
      </c>
      <c r="M1020">
        <v>28.71</v>
      </c>
      <c r="N1020">
        <v>574.28</v>
      </c>
      <c r="O1020">
        <v>545.57000000000005</v>
      </c>
      <c r="P1020" t="s">
        <v>2111</v>
      </c>
      <c r="Q1020" t="s">
        <v>1170</v>
      </c>
    </row>
    <row r="1021" spans="1:17" x14ac:dyDescent="0.3">
      <c r="A1021" t="s">
        <v>2374</v>
      </c>
      <c r="B1021" t="s">
        <v>1468</v>
      </c>
      <c r="C1021" s="1">
        <v>46056</v>
      </c>
      <c r="D1021" t="s">
        <v>26</v>
      </c>
      <c r="E1021" t="s">
        <v>17</v>
      </c>
      <c r="F1021" t="s">
        <v>22</v>
      </c>
      <c r="G1021" t="s">
        <v>96</v>
      </c>
      <c r="H1021" t="s">
        <v>97</v>
      </c>
      <c r="I1021" t="s">
        <v>58</v>
      </c>
      <c r="J1021">
        <v>7499</v>
      </c>
      <c r="K1021">
        <v>1</v>
      </c>
      <c r="L1021">
        <v>7372.57</v>
      </c>
      <c r="M1021">
        <v>368.63</v>
      </c>
      <c r="N1021">
        <v>7372.57</v>
      </c>
      <c r="O1021">
        <v>7003.94</v>
      </c>
      <c r="P1021" t="s">
        <v>2111</v>
      </c>
      <c r="Q1021" t="s">
        <v>498</v>
      </c>
    </row>
    <row r="1022" spans="1:17" x14ac:dyDescent="0.3">
      <c r="A1022" t="s">
        <v>1141</v>
      </c>
      <c r="B1022" t="s">
        <v>1140</v>
      </c>
      <c r="C1022" s="1">
        <v>46109</v>
      </c>
      <c r="D1022" t="s">
        <v>63</v>
      </c>
      <c r="E1022" t="s">
        <v>17</v>
      </c>
      <c r="F1022" t="s">
        <v>22</v>
      </c>
      <c r="G1022" t="s">
        <v>101</v>
      </c>
      <c r="H1022" t="s">
        <v>102</v>
      </c>
      <c r="I1022" t="s">
        <v>45</v>
      </c>
      <c r="J1022">
        <v>4999</v>
      </c>
      <c r="K1022">
        <v>1</v>
      </c>
      <c r="L1022">
        <v>5285.9</v>
      </c>
      <c r="M1022">
        <v>528.59</v>
      </c>
      <c r="N1022">
        <v>5285.9</v>
      </c>
      <c r="O1022">
        <v>4757.3100000000004</v>
      </c>
      <c r="P1022" t="s">
        <v>2111</v>
      </c>
      <c r="Q1022" t="s">
        <v>789</v>
      </c>
    </row>
    <row r="1023" spans="1:17" x14ac:dyDescent="0.3">
      <c r="A1023" t="s">
        <v>564</v>
      </c>
      <c r="B1023" t="s">
        <v>563</v>
      </c>
      <c r="C1023" s="1">
        <v>46059</v>
      </c>
      <c r="D1023" t="s">
        <v>63</v>
      </c>
      <c r="E1023" t="s">
        <v>50</v>
      </c>
      <c r="F1023" t="s">
        <v>22</v>
      </c>
      <c r="G1023" t="s">
        <v>51</v>
      </c>
      <c r="H1023" t="s">
        <v>52</v>
      </c>
      <c r="I1023" t="s">
        <v>20</v>
      </c>
      <c r="J1023">
        <v>999</v>
      </c>
      <c r="K1023">
        <v>4</v>
      </c>
      <c r="L1023">
        <v>1008.2</v>
      </c>
      <c r="M1023">
        <v>201.64</v>
      </c>
      <c r="N1023">
        <v>4032.8</v>
      </c>
      <c r="O1023">
        <v>3831.16</v>
      </c>
      <c r="P1023" t="s">
        <v>2111</v>
      </c>
      <c r="Q1023" t="s">
        <v>498</v>
      </c>
    </row>
    <row r="1024" spans="1:17" x14ac:dyDescent="0.3">
      <c r="A1024" t="s">
        <v>1161</v>
      </c>
      <c r="B1024" t="s">
        <v>1160</v>
      </c>
      <c r="C1024" s="1">
        <v>46112</v>
      </c>
      <c r="D1024" t="s">
        <v>34</v>
      </c>
      <c r="E1024" t="s">
        <v>42</v>
      </c>
      <c r="F1024" t="s">
        <v>47</v>
      </c>
      <c r="G1024" t="s">
        <v>27</v>
      </c>
      <c r="H1024" t="s">
        <v>28</v>
      </c>
      <c r="I1024" t="s">
        <v>29</v>
      </c>
      <c r="J1024">
        <v>1599</v>
      </c>
      <c r="K1024">
        <v>1</v>
      </c>
      <c r="L1024">
        <v>1614.04</v>
      </c>
      <c r="M1024">
        <v>161.4</v>
      </c>
      <c r="N1024">
        <v>1614.04</v>
      </c>
      <c r="O1024">
        <v>1452.64</v>
      </c>
      <c r="P1024" t="s">
        <v>2111</v>
      </c>
      <c r="Q1024" t="s">
        <v>789</v>
      </c>
    </row>
    <row r="1025" spans="1:17" x14ac:dyDescent="0.3">
      <c r="A1025" t="s">
        <v>2630</v>
      </c>
      <c r="B1025" t="s">
        <v>2631</v>
      </c>
      <c r="C1025" s="1">
        <v>46048</v>
      </c>
      <c r="D1025" t="s">
        <v>34</v>
      </c>
      <c r="E1025" t="s">
        <v>50</v>
      </c>
      <c r="F1025" t="s">
        <v>22</v>
      </c>
      <c r="G1025" t="s">
        <v>112</v>
      </c>
      <c r="H1025" t="s">
        <v>113</v>
      </c>
      <c r="I1025" t="s">
        <v>37</v>
      </c>
      <c r="J1025">
        <v>1499</v>
      </c>
      <c r="K1025">
        <v>1</v>
      </c>
      <c r="L1025">
        <v>1365.09</v>
      </c>
      <c r="M1025">
        <v>0</v>
      </c>
      <c r="N1025">
        <v>1365.09</v>
      </c>
      <c r="O1025">
        <v>1365.09</v>
      </c>
      <c r="P1025" t="s">
        <v>2114</v>
      </c>
      <c r="Q1025" t="s">
        <v>23</v>
      </c>
    </row>
    <row r="1026" spans="1:17" x14ac:dyDescent="0.3">
      <c r="A1026" t="s">
        <v>1306</v>
      </c>
      <c r="B1026" t="s">
        <v>1305</v>
      </c>
      <c r="C1026" s="1">
        <v>46127</v>
      </c>
      <c r="D1026" t="s">
        <v>16</v>
      </c>
      <c r="E1026" t="s">
        <v>17</v>
      </c>
      <c r="F1026" t="s">
        <v>22</v>
      </c>
      <c r="G1026" t="s">
        <v>191</v>
      </c>
      <c r="H1026" t="s">
        <v>192</v>
      </c>
      <c r="I1026" t="s">
        <v>45</v>
      </c>
      <c r="J1026">
        <v>699</v>
      </c>
      <c r="K1026">
        <v>1</v>
      </c>
      <c r="L1026">
        <v>684.82</v>
      </c>
      <c r="M1026">
        <v>171.2</v>
      </c>
      <c r="N1026">
        <v>684.82</v>
      </c>
      <c r="O1026">
        <v>513.62</v>
      </c>
      <c r="P1026" t="s">
        <v>2111</v>
      </c>
      <c r="Q1026" t="s">
        <v>1170</v>
      </c>
    </row>
    <row r="1027" spans="1:17" x14ac:dyDescent="0.3">
      <c r="A1027" t="s">
        <v>2676</v>
      </c>
      <c r="B1027" t="s">
        <v>2677</v>
      </c>
      <c r="C1027" s="1">
        <v>46069</v>
      </c>
      <c r="D1027" t="s">
        <v>16</v>
      </c>
      <c r="E1027" t="s">
        <v>17</v>
      </c>
      <c r="F1027" t="s">
        <v>22</v>
      </c>
      <c r="G1027" t="s">
        <v>112</v>
      </c>
      <c r="H1027" t="s">
        <v>113</v>
      </c>
      <c r="I1027" t="s">
        <v>37</v>
      </c>
      <c r="J1027">
        <v>1499</v>
      </c>
      <c r="K1027">
        <v>1</v>
      </c>
      <c r="L1027">
        <v>1430.27</v>
      </c>
      <c r="M1027">
        <v>0</v>
      </c>
      <c r="N1027">
        <v>1430.27</v>
      </c>
      <c r="O1027">
        <v>1430.27</v>
      </c>
      <c r="P1027" t="s">
        <v>2111</v>
      </c>
      <c r="Q1027" t="s">
        <v>498</v>
      </c>
    </row>
    <row r="1028" spans="1:17" x14ac:dyDescent="0.3">
      <c r="A1028" t="s">
        <v>2213</v>
      </c>
      <c r="B1028" t="s">
        <v>2214</v>
      </c>
      <c r="C1028" s="1">
        <v>46185</v>
      </c>
      <c r="D1028" t="s">
        <v>26</v>
      </c>
      <c r="E1028" t="s">
        <v>17</v>
      </c>
      <c r="F1028" t="s">
        <v>47</v>
      </c>
      <c r="G1028" t="s">
        <v>56</v>
      </c>
      <c r="H1028" t="s">
        <v>57</v>
      </c>
      <c r="I1028" t="s">
        <v>58</v>
      </c>
      <c r="J1028">
        <v>8999</v>
      </c>
      <c r="K1028">
        <v>2</v>
      </c>
      <c r="L1028">
        <v>9897.7000000000007</v>
      </c>
      <c r="M1028">
        <v>3959.08</v>
      </c>
      <c r="N1028">
        <v>19795.400000000001</v>
      </c>
      <c r="O1028">
        <v>15836.32</v>
      </c>
      <c r="P1028" t="s">
        <v>2111</v>
      </c>
      <c r="Q1028" t="s">
        <v>1809</v>
      </c>
    </row>
    <row r="1029" spans="1:17" x14ac:dyDescent="0.3">
      <c r="A1029" t="s">
        <v>1684</v>
      </c>
      <c r="B1029" t="s">
        <v>1683</v>
      </c>
      <c r="C1029" s="1">
        <v>46160</v>
      </c>
      <c r="D1029" t="s">
        <v>41</v>
      </c>
      <c r="E1029" t="s">
        <v>17</v>
      </c>
      <c r="F1029" t="s">
        <v>60</v>
      </c>
      <c r="G1029" t="s">
        <v>355</v>
      </c>
      <c r="H1029" t="s">
        <v>356</v>
      </c>
      <c r="I1029" t="s">
        <v>82</v>
      </c>
      <c r="J1029">
        <v>499</v>
      </c>
      <c r="K1029">
        <v>1</v>
      </c>
      <c r="L1029">
        <v>479.87</v>
      </c>
      <c r="M1029">
        <v>95.97</v>
      </c>
      <c r="N1029">
        <v>479.87</v>
      </c>
      <c r="O1029">
        <v>383.9</v>
      </c>
      <c r="P1029" t="s">
        <v>2111</v>
      </c>
      <c r="Q1029" t="s">
        <v>1479</v>
      </c>
    </row>
    <row r="1030" spans="1:17" x14ac:dyDescent="0.3">
      <c r="A1030" t="s">
        <v>2308</v>
      </c>
      <c r="B1030" t="s">
        <v>2309</v>
      </c>
      <c r="C1030" s="1">
        <v>46150</v>
      </c>
      <c r="D1030" t="s">
        <v>26</v>
      </c>
      <c r="E1030" t="s">
        <v>50</v>
      </c>
      <c r="F1030" t="s">
        <v>31</v>
      </c>
      <c r="G1030" t="s">
        <v>160</v>
      </c>
      <c r="H1030" t="s">
        <v>161</v>
      </c>
      <c r="I1030" t="s">
        <v>82</v>
      </c>
      <c r="J1030">
        <v>799</v>
      </c>
      <c r="K1030">
        <v>1</v>
      </c>
      <c r="L1030">
        <v>860.44</v>
      </c>
      <c r="M1030">
        <v>86.04</v>
      </c>
      <c r="N1030">
        <v>860.44</v>
      </c>
      <c r="O1030">
        <v>774.4</v>
      </c>
      <c r="P1030" t="s">
        <v>2111</v>
      </c>
      <c r="Q1030" t="s">
        <v>1479</v>
      </c>
    </row>
    <row r="1031" spans="1:17" x14ac:dyDescent="0.3">
      <c r="A1031" t="s">
        <v>1475</v>
      </c>
      <c r="B1031" t="s">
        <v>1474</v>
      </c>
      <c r="C1031" s="1">
        <v>46142</v>
      </c>
      <c r="D1031" t="s">
        <v>26</v>
      </c>
      <c r="E1031" t="s">
        <v>17</v>
      </c>
      <c r="F1031" t="s">
        <v>22</v>
      </c>
      <c r="G1031" t="s">
        <v>101</v>
      </c>
      <c r="H1031" t="s">
        <v>102</v>
      </c>
      <c r="I1031" t="s">
        <v>45</v>
      </c>
      <c r="J1031">
        <v>4999</v>
      </c>
      <c r="K1031">
        <v>1</v>
      </c>
      <c r="L1031">
        <v>5175.2</v>
      </c>
      <c r="M1031">
        <v>776.28</v>
      </c>
      <c r="N1031">
        <v>5175.2</v>
      </c>
      <c r="O1031">
        <v>4398.92</v>
      </c>
      <c r="P1031" t="s">
        <v>2111</v>
      </c>
      <c r="Q1031" t="s">
        <v>1170</v>
      </c>
    </row>
    <row r="1032" spans="1:17" x14ac:dyDescent="0.3">
      <c r="A1032" t="s">
        <v>1593</v>
      </c>
      <c r="B1032" t="s">
        <v>1592</v>
      </c>
      <c r="C1032" s="1">
        <v>46152</v>
      </c>
      <c r="D1032" t="s">
        <v>41</v>
      </c>
      <c r="E1032" t="s">
        <v>50</v>
      </c>
      <c r="F1032" t="s">
        <v>60</v>
      </c>
      <c r="G1032" t="s">
        <v>91</v>
      </c>
      <c r="H1032" t="s">
        <v>92</v>
      </c>
      <c r="I1032" t="s">
        <v>37</v>
      </c>
      <c r="J1032">
        <v>1899</v>
      </c>
      <c r="K1032">
        <v>1</v>
      </c>
      <c r="L1032">
        <v>1838.58</v>
      </c>
      <c r="M1032">
        <v>183.86</v>
      </c>
      <c r="N1032">
        <v>1838.58</v>
      </c>
      <c r="O1032">
        <v>1654.72</v>
      </c>
      <c r="P1032" t="s">
        <v>2111</v>
      </c>
      <c r="Q1032" t="s">
        <v>1479</v>
      </c>
    </row>
    <row r="1033" spans="1:17" x14ac:dyDescent="0.3">
      <c r="A1033" t="s">
        <v>369</v>
      </c>
      <c r="B1033" t="s">
        <v>368</v>
      </c>
      <c r="C1033" s="1">
        <v>46042</v>
      </c>
      <c r="D1033" t="s">
        <v>63</v>
      </c>
      <c r="E1033" t="s">
        <v>17</v>
      </c>
      <c r="F1033" t="s">
        <v>31</v>
      </c>
      <c r="G1033" t="s">
        <v>191</v>
      </c>
      <c r="H1033" t="s">
        <v>192</v>
      </c>
      <c r="I1033" t="s">
        <v>45</v>
      </c>
      <c r="J1033">
        <v>699</v>
      </c>
      <c r="K1033">
        <v>1</v>
      </c>
      <c r="L1033">
        <v>705.09</v>
      </c>
      <c r="M1033">
        <v>105.76</v>
      </c>
      <c r="N1033">
        <v>705.09</v>
      </c>
      <c r="O1033">
        <v>599.33000000000004</v>
      </c>
      <c r="P1033" t="s">
        <v>2111</v>
      </c>
      <c r="Q1033" t="s">
        <v>23</v>
      </c>
    </row>
    <row r="1034" spans="1:17" x14ac:dyDescent="0.3">
      <c r="A1034" t="s">
        <v>2678</v>
      </c>
      <c r="B1034" t="s">
        <v>2025</v>
      </c>
      <c r="C1034" s="1">
        <v>46153</v>
      </c>
      <c r="D1034" t="s">
        <v>16</v>
      </c>
      <c r="E1034" t="s">
        <v>50</v>
      </c>
      <c r="F1034" t="s">
        <v>74</v>
      </c>
      <c r="G1034" t="s">
        <v>165</v>
      </c>
      <c r="H1034" t="s">
        <v>166</v>
      </c>
      <c r="I1034" t="s">
        <v>29</v>
      </c>
      <c r="J1034">
        <v>449</v>
      </c>
      <c r="K1034">
        <v>2</v>
      </c>
      <c r="L1034">
        <v>479.58</v>
      </c>
      <c r="M1034">
        <v>47.96</v>
      </c>
      <c r="N1034">
        <v>959.16</v>
      </c>
      <c r="O1034">
        <v>911.2</v>
      </c>
      <c r="P1034" t="s">
        <v>2111</v>
      </c>
      <c r="Q1034" t="s">
        <v>1479</v>
      </c>
    </row>
    <row r="1035" spans="1:17" x14ac:dyDescent="0.3">
      <c r="A1035" t="s">
        <v>2679</v>
      </c>
      <c r="B1035" t="s">
        <v>1975</v>
      </c>
      <c r="C1035" s="1">
        <v>46188</v>
      </c>
      <c r="D1035" t="s">
        <v>34</v>
      </c>
      <c r="E1035" t="s">
        <v>17</v>
      </c>
      <c r="F1035" t="s">
        <v>22</v>
      </c>
      <c r="G1035" t="s">
        <v>160</v>
      </c>
      <c r="H1035" t="s">
        <v>161</v>
      </c>
      <c r="I1035" t="s">
        <v>82</v>
      </c>
      <c r="J1035">
        <v>799</v>
      </c>
      <c r="K1035">
        <v>2</v>
      </c>
      <c r="L1035">
        <v>860.26</v>
      </c>
      <c r="M1035">
        <v>86.03</v>
      </c>
      <c r="N1035">
        <v>1720.52</v>
      </c>
      <c r="O1035">
        <v>1634.49</v>
      </c>
      <c r="P1035" t="s">
        <v>2111</v>
      </c>
      <c r="Q1035" t="s">
        <v>1809</v>
      </c>
    </row>
    <row r="1036" spans="1:17" x14ac:dyDescent="0.3">
      <c r="A1036" t="s">
        <v>2680</v>
      </c>
      <c r="B1036" t="s">
        <v>987</v>
      </c>
      <c r="C1036" s="1">
        <v>46143</v>
      </c>
      <c r="D1036" t="s">
        <v>26</v>
      </c>
      <c r="E1036" t="s">
        <v>17</v>
      </c>
      <c r="F1036" t="s">
        <v>60</v>
      </c>
      <c r="G1036" t="s">
        <v>18</v>
      </c>
      <c r="H1036" t="s">
        <v>19</v>
      </c>
      <c r="I1036" t="s">
        <v>20</v>
      </c>
      <c r="J1036">
        <v>2799</v>
      </c>
      <c r="K1036">
        <v>3</v>
      </c>
      <c r="L1036">
        <v>2608.89</v>
      </c>
      <c r="M1036">
        <v>782.67</v>
      </c>
      <c r="N1036">
        <v>7826.67</v>
      </c>
      <c r="O1036">
        <v>7044</v>
      </c>
      <c r="P1036" t="s">
        <v>2111</v>
      </c>
      <c r="Q1036" t="s">
        <v>1479</v>
      </c>
    </row>
    <row r="1037" spans="1:17" x14ac:dyDescent="0.3">
      <c r="A1037" t="s">
        <v>2227</v>
      </c>
      <c r="B1037" t="s">
        <v>2228</v>
      </c>
      <c r="C1037" s="1">
        <v>46094</v>
      </c>
      <c r="D1037" t="s">
        <v>34</v>
      </c>
      <c r="E1037" t="s">
        <v>17</v>
      </c>
      <c r="F1037" t="s">
        <v>60</v>
      </c>
      <c r="G1037" t="s">
        <v>165</v>
      </c>
      <c r="H1037" t="s">
        <v>166</v>
      </c>
      <c r="I1037" t="s">
        <v>29</v>
      </c>
      <c r="J1037">
        <v>449</v>
      </c>
      <c r="K1037">
        <v>2</v>
      </c>
      <c r="L1037">
        <v>434.59</v>
      </c>
      <c r="M1037">
        <v>86.92</v>
      </c>
      <c r="N1037">
        <v>869.18</v>
      </c>
      <c r="O1037">
        <v>782.26</v>
      </c>
      <c r="P1037" t="s">
        <v>2111</v>
      </c>
      <c r="Q1037" t="s">
        <v>789</v>
      </c>
    </row>
    <row r="1038" spans="1:17" x14ac:dyDescent="0.3">
      <c r="A1038" t="s">
        <v>1535</v>
      </c>
      <c r="B1038" t="s">
        <v>1534</v>
      </c>
      <c r="C1038" s="1">
        <v>46147</v>
      </c>
      <c r="D1038" t="s">
        <v>16</v>
      </c>
      <c r="E1038" t="s">
        <v>42</v>
      </c>
      <c r="F1038" t="s">
        <v>60</v>
      </c>
      <c r="G1038" t="s">
        <v>101</v>
      </c>
      <c r="H1038" t="s">
        <v>102</v>
      </c>
      <c r="I1038" t="s">
        <v>45</v>
      </c>
      <c r="J1038">
        <v>4999</v>
      </c>
      <c r="K1038">
        <v>2</v>
      </c>
      <c r="L1038">
        <v>4834.26</v>
      </c>
      <c r="M1038">
        <v>966.85</v>
      </c>
      <c r="N1038">
        <v>9668.52</v>
      </c>
      <c r="O1038">
        <v>8701.67</v>
      </c>
      <c r="P1038" t="s">
        <v>2114</v>
      </c>
      <c r="Q1038" t="s">
        <v>1479</v>
      </c>
    </row>
    <row r="1039" spans="1:17" x14ac:dyDescent="0.3">
      <c r="A1039" t="s">
        <v>2681</v>
      </c>
      <c r="B1039" t="s">
        <v>2257</v>
      </c>
      <c r="C1039" s="1">
        <v>46067</v>
      </c>
      <c r="D1039" t="s">
        <v>26</v>
      </c>
      <c r="E1039" t="s">
        <v>42</v>
      </c>
      <c r="F1039" t="s">
        <v>74</v>
      </c>
      <c r="G1039" t="s">
        <v>106</v>
      </c>
      <c r="H1039" t="s">
        <v>107</v>
      </c>
      <c r="I1039" t="s">
        <v>108</v>
      </c>
      <c r="J1039">
        <v>599</v>
      </c>
      <c r="K1039">
        <v>1</v>
      </c>
      <c r="L1039">
        <v>544.14</v>
      </c>
      <c r="M1039">
        <v>27.21</v>
      </c>
      <c r="N1039">
        <v>544.14</v>
      </c>
      <c r="O1039">
        <v>516.92999999999995</v>
      </c>
      <c r="P1039" t="s">
        <v>2111</v>
      </c>
      <c r="Q1039" t="s">
        <v>498</v>
      </c>
    </row>
    <row r="1040" spans="1:17" x14ac:dyDescent="0.3">
      <c r="A1040" t="s">
        <v>1203</v>
      </c>
      <c r="B1040" t="s">
        <v>742</v>
      </c>
      <c r="C1040" s="1">
        <v>46117</v>
      </c>
      <c r="D1040" t="s">
        <v>26</v>
      </c>
      <c r="E1040" t="s">
        <v>17</v>
      </c>
      <c r="F1040" t="s">
        <v>47</v>
      </c>
      <c r="G1040" t="s">
        <v>191</v>
      </c>
      <c r="H1040" t="s">
        <v>192</v>
      </c>
      <c r="I1040" t="s">
        <v>45</v>
      </c>
      <c r="J1040">
        <v>699</v>
      </c>
      <c r="K1040">
        <v>2</v>
      </c>
      <c r="L1040">
        <v>712.73</v>
      </c>
      <c r="M1040">
        <v>71.27</v>
      </c>
      <c r="N1040">
        <v>1425.46</v>
      </c>
      <c r="O1040">
        <v>1354.19</v>
      </c>
      <c r="P1040" t="s">
        <v>2114</v>
      </c>
      <c r="Q1040" t="s">
        <v>1170</v>
      </c>
    </row>
    <row r="1041" spans="1:17" x14ac:dyDescent="0.3">
      <c r="A1041" t="s">
        <v>1060</v>
      </c>
      <c r="B1041" t="s">
        <v>1059</v>
      </c>
      <c r="C1041" s="1">
        <v>46103</v>
      </c>
      <c r="D1041" t="s">
        <v>34</v>
      </c>
      <c r="E1041" t="s">
        <v>17</v>
      </c>
      <c r="F1041" t="s">
        <v>31</v>
      </c>
      <c r="G1041" t="s">
        <v>86</v>
      </c>
      <c r="H1041" t="s">
        <v>87</v>
      </c>
      <c r="I1041" t="s">
        <v>82</v>
      </c>
      <c r="J1041">
        <v>3499</v>
      </c>
      <c r="K1041">
        <v>2</v>
      </c>
      <c r="L1041">
        <v>3747.3</v>
      </c>
      <c r="M1041">
        <v>0</v>
      </c>
      <c r="N1041">
        <v>7494.6</v>
      </c>
      <c r="O1041">
        <v>7494.6</v>
      </c>
      <c r="P1041" t="s">
        <v>2111</v>
      </c>
      <c r="Q1041" t="s">
        <v>789</v>
      </c>
    </row>
    <row r="1042" spans="1:17" x14ac:dyDescent="0.3">
      <c r="A1042" t="s">
        <v>1205</v>
      </c>
      <c r="B1042" t="s">
        <v>427</v>
      </c>
      <c r="C1042" s="1">
        <v>46117</v>
      </c>
      <c r="D1042" t="s">
        <v>16</v>
      </c>
      <c r="E1042" t="s">
        <v>17</v>
      </c>
      <c r="F1042" t="s">
        <v>47</v>
      </c>
      <c r="G1042" t="s">
        <v>27</v>
      </c>
      <c r="H1042" t="s">
        <v>28</v>
      </c>
      <c r="I1042" t="s">
        <v>29</v>
      </c>
      <c r="J1042">
        <v>1599</v>
      </c>
      <c r="K1042">
        <v>2</v>
      </c>
      <c r="L1042">
        <v>1561.13</v>
      </c>
      <c r="M1042">
        <v>0</v>
      </c>
      <c r="N1042">
        <v>3122.26</v>
      </c>
      <c r="O1042">
        <v>3122.26</v>
      </c>
      <c r="P1042" t="s">
        <v>2111</v>
      </c>
      <c r="Q1042" t="s">
        <v>1170</v>
      </c>
    </row>
    <row r="1043" spans="1:17" x14ac:dyDescent="0.3">
      <c r="A1043" t="s">
        <v>1461</v>
      </c>
      <c r="B1043" t="s">
        <v>1460</v>
      </c>
      <c r="C1043" s="1">
        <v>46141</v>
      </c>
      <c r="D1043" t="s">
        <v>63</v>
      </c>
      <c r="E1043" t="s">
        <v>17</v>
      </c>
      <c r="F1043" t="s">
        <v>47</v>
      </c>
      <c r="G1043" t="s">
        <v>80</v>
      </c>
      <c r="H1043" t="s">
        <v>81</v>
      </c>
      <c r="I1043" t="s">
        <v>82</v>
      </c>
      <c r="J1043">
        <v>4299</v>
      </c>
      <c r="K1043">
        <v>1</v>
      </c>
      <c r="L1043">
        <v>4505.38</v>
      </c>
      <c r="M1043">
        <v>225.27</v>
      </c>
      <c r="N1043">
        <v>4505.38</v>
      </c>
      <c r="O1043">
        <v>4280.1099999999997</v>
      </c>
      <c r="P1043" t="s">
        <v>2111</v>
      </c>
      <c r="Q1043" t="s">
        <v>1170</v>
      </c>
    </row>
    <row r="1044" spans="1:17" x14ac:dyDescent="0.3">
      <c r="A1044" t="s">
        <v>1517</v>
      </c>
      <c r="B1044" t="s">
        <v>1516</v>
      </c>
      <c r="C1044" s="1">
        <v>46146</v>
      </c>
      <c r="D1044" t="s">
        <v>34</v>
      </c>
      <c r="E1044" t="s">
        <v>17</v>
      </c>
      <c r="F1044" t="s">
        <v>22</v>
      </c>
      <c r="G1044" t="s">
        <v>43</v>
      </c>
      <c r="H1044" t="s">
        <v>44</v>
      </c>
      <c r="I1044" t="s">
        <v>45</v>
      </c>
      <c r="J1044">
        <v>3299</v>
      </c>
      <c r="K1044">
        <v>1</v>
      </c>
      <c r="L1044">
        <v>3383.26</v>
      </c>
      <c r="M1044">
        <v>0</v>
      </c>
      <c r="N1044">
        <v>3383.26</v>
      </c>
      <c r="O1044">
        <v>3383.26</v>
      </c>
      <c r="P1044" t="s">
        <v>2111</v>
      </c>
      <c r="Q1044" t="s">
        <v>1479</v>
      </c>
    </row>
    <row r="1045" spans="1:17" x14ac:dyDescent="0.3">
      <c r="A1045" t="s">
        <v>465</v>
      </c>
      <c r="B1045" t="s">
        <v>464</v>
      </c>
      <c r="C1045" s="1">
        <v>46050</v>
      </c>
      <c r="D1045" t="s">
        <v>63</v>
      </c>
      <c r="E1045" t="s">
        <v>17</v>
      </c>
      <c r="F1045" t="s">
        <v>74</v>
      </c>
      <c r="G1045" t="s">
        <v>91</v>
      </c>
      <c r="H1045" t="s">
        <v>92</v>
      </c>
      <c r="I1045" t="s">
        <v>37</v>
      </c>
      <c r="J1045">
        <v>1899</v>
      </c>
      <c r="K1045">
        <v>2</v>
      </c>
      <c r="L1045">
        <v>1851.77</v>
      </c>
      <c r="M1045">
        <v>0</v>
      </c>
      <c r="N1045">
        <v>3703.54</v>
      </c>
      <c r="O1045">
        <v>3703.54</v>
      </c>
      <c r="P1045" t="s">
        <v>2114</v>
      </c>
      <c r="Q1045" t="s">
        <v>23</v>
      </c>
    </row>
    <row r="1046" spans="1:17" x14ac:dyDescent="0.3">
      <c r="A1046" t="s">
        <v>2230</v>
      </c>
      <c r="B1046" t="s">
        <v>2231</v>
      </c>
      <c r="C1046" s="1">
        <v>46125</v>
      </c>
      <c r="D1046" t="s">
        <v>16</v>
      </c>
      <c r="E1046" t="s">
        <v>17</v>
      </c>
      <c r="F1046" t="s">
        <v>74</v>
      </c>
      <c r="G1046" t="s">
        <v>112</v>
      </c>
      <c r="H1046" t="s">
        <v>113</v>
      </c>
      <c r="I1046" t="s">
        <v>37</v>
      </c>
      <c r="J1046">
        <v>1499</v>
      </c>
      <c r="K1046">
        <v>2</v>
      </c>
      <c r="L1046">
        <v>1391.39</v>
      </c>
      <c r="M1046">
        <v>417.42</v>
      </c>
      <c r="N1046">
        <v>2782.78</v>
      </c>
      <c r="O1046">
        <v>2365.36</v>
      </c>
      <c r="P1046" t="s">
        <v>2111</v>
      </c>
      <c r="Q1046" t="s">
        <v>1170</v>
      </c>
    </row>
    <row r="1047" spans="1:17" x14ac:dyDescent="0.3">
      <c r="A1047" t="s">
        <v>2405</v>
      </c>
      <c r="B1047" t="s">
        <v>1387</v>
      </c>
      <c r="C1047" s="1">
        <v>46190</v>
      </c>
      <c r="D1047" t="s">
        <v>41</v>
      </c>
      <c r="E1047" t="s">
        <v>17</v>
      </c>
      <c r="F1047" t="s">
        <v>60</v>
      </c>
      <c r="G1047" t="s">
        <v>112</v>
      </c>
      <c r="H1047" t="s">
        <v>113</v>
      </c>
      <c r="I1047" t="s">
        <v>37</v>
      </c>
      <c r="J1047">
        <v>1499</v>
      </c>
      <c r="K1047">
        <v>4</v>
      </c>
      <c r="L1047">
        <v>1561.76</v>
      </c>
      <c r="M1047">
        <v>0</v>
      </c>
      <c r="N1047">
        <v>6247.04</v>
      </c>
      <c r="O1047">
        <v>6247.04</v>
      </c>
      <c r="P1047" t="s">
        <v>2114</v>
      </c>
      <c r="Q1047" t="s">
        <v>1809</v>
      </c>
    </row>
    <row r="1048" spans="1:17" x14ac:dyDescent="0.3">
      <c r="A1048" t="s">
        <v>182</v>
      </c>
      <c r="B1048" t="s">
        <v>181</v>
      </c>
      <c r="C1048" s="1">
        <v>46029</v>
      </c>
      <c r="D1048" t="s">
        <v>26</v>
      </c>
      <c r="E1048" t="s">
        <v>17</v>
      </c>
      <c r="F1048" t="s">
        <v>60</v>
      </c>
      <c r="G1048" t="s">
        <v>51</v>
      </c>
      <c r="H1048" t="s">
        <v>52</v>
      </c>
      <c r="I1048" t="s">
        <v>20</v>
      </c>
      <c r="J1048">
        <v>999</v>
      </c>
      <c r="K1048">
        <v>1</v>
      </c>
      <c r="L1048">
        <v>1069.8399999999999</v>
      </c>
      <c r="M1048">
        <v>160.47999999999999</v>
      </c>
      <c r="N1048">
        <v>1069.8399999999999</v>
      </c>
      <c r="O1048">
        <v>909.36</v>
      </c>
      <c r="P1048" t="s">
        <v>2111</v>
      </c>
      <c r="Q1048" t="s">
        <v>23</v>
      </c>
    </row>
    <row r="1049" spans="1:17" x14ac:dyDescent="0.3">
      <c r="A1049" t="s">
        <v>2200</v>
      </c>
      <c r="B1049" t="s">
        <v>2201</v>
      </c>
      <c r="C1049" s="1">
        <v>46073</v>
      </c>
      <c r="D1049" t="s">
        <v>16</v>
      </c>
      <c r="E1049" t="s">
        <v>17</v>
      </c>
      <c r="F1049" t="s">
        <v>22</v>
      </c>
      <c r="G1049" t="s">
        <v>96</v>
      </c>
      <c r="H1049" t="s">
        <v>97</v>
      </c>
      <c r="I1049" t="s">
        <v>58</v>
      </c>
      <c r="J1049">
        <v>7499</v>
      </c>
      <c r="K1049">
        <v>1</v>
      </c>
      <c r="L1049">
        <v>7777.74</v>
      </c>
      <c r="M1049">
        <v>388.89</v>
      </c>
      <c r="N1049">
        <v>7777.74</v>
      </c>
      <c r="O1049">
        <v>7388.85</v>
      </c>
      <c r="P1049" t="s">
        <v>2111</v>
      </c>
      <c r="Q1049" t="s">
        <v>498</v>
      </c>
    </row>
    <row r="1050" spans="1:17" x14ac:dyDescent="0.3">
      <c r="A1050" t="s">
        <v>1623</v>
      </c>
      <c r="B1050" t="s">
        <v>1622</v>
      </c>
      <c r="C1050" s="1">
        <v>46154</v>
      </c>
      <c r="D1050" t="s">
        <v>41</v>
      </c>
      <c r="E1050" t="s">
        <v>17</v>
      </c>
      <c r="F1050" t="s">
        <v>74</v>
      </c>
      <c r="G1050" t="s">
        <v>112</v>
      </c>
      <c r="H1050" t="s">
        <v>113</v>
      </c>
      <c r="I1050" t="s">
        <v>37</v>
      </c>
      <c r="J1050">
        <v>1499</v>
      </c>
      <c r="K1050">
        <v>1</v>
      </c>
      <c r="L1050">
        <v>1354.46</v>
      </c>
      <c r="M1050">
        <v>270.89</v>
      </c>
      <c r="N1050">
        <v>1354.46</v>
      </c>
      <c r="O1050">
        <v>1083.57</v>
      </c>
      <c r="P1050" t="s">
        <v>2111</v>
      </c>
      <c r="Q1050" t="s">
        <v>1479</v>
      </c>
    </row>
    <row r="1051" spans="1:17" x14ac:dyDescent="0.3">
      <c r="A1051" t="s">
        <v>232</v>
      </c>
      <c r="B1051" t="s">
        <v>231</v>
      </c>
      <c r="C1051" s="1">
        <v>46033</v>
      </c>
      <c r="D1051" t="s">
        <v>16</v>
      </c>
      <c r="E1051" t="s">
        <v>50</v>
      </c>
      <c r="F1051" t="s">
        <v>60</v>
      </c>
      <c r="G1051" t="s">
        <v>191</v>
      </c>
      <c r="H1051" t="s">
        <v>192</v>
      </c>
      <c r="I1051" t="s">
        <v>45</v>
      </c>
      <c r="J1051">
        <v>699</v>
      </c>
      <c r="K1051">
        <v>2</v>
      </c>
      <c r="L1051">
        <v>659.33</v>
      </c>
      <c r="M1051">
        <v>131.87</v>
      </c>
      <c r="N1051">
        <v>1318.66</v>
      </c>
      <c r="O1051">
        <v>1186.79</v>
      </c>
      <c r="P1051" t="s">
        <v>2111</v>
      </c>
      <c r="Q1051" t="s">
        <v>23</v>
      </c>
    </row>
    <row r="1052" spans="1:17" x14ac:dyDescent="0.3">
      <c r="A1052" t="s">
        <v>2682</v>
      </c>
      <c r="B1052" t="s">
        <v>225</v>
      </c>
      <c r="C1052" s="1">
        <v>46070</v>
      </c>
      <c r="D1052" t="s">
        <v>26</v>
      </c>
      <c r="E1052" t="s">
        <v>17</v>
      </c>
      <c r="F1052" t="s">
        <v>31</v>
      </c>
      <c r="G1052" t="s">
        <v>191</v>
      </c>
      <c r="H1052" t="s">
        <v>192</v>
      </c>
      <c r="I1052" t="s">
        <v>45</v>
      </c>
      <c r="J1052">
        <v>699</v>
      </c>
      <c r="K1052">
        <v>1</v>
      </c>
      <c r="L1052">
        <v>638.80999999999995</v>
      </c>
      <c r="M1052">
        <v>31.94</v>
      </c>
      <c r="N1052">
        <v>638.80999999999995</v>
      </c>
      <c r="O1052">
        <v>606.87</v>
      </c>
      <c r="P1052" t="s">
        <v>2111</v>
      </c>
      <c r="Q1052" t="s">
        <v>498</v>
      </c>
    </row>
    <row r="1053" spans="1:17" x14ac:dyDescent="0.3">
      <c r="A1053" t="s">
        <v>2683</v>
      </c>
      <c r="B1053" t="s">
        <v>2684</v>
      </c>
      <c r="C1053" s="1">
        <v>46086</v>
      </c>
      <c r="D1053" t="s">
        <v>26</v>
      </c>
      <c r="E1053" t="s">
        <v>17</v>
      </c>
      <c r="F1053" t="s">
        <v>60</v>
      </c>
      <c r="G1053" t="s">
        <v>96</v>
      </c>
      <c r="H1053" t="s">
        <v>97</v>
      </c>
      <c r="I1053" t="s">
        <v>58</v>
      </c>
      <c r="J1053">
        <v>7499</v>
      </c>
      <c r="K1053">
        <v>1</v>
      </c>
      <c r="L1053">
        <v>7604.57</v>
      </c>
      <c r="M1053">
        <v>760.46</v>
      </c>
      <c r="N1053">
        <v>7604.57</v>
      </c>
      <c r="O1053">
        <v>6844.11</v>
      </c>
      <c r="P1053" t="s">
        <v>2111</v>
      </c>
      <c r="Q1053" t="s">
        <v>789</v>
      </c>
    </row>
    <row r="1054" spans="1:17" x14ac:dyDescent="0.3">
      <c r="A1054" t="s">
        <v>2685</v>
      </c>
      <c r="B1054" t="s">
        <v>2686</v>
      </c>
      <c r="C1054" s="1">
        <v>46050</v>
      </c>
      <c r="D1054" t="s">
        <v>63</v>
      </c>
      <c r="E1054" t="s">
        <v>17</v>
      </c>
      <c r="F1054" t="s">
        <v>74</v>
      </c>
      <c r="G1054" t="s">
        <v>80</v>
      </c>
      <c r="H1054" t="s">
        <v>81</v>
      </c>
      <c r="I1054" t="s">
        <v>82</v>
      </c>
      <c r="J1054">
        <v>4299</v>
      </c>
      <c r="K1054">
        <v>4</v>
      </c>
      <c r="L1054">
        <v>4519.5200000000004</v>
      </c>
      <c r="M1054">
        <v>1807.81</v>
      </c>
      <c r="N1054">
        <v>18078.080000000002</v>
      </c>
      <c r="O1054">
        <v>16270.27</v>
      </c>
      <c r="P1054" t="s">
        <v>2111</v>
      </c>
      <c r="Q1054" t="s">
        <v>23</v>
      </c>
    </row>
    <row r="1055" spans="1:17" x14ac:dyDescent="0.3">
      <c r="A1055" t="s">
        <v>561</v>
      </c>
      <c r="B1055" t="s">
        <v>560</v>
      </c>
      <c r="C1055" s="1">
        <v>46059</v>
      </c>
      <c r="D1055" t="s">
        <v>63</v>
      </c>
      <c r="E1055" t="s">
        <v>42</v>
      </c>
      <c r="F1055" t="s">
        <v>60</v>
      </c>
      <c r="G1055" t="s">
        <v>106</v>
      </c>
      <c r="H1055" t="s">
        <v>107</v>
      </c>
      <c r="I1055" t="s">
        <v>108</v>
      </c>
      <c r="J1055">
        <v>599</v>
      </c>
      <c r="K1055">
        <v>1</v>
      </c>
      <c r="L1055">
        <v>552.35</v>
      </c>
      <c r="M1055">
        <v>55.24</v>
      </c>
      <c r="N1055">
        <v>552.35</v>
      </c>
      <c r="O1055">
        <v>497.11</v>
      </c>
      <c r="P1055" t="s">
        <v>2111</v>
      </c>
      <c r="Q1055" t="s">
        <v>498</v>
      </c>
    </row>
    <row r="1056" spans="1:17" x14ac:dyDescent="0.3">
      <c r="A1056" t="s">
        <v>2129</v>
      </c>
      <c r="B1056" t="s">
        <v>2130</v>
      </c>
      <c r="C1056" s="1">
        <v>46201</v>
      </c>
      <c r="D1056" t="s">
        <v>34</v>
      </c>
      <c r="E1056" t="s">
        <v>17</v>
      </c>
      <c r="F1056" t="s">
        <v>22</v>
      </c>
      <c r="G1056" t="s">
        <v>191</v>
      </c>
      <c r="H1056" t="s">
        <v>192</v>
      </c>
      <c r="I1056" t="s">
        <v>45</v>
      </c>
      <c r="J1056">
        <v>699</v>
      </c>
      <c r="K1056">
        <v>2</v>
      </c>
      <c r="L1056">
        <v>746.3</v>
      </c>
      <c r="M1056">
        <v>0</v>
      </c>
      <c r="N1056">
        <v>1492.6</v>
      </c>
      <c r="O1056">
        <v>1492.6</v>
      </c>
      <c r="P1056" t="s">
        <v>2111</v>
      </c>
      <c r="Q1056" t="s">
        <v>1809</v>
      </c>
    </row>
    <row r="1057" spans="1:17" x14ac:dyDescent="0.3">
      <c r="A1057" t="s">
        <v>917</v>
      </c>
      <c r="B1057" t="s">
        <v>916</v>
      </c>
      <c r="C1057" s="1">
        <v>46090</v>
      </c>
      <c r="D1057" t="s">
        <v>34</v>
      </c>
      <c r="E1057" t="s">
        <v>42</v>
      </c>
      <c r="F1057" t="s">
        <v>22</v>
      </c>
      <c r="G1057" t="s">
        <v>101</v>
      </c>
      <c r="H1057" t="s">
        <v>102</v>
      </c>
      <c r="I1057" t="s">
        <v>45</v>
      </c>
      <c r="J1057">
        <v>4999</v>
      </c>
      <c r="K1057">
        <v>1</v>
      </c>
      <c r="L1057">
        <v>5054.5</v>
      </c>
      <c r="M1057">
        <v>1263.6199999999999</v>
      </c>
      <c r="N1057">
        <v>5054.5</v>
      </c>
      <c r="O1057">
        <v>3790.88</v>
      </c>
      <c r="P1057" t="s">
        <v>2111</v>
      </c>
      <c r="Q1057" t="s">
        <v>789</v>
      </c>
    </row>
    <row r="1058" spans="1:17" x14ac:dyDescent="0.3">
      <c r="A1058" t="s">
        <v>856</v>
      </c>
      <c r="B1058" t="s">
        <v>855</v>
      </c>
      <c r="C1058" s="1">
        <v>46086</v>
      </c>
      <c r="D1058" t="s">
        <v>16</v>
      </c>
      <c r="E1058" t="s">
        <v>50</v>
      </c>
      <c r="F1058" t="s">
        <v>22</v>
      </c>
      <c r="G1058" t="s">
        <v>18</v>
      </c>
      <c r="H1058" t="s">
        <v>19</v>
      </c>
      <c r="I1058" t="s">
        <v>20</v>
      </c>
      <c r="J1058">
        <v>2799</v>
      </c>
      <c r="K1058">
        <v>2</v>
      </c>
      <c r="L1058">
        <v>2905.34</v>
      </c>
      <c r="M1058">
        <v>581.07000000000005</v>
      </c>
      <c r="N1058">
        <v>5810.68</v>
      </c>
      <c r="O1058">
        <v>5229.6099999999997</v>
      </c>
      <c r="P1058" t="s">
        <v>2111</v>
      </c>
      <c r="Q1058" t="s">
        <v>789</v>
      </c>
    </row>
    <row r="1059" spans="1:17" x14ac:dyDescent="0.3">
      <c r="A1059" t="s">
        <v>2637</v>
      </c>
      <c r="B1059" t="s">
        <v>1534</v>
      </c>
      <c r="C1059" s="1">
        <v>46159</v>
      </c>
      <c r="D1059" t="s">
        <v>41</v>
      </c>
      <c r="E1059" t="s">
        <v>50</v>
      </c>
      <c r="F1059" t="s">
        <v>74</v>
      </c>
      <c r="G1059" t="s">
        <v>51</v>
      </c>
      <c r="H1059" t="s">
        <v>52</v>
      </c>
      <c r="I1059" t="s">
        <v>20</v>
      </c>
      <c r="J1059">
        <v>999</v>
      </c>
      <c r="K1059">
        <v>1</v>
      </c>
      <c r="L1059">
        <v>1093.19</v>
      </c>
      <c r="M1059">
        <v>54.66</v>
      </c>
      <c r="N1059">
        <v>1093.19</v>
      </c>
      <c r="O1059">
        <v>1038.53</v>
      </c>
      <c r="P1059" t="s">
        <v>2111</v>
      </c>
      <c r="Q1059" t="s">
        <v>1479</v>
      </c>
    </row>
    <row r="1060" spans="1:17" x14ac:dyDescent="0.3">
      <c r="A1060" t="s">
        <v>474</v>
      </c>
      <c r="B1060" t="s">
        <v>473</v>
      </c>
      <c r="C1060" s="1">
        <v>46052</v>
      </c>
      <c r="D1060" t="s">
        <v>63</v>
      </c>
      <c r="E1060" t="s">
        <v>17</v>
      </c>
      <c r="F1060" t="s">
        <v>31</v>
      </c>
      <c r="G1060" t="s">
        <v>80</v>
      </c>
      <c r="H1060" t="s">
        <v>81</v>
      </c>
      <c r="I1060" t="s">
        <v>82</v>
      </c>
      <c r="J1060">
        <v>4299</v>
      </c>
      <c r="K1060">
        <v>3</v>
      </c>
      <c r="L1060">
        <v>3941.05</v>
      </c>
      <c r="M1060">
        <v>1773.47</v>
      </c>
      <c r="N1060">
        <v>11823.15</v>
      </c>
      <c r="O1060">
        <v>10049.68</v>
      </c>
      <c r="P1060" t="s">
        <v>2111</v>
      </c>
      <c r="Q1060" t="s">
        <v>23</v>
      </c>
    </row>
    <row r="1061" spans="1:17" x14ac:dyDescent="0.3">
      <c r="A1061" t="s">
        <v>2462</v>
      </c>
      <c r="B1061" t="s">
        <v>1559</v>
      </c>
      <c r="C1061" s="1">
        <v>46151</v>
      </c>
      <c r="D1061" t="s">
        <v>41</v>
      </c>
      <c r="E1061" t="s">
        <v>50</v>
      </c>
      <c r="F1061" t="s">
        <v>22</v>
      </c>
      <c r="G1061" t="s">
        <v>106</v>
      </c>
      <c r="H1061" t="s">
        <v>107</v>
      </c>
      <c r="I1061" t="s">
        <v>108</v>
      </c>
      <c r="J1061">
        <v>599</v>
      </c>
      <c r="K1061">
        <v>3</v>
      </c>
      <c r="L1061">
        <v>647.07000000000005</v>
      </c>
      <c r="M1061">
        <v>97.06</v>
      </c>
      <c r="N1061">
        <v>1941.21</v>
      </c>
      <c r="O1061">
        <v>1844.15</v>
      </c>
      <c r="P1061" t="s">
        <v>2111</v>
      </c>
      <c r="Q1061" t="s">
        <v>1479</v>
      </c>
    </row>
    <row r="1062" spans="1:17" x14ac:dyDescent="0.3">
      <c r="A1062" t="s">
        <v>2193</v>
      </c>
      <c r="B1062" t="s">
        <v>2194</v>
      </c>
      <c r="C1062" s="1">
        <v>46134</v>
      </c>
      <c r="D1062" t="s">
        <v>41</v>
      </c>
      <c r="E1062" t="s">
        <v>17</v>
      </c>
      <c r="F1062" t="s">
        <v>31</v>
      </c>
      <c r="G1062" t="s">
        <v>101</v>
      </c>
      <c r="H1062" t="s">
        <v>102</v>
      </c>
      <c r="I1062" t="s">
        <v>45</v>
      </c>
      <c r="J1062">
        <v>4999</v>
      </c>
      <c r="K1062">
        <v>1</v>
      </c>
      <c r="L1062">
        <v>4625.18</v>
      </c>
      <c r="M1062">
        <v>925.04</v>
      </c>
      <c r="N1062">
        <v>4625.18</v>
      </c>
      <c r="O1062">
        <v>3700.14</v>
      </c>
      <c r="P1062" t="s">
        <v>2111</v>
      </c>
      <c r="Q1062" t="s">
        <v>1170</v>
      </c>
    </row>
    <row r="1063" spans="1:17" x14ac:dyDescent="0.3">
      <c r="A1063" t="s">
        <v>2191</v>
      </c>
      <c r="B1063" t="s">
        <v>2192</v>
      </c>
      <c r="C1063" s="1">
        <v>46127</v>
      </c>
      <c r="D1063" t="s">
        <v>26</v>
      </c>
      <c r="E1063" t="s">
        <v>50</v>
      </c>
      <c r="F1063" t="s">
        <v>31</v>
      </c>
      <c r="G1063" t="s">
        <v>43</v>
      </c>
      <c r="H1063" t="s">
        <v>44</v>
      </c>
      <c r="I1063" t="s">
        <v>45</v>
      </c>
      <c r="J1063">
        <v>3299</v>
      </c>
      <c r="K1063">
        <v>1</v>
      </c>
      <c r="L1063">
        <v>3228.37</v>
      </c>
      <c r="M1063">
        <v>322.83999999999997</v>
      </c>
      <c r="N1063">
        <v>3228.37</v>
      </c>
      <c r="O1063">
        <v>2905.53</v>
      </c>
      <c r="P1063" t="s">
        <v>2111</v>
      </c>
      <c r="Q1063" t="s">
        <v>1170</v>
      </c>
    </row>
    <row r="1064" spans="1:17" x14ac:dyDescent="0.3">
      <c r="A1064" t="s">
        <v>2068</v>
      </c>
      <c r="B1064" t="s">
        <v>1107</v>
      </c>
      <c r="C1064" s="1">
        <v>46200</v>
      </c>
      <c r="D1064" t="s">
        <v>16</v>
      </c>
      <c r="E1064" t="s">
        <v>17</v>
      </c>
      <c r="F1064" t="s">
        <v>74</v>
      </c>
      <c r="G1064" t="s">
        <v>250</v>
      </c>
      <c r="H1064" t="s">
        <v>251</v>
      </c>
      <c r="I1064" t="s">
        <v>108</v>
      </c>
      <c r="J1064">
        <v>899</v>
      </c>
      <c r="K1064">
        <v>1</v>
      </c>
      <c r="L1064">
        <v>962.19</v>
      </c>
      <c r="M1064">
        <v>144.33000000000001</v>
      </c>
      <c r="N1064">
        <v>962.19</v>
      </c>
      <c r="O1064">
        <v>817.86</v>
      </c>
      <c r="P1064" t="s">
        <v>2111</v>
      </c>
      <c r="Q1064" t="s">
        <v>1809</v>
      </c>
    </row>
    <row r="1065" spans="1:17" x14ac:dyDescent="0.3">
      <c r="A1065" t="s">
        <v>2191</v>
      </c>
      <c r="B1065" t="s">
        <v>2192</v>
      </c>
      <c r="C1065" s="1">
        <v>46127</v>
      </c>
      <c r="D1065" t="s">
        <v>26</v>
      </c>
      <c r="E1065" t="s">
        <v>50</v>
      </c>
      <c r="F1065" t="s">
        <v>31</v>
      </c>
      <c r="G1065" t="s">
        <v>91</v>
      </c>
      <c r="H1065" t="s">
        <v>92</v>
      </c>
      <c r="I1065" t="s">
        <v>37</v>
      </c>
      <c r="J1065">
        <v>1899</v>
      </c>
      <c r="K1065">
        <v>2</v>
      </c>
      <c r="L1065">
        <v>2053.3000000000002</v>
      </c>
      <c r="M1065">
        <v>0</v>
      </c>
      <c r="N1065">
        <v>4106.6000000000004</v>
      </c>
      <c r="O1065">
        <v>4106.6000000000004</v>
      </c>
      <c r="P1065" t="s">
        <v>2111</v>
      </c>
      <c r="Q1065" t="s">
        <v>1170</v>
      </c>
    </row>
    <row r="1066" spans="1:17" x14ac:dyDescent="0.3">
      <c r="A1066" t="s">
        <v>2386</v>
      </c>
      <c r="B1066" t="s">
        <v>2387</v>
      </c>
      <c r="C1066" s="1">
        <v>46082</v>
      </c>
      <c r="D1066" t="s">
        <v>63</v>
      </c>
      <c r="E1066" t="s">
        <v>50</v>
      </c>
      <c r="F1066" t="s">
        <v>47</v>
      </c>
      <c r="G1066" t="s">
        <v>91</v>
      </c>
      <c r="H1066" t="s">
        <v>92</v>
      </c>
      <c r="I1066" t="s">
        <v>37</v>
      </c>
      <c r="J1066">
        <v>1899</v>
      </c>
      <c r="K1066">
        <v>3</v>
      </c>
      <c r="L1066">
        <v>1901.42</v>
      </c>
      <c r="M1066">
        <v>1140.8499999999999</v>
      </c>
      <c r="N1066">
        <v>5704.26</v>
      </c>
      <c r="O1066">
        <v>4563.41</v>
      </c>
      <c r="P1066" t="s">
        <v>2111</v>
      </c>
      <c r="Q1066" t="s">
        <v>789</v>
      </c>
    </row>
    <row r="1067" spans="1:17" x14ac:dyDescent="0.3">
      <c r="A1067" t="s">
        <v>996</v>
      </c>
      <c r="B1067" t="s">
        <v>995</v>
      </c>
      <c r="C1067" s="1">
        <v>46097</v>
      </c>
      <c r="D1067" t="s">
        <v>16</v>
      </c>
      <c r="E1067" t="s">
        <v>50</v>
      </c>
      <c r="F1067" t="s">
        <v>74</v>
      </c>
      <c r="G1067" t="s">
        <v>35</v>
      </c>
      <c r="H1067" t="s">
        <v>36</v>
      </c>
      <c r="I1067" t="s">
        <v>37</v>
      </c>
      <c r="J1067">
        <v>799</v>
      </c>
      <c r="K1067">
        <v>1</v>
      </c>
      <c r="L1067">
        <v>814.04</v>
      </c>
      <c r="M1067">
        <v>122.11</v>
      </c>
      <c r="N1067">
        <v>814.04</v>
      </c>
      <c r="O1067">
        <v>691.93</v>
      </c>
      <c r="P1067" t="s">
        <v>2111</v>
      </c>
      <c r="Q1067" t="s">
        <v>789</v>
      </c>
    </row>
    <row r="1068" spans="1:17" x14ac:dyDescent="0.3">
      <c r="A1068" t="s">
        <v>1309</v>
      </c>
      <c r="B1068" t="s">
        <v>1308</v>
      </c>
      <c r="C1068" s="1">
        <v>46128</v>
      </c>
      <c r="D1068" t="s">
        <v>34</v>
      </c>
      <c r="E1068" t="s">
        <v>50</v>
      </c>
      <c r="F1068" t="s">
        <v>47</v>
      </c>
      <c r="G1068" t="s">
        <v>106</v>
      </c>
      <c r="H1068" t="s">
        <v>107</v>
      </c>
      <c r="I1068" t="s">
        <v>108</v>
      </c>
      <c r="J1068">
        <v>599</v>
      </c>
      <c r="K1068">
        <v>1</v>
      </c>
      <c r="L1068">
        <v>623.94000000000005</v>
      </c>
      <c r="M1068">
        <v>31.2</v>
      </c>
      <c r="N1068">
        <v>623.94000000000005</v>
      </c>
      <c r="O1068">
        <v>592.74</v>
      </c>
      <c r="P1068" t="s">
        <v>2111</v>
      </c>
      <c r="Q1068" t="s">
        <v>1170</v>
      </c>
    </row>
    <row r="1069" spans="1:17" x14ac:dyDescent="0.3">
      <c r="A1069" t="s">
        <v>2687</v>
      </c>
      <c r="B1069" t="s">
        <v>2645</v>
      </c>
      <c r="C1069" s="1">
        <v>46147</v>
      </c>
      <c r="D1069" t="s">
        <v>16</v>
      </c>
      <c r="E1069" t="s">
        <v>50</v>
      </c>
      <c r="F1069" t="s">
        <v>47</v>
      </c>
      <c r="G1069" t="s">
        <v>106</v>
      </c>
      <c r="H1069" t="s">
        <v>107</v>
      </c>
      <c r="I1069" t="s">
        <v>108</v>
      </c>
      <c r="J1069">
        <v>599</v>
      </c>
      <c r="K1069">
        <v>1</v>
      </c>
      <c r="L1069">
        <v>638.86</v>
      </c>
      <c r="M1069">
        <v>0</v>
      </c>
      <c r="N1069">
        <v>638.86</v>
      </c>
      <c r="O1069">
        <v>638.86</v>
      </c>
      <c r="P1069" t="s">
        <v>2111</v>
      </c>
      <c r="Q1069" t="s">
        <v>1479</v>
      </c>
    </row>
    <row r="1070" spans="1:17" x14ac:dyDescent="0.3">
      <c r="A1070" t="s">
        <v>1110</v>
      </c>
      <c r="B1070" t="s">
        <v>349</v>
      </c>
      <c r="C1070" s="1">
        <v>46107</v>
      </c>
      <c r="D1070" t="s">
        <v>16</v>
      </c>
      <c r="E1070" t="s">
        <v>17</v>
      </c>
      <c r="F1070" t="s">
        <v>74</v>
      </c>
      <c r="G1070" t="s">
        <v>250</v>
      </c>
      <c r="H1070" t="s">
        <v>251</v>
      </c>
      <c r="I1070" t="s">
        <v>108</v>
      </c>
      <c r="J1070">
        <v>899</v>
      </c>
      <c r="K1070">
        <v>2</v>
      </c>
      <c r="L1070">
        <v>830.95</v>
      </c>
      <c r="M1070">
        <v>83.1</v>
      </c>
      <c r="N1070">
        <v>1661.9</v>
      </c>
      <c r="O1070">
        <v>1578.8</v>
      </c>
      <c r="P1070" t="s">
        <v>2111</v>
      </c>
      <c r="Q1070" t="s">
        <v>789</v>
      </c>
    </row>
    <row r="1071" spans="1:17" x14ac:dyDescent="0.3">
      <c r="A1071" t="s">
        <v>2688</v>
      </c>
      <c r="B1071" t="s">
        <v>2689</v>
      </c>
      <c r="C1071" s="1">
        <v>46120</v>
      </c>
      <c r="D1071" t="s">
        <v>16</v>
      </c>
      <c r="E1071" t="s">
        <v>17</v>
      </c>
      <c r="F1071" t="s">
        <v>31</v>
      </c>
      <c r="G1071" t="s">
        <v>165</v>
      </c>
      <c r="H1071" t="s">
        <v>166</v>
      </c>
      <c r="I1071" t="s">
        <v>29</v>
      </c>
      <c r="J1071">
        <v>449</v>
      </c>
      <c r="K1071">
        <v>4</v>
      </c>
      <c r="L1071">
        <v>476.84</v>
      </c>
      <c r="M1071">
        <v>476.84</v>
      </c>
      <c r="N1071">
        <v>1907.36</v>
      </c>
      <c r="O1071">
        <v>1430.52</v>
      </c>
      <c r="P1071" t="s">
        <v>2111</v>
      </c>
      <c r="Q1071" t="s">
        <v>1170</v>
      </c>
    </row>
    <row r="1072" spans="1:17" x14ac:dyDescent="0.3">
      <c r="A1072" t="s">
        <v>2690</v>
      </c>
      <c r="B1072" t="s">
        <v>2691</v>
      </c>
      <c r="C1072" s="1">
        <v>46060</v>
      </c>
      <c r="D1072" t="s">
        <v>16</v>
      </c>
      <c r="E1072" t="s">
        <v>50</v>
      </c>
      <c r="F1072" t="s">
        <v>74</v>
      </c>
      <c r="G1072" t="s">
        <v>18</v>
      </c>
      <c r="H1072" t="s">
        <v>19</v>
      </c>
      <c r="I1072" t="s">
        <v>20</v>
      </c>
      <c r="J1072">
        <v>2799</v>
      </c>
      <c r="K1072">
        <v>1</v>
      </c>
      <c r="L1072">
        <v>2788.52</v>
      </c>
      <c r="M1072">
        <v>139.43</v>
      </c>
      <c r="N1072">
        <v>2788.52</v>
      </c>
      <c r="O1072">
        <v>2649.09</v>
      </c>
      <c r="P1072" t="s">
        <v>2111</v>
      </c>
      <c r="Q1072" t="s">
        <v>498</v>
      </c>
    </row>
    <row r="1073" spans="1:17" x14ac:dyDescent="0.3">
      <c r="A1073" t="s">
        <v>2692</v>
      </c>
      <c r="B1073" t="s">
        <v>2515</v>
      </c>
      <c r="C1073" s="1">
        <v>46086</v>
      </c>
      <c r="D1073" t="s">
        <v>34</v>
      </c>
      <c r="E1073" t="s">
        <v>50</v>
      </c>
      <c r="F1073" t="s">
        <v>74</v>
      </c>
      <c r="G1073" t="s">
        <v>18</v>
      </c>
      <c r="H1073" t="s">
        <v>19</v>
      </c>
      <c r="I1073" t="s">
        <v>20</v>
      </c>
      <c r="J1073">
        <v>2799</v>
      </c>
      <c r="K1073">
        <v>1</v>
      </c>
      <c r="L1073">
        <v>2771.36</v>
      </c>
      <c r="M1073">
        <v>277.14</v>
      </c>
      <c r="N1073">
        <v>2771.36</v>
      </c>
      <c r="O1073">
        <v>2494.2199999999998</v>
      </c>
      <c r="P1073" t="s">
        <v>2111</v>
      </c>
      <c r="Q1073" t="s">
        <v>789</v>
      </c>
    </row>
    <row r="1074" spans="1:17" x14ac:dyDescent="0.3">
      <c r="A1074" t="s">
        <v>1617</v>
      </c>
      <c r="B1074" t="s">
        <v>1616</v>
      </c>
      <c r="C1074" s="1">
        <v>46154</v>
      </c>
      <c r="D1074" t="s">
        <v>26</v>
      </c>
      <c r="E1074" t="s">
        <v>42</v>
      </c>
      <c r="F1074" t="s">
        <v>74</v>
      </c>
      <c r="G1074" t="s">
        <v>86</v>
      </c>
      <c r="H1074" t="s">
        <v>87</v>
      </c>
      <c r="I1074" t="s">
        <v>82</v>
      </c>
      <c r="J1074">
        <v>3499</v>
      </c>
      <c r="K1074">
        <v>1</v>
      </c>
      <c r="L1074">
        <v>3445.75</v>
      </c>
      <c r="M1074">
        <v>0</v>
      </c>
      <c r="N1074">
        <v>3445.75</v>
      </c>
      <c r="O1074">
        <v>3445.75</v>
      </c>
      <c r="P1074" t="s">
        <v>2111</v>
      </c>
      <c r="Q1074" t="s">
        <v>1479</v>
      </c>
    </row>
    <row r="1075" spans="1:17" x14ac:dyDescent="0.3">
      <c r="A1075" t="s">
        <v>762</v>
      </c>
      <c r="B1075" t="s">
        <v>761</v>
      </c>
      <c r="C1075" s="1">
        <v>46079</v>
      </c>
      <c r="D1075" t="s">
        <v>41</v>
      </c>
      <c r="E1075" t="s">
        <v>17</v>
      </c>
      <c r="F1075" t="s">
        <v>74</v>
      </c>
      <c r="G1075" t="s">
        <v>80</v>
      </c>
      <c r="H1075" t="s">
        <v>81</v>
      </c>
      <c r="I1075" t="s">
        <v>82</v>
      </c>
      <c r="J1075">
        <v>4299</v>
      </c>
      <c r="K1075">
        <v>1</v>
      </c>
      <c r="L1075">
        <v>4306.92</v>
      </c>
      <c r="M1075">
        <v>430.69</v>
      </c>
      <c r="N1075">
        <v>4306.92</v>
      </c>
      <c r="O1075">
        <v>3876.23</v>
      </c>
      <c r="P1075" t="s">
        <v>2111</v>
      </c>
      <c r="Q1075" t="s">
        <v>498</v>
      </c>
    </row>
    <row r="1076" spans="1:17" x14ac:dyDescent="0.3">
      <c r="A1076" t="s">
        <v>389</v>
      </c>
      <c r="B1076" t="s">
        <v>388</v>
      </c>
      <c r="C1076" s="1">
        <v>46044</v>
      </c>
      <c r="D1076" t="s">
        <v>26</v>
      </c>
      <c r="E1076" t="s">
        <v>50</v>
      </c>
      <c r="F1076" t="s">
        <v>60</v>
      </c>
      <c r="G1076" t="s">
        <v>91</v>
      </c>
      <c r="H1076" t="s">
        <v>92</v>
      </c>
      <c r="I1076" t="s">
        <v>37</v>
      </c>
      <c r="J1076">
        <v>1899</v>
      </c>
      <c r="K1076">
        <v>1</v>
      </c>
      <c r="L1076">
        <v>2068.0300000000002</v>
      </c>
      <c r="M1076">
        <v>206.8</v>
      </c>
      <c r="N1076">
        <v>2068.0300000000002</v>
      </c>
      <c r="O1076">
        <v>1861.23</v>
      </c>
      <c r="P1076" t="s">
        <v>2111</v>
      </c>
      <c r="Q1076" t="s">
        <v>23</v>
      </c>
    </row>
    <row r="1077" spans="1:17" x14ac:dyDescent="0.3">
      <c r="A1077" t="s">
        <v>1358</v>
      </c>
      <c r="B1077" t="s">
        <v>1357</v>
      </c>
      <c r="C1077" s="1">
        <v>46133</v>
      </c>
      <c r="D1077" t="s">
        <v>41</v>
      </c>
      <c r="E1077" t="s">
        <v>17</v>
      </c>
      <c r="F1077" t="s">
        <v>31</v>
      </c>
      <c r="G1077" t="s">
        <v>126</v>
      </c>
      <c r="H1077" t="s">
        <v>127</v>
      </c>
      <c r="I1077" t="s">
        <v>45</v>
      </c>
      <c r="J1077">
        <v>2499</v>
      </c>
      <c r="K1077">
        <v>1</v>
      </c>
      <c r="L1077">
        <v>2523.09</v>
      </c>
      <c r="M1077">
        <v>630.77</v>
      </c>
      <c r="N1077">
        <v>2523.09</v>
      </c>
      <c r="O1077">
        <v>1892.32</v>
      </c>
      <c r="P1077" t="s">
        <v>2114</v>
      </c>
      <c r="Q1077" t="s">
        <v>1170</v>
      </c>
    </row>
    <row r="1078" spans="1:17" x14ac:dyDescent="0.3">
      <c r="A1078" t="s">
        <v>1623</v>
      </c>
      <c r="B1078" t="s">
        <v>1622</v>
      </c>
      <c r="C1078" s="1">
        <v>46154</v>
      </c>
      <c r="D1078" t="s">
        <v>41</v>
      </c>
      <c r="E1078" t="s">
        <v>17</v>
      </c>
      <c r="F1078" t="s">
        <v>74</v>
      </c>
      <c r="G1078" t="s">
        <v>27</v>
      </c>
      <c r="H1078" t="s">
        <v>28</v>
      </c>
      <c r="I1078" t="s">
        <v>29</v>
      </c>
      <c r="J1078">
        <v>1599</v>
      </c>
      <c r="K1078">
        <v>1</v>
      </c>
      <c r="L1078">
        <v>1743.93</v>
      </c>
      <c r="M1078">
        <v>174.39</v>
      </c>
      <c r="N1078">
        <v>1743.93</v>
      </c>
      <c r="O1078">
        <v>1569.54</v>
      </c>
      <c r="P1078" t="s">
        <v>2111</v>
      </c>
      <c r="Q1078" t="s">
        <v>1479</v>
      </c>
    </row>
    <row r="1079" spans="1:17" x14ac:dyDescent="0.3">
      <c r="A1079" t="s">
        <v>895</v>
      </c>
      <c r="B1079" t="s">
        <v>894</v>
      </c>
      <c r="C1079" s="1">
        <v>46089</v>
      </c>
      <c r="D1079" t="s">
        <v>26</v>
      </c>
      <c r="E1079" t="s">
        <v>50</v>
      </c>
      <c r="F1079" t="s">
        <v>74</v>
      </c>
      <c r="G1079" t="s">
        <v>56</v>
      </c>
      <c r="H1079" t="s">
        <v>57</v>
      </c>
      <c r="I1079" t="s">
        <v>58</v>
      </c>
      <c r="J1079">
        <v>8999</v>
      </c>
      <c r="K1079">
        <v>1</v>
      </c>
      <c r="L1079">
        <v>8423.59</v>
      </c>
      <c r="M1079">
        <v>1263.54</v>
      </c>
      <c r="N1079">
        <v>8423.59</v>
      </c>
      <c r="O1079">
        <v>7160.05</v>
      </c>
      <c r="P1079" t="s">
        <v>2111</v>
      </c>
      <c r="Q1079" t="s">
        <v>789</v>
      </c>
    </row>
    <row r="1080" spans="1:17" x14ac:dyDescent="0.3">
      <c r="A1080" t="s">
        <v>1517</v>
      </c>
      <c r="B1080" t="s">
        <v>1516</v>
      </c>
      <c r="C1080" s="1">
        <v>46146</v>
      </c>
      <c r="D1080" t="s">
        <v>34</v>
      </c>
      <c r="E1080" t="s">
        <v>17</v>
      </c>
      <c r="F1080" t="s">
        <v>22</v>
      </c>
      <c r="G1080" t="s">
        <v>106</v>
      </c>
      <c r="H1080" t="s">
        <v>107</v>
      </c>
      <c r="I1080" t="s">
        <v>108</v>
      </c>
      <c r="J1080">
        <v>599</v>
      </c>
      <c r="K1080">
        <v>1</v>
      </c>
      <c r="L1080">
        <v>625.85</v>
      </c>
      <c r="M1080">
        <v>62.59</v>
      </c>
      <c r="N1080">
        <v>625.85</v>
      </c>
      <c r="O1080">
        <v>563.26</v>
      </c>
      <c r="P1080" t="s">
        <v>2111</v>
      </c>
      <c r="Q1080" t="s">
        <v>1479</v>
      </c>
    </row>
    <row r="1081" spans="1:17" x14ac:dyDescent="0.3">
      <c r="A1081" t="s">
        <v>1319</v>
      </c>
      <c r="B1081" t="s">
        <v>1318</v>
      </c>
      <c r="C1081" s="1">
        <v>46130</v>
      </c>
      <c r="D1081" t="s">
        <v>16</v>
      </c>
      <c r="E1081" t="s">
        <v>17</v>
      </c>
      <c r="F1081" t="s">
        <v>31</v>
      </c>
      <c r="G1081" t="s">
        <v>27</v>
      </c>
      <c r="H1081" t="s">
        <v>28</v>
      </c>
      <c r="I1081" t="s">
        <v>29</v>
      </c>
      <c r="J1081">
        <v>1599</v>
      </c>
      <c r="K1081">
        <v>1</v>
      </c>
      <c r="L1081">
        <v>1698.85</v>
      </c>
      <c r="M1081">
        <v>0</v>
      </c>
      <c r="N1081">
        <v>1698.85</v>
      </c>
      <c r="O1081">
        <v>1698.85</v>
      </c>
      <c r="P1081" t="s">
        <v>2111</v>
      </c>
      <c r="Q1081" t="s">
        <v>1170</v>
      </c>
    </row>
    <row r="1082" spans="1:17" x14ac:dyDescent="0.3">
      <c r="A1082" t="s">
        <v>953</v>
      </c>
      <c r="B1082" t="s">
        <v>952</v>
      </c>
      <c r="C1082" s="1">
        <v>46093</v>
      </c>
      <c r="D1082" t="s">
        <v>16</v>
      </c>
      <c r="E1082" t="s">
        <v>50</v>
      </c>
      <c r="F1082" t="s">
        <v>74</v>
      </c>
      <c r="G1082" t="s">
        <v>27</v>
      </c>
      <c r="H1082" t="s">
        <v>28</v>
      </c>
      <c r="I1082" t="s">
        <v>29</v>
      </c>
      <c r="J1082">
        <v>1599</v>
      </c>
      <c r="K1082">
        <v>1</v>
      </c>
      <c r="L1082">
        <v>1656.29</v>
      </c>
      <c r="M1082">
        <v>82.81</v>
      </c>
      <c r="N1082">
        <v>1656.29</v>
      </c>
      <c r="O1082">
        <v>1573.48</v>
      </c>
      <c r="P1082" t="s">
        <v>2111</v>
      </c>
      <c r="Q1082" t="s">
        <v>789</v>
      </c>
    </row>
    <row r="1083" spans="1:17" x14ac:dyDescent="0.3">
      <c r="A1083" t="s">
        <v>718</v>
      </c>
      <c r="B1083" t="s">
        <v>717</v>
      </c>
      <c r="C1083" s="1">
        <v>46075</v>
      </c>
      <c r="D1083" t="s">
        <v>16</v>
      </c>
      <c r="E1083" t="s">
        <v>17</v>
      </c>
      <c r="F1083" t="s">
        <v>60</v>
      </c>
      <c r="G1083" t="s">
        <v>106</v>
      </c>
      <c r="H1083" t="s">
        <v>107</v>
      </c>
      <c r="I1083" t="s">
        <v>108</v>
      </c>
      <c r="J1083">
        <v>599</v>
      </c>
      <c r="K1083">
        <v>2</v>
      </c>
      <c r="L1083">
        <v>611.80999999999995</v>
      </c>
      <c r="M1083">
        <v>122.36</v>
      </c>
      <c r="N1083">
        <v>1223.6199999999999</v>
      </c>
      <c r="O1083">
        <v>1101.26</v>
      </c>
      <c r="P1083" t="s">
        <v>2111</v>
      </c>
      <c r="Q1083" t="s">
        <v>498</v>
      </c>
    </row>
    <row r="1084" spans="1:17" x14ac:dyDescent="0.3">
      <c r="A1084" t="s">
        <v>856</v>
      </c>
      <c r="B1084" t="s">
        <v>855</v>
      </c>
      <c r="C1084" s="1">
        <v>46086</v>
      </c>
      <c r="D1084" t="s">
        <v>16</v>
      </c>
      <c r="E1084" t="s">
        <v>50</v>
      </c>
      <c r="F1084" t="s">
        <v>22</v>
      </c>
      <c r="G1084" t="s">
        <v>191</v>
      </c>
      <c r="H1084" t="s">
        <v>192</v>
      </c>
      <c r="I1084" t="s">
        <v>45</v>
      </c>
      <c r="J1084">
        <v>699</v>
      </c>
      <c r="K1084">
        <v>2</v>
      </c>
      <c r="L1084">
        <v>708.06</v>
      </c>
      <c r="M1084">
        <v>354.03</v>
      </c>
      <c r="N1084">
        <v>1416.12</v>
      </c>
      <c r="O1084">
        <v>1062.0899999999999</v>
      </c>
      <c r="P1084" t="s">
        <v>2111</v>
      </c>
      <c r="Q1084" t="s">
        <v>789</v>
      </c>
    </row>
    <row r="1085" spans="1:17" x14ac:dyDescent="0.3">
      <c r="A1085" t="s">
        <v>2290</v>
      </c>
      <c r="B1085" t="s">
        <v>2291</v>
      </c>
      <c r="C1085" s="1">
        <v>46141</v>
      </c>
      <c r="D1085" t="s">
        <v>41</v>
      </c>
      <c r="E1085" t="s">
        <v>50</v>
      </c>
      <c r="F1085" t="s">
        <v>60</v>
      </c>
      <c r="G1085" t="s">
        <v>43</v>
      </c>
      <c r="H1085" t="s">
        <v>44</v>
      </c>
      <c r="I1085" t="s">
        <v>45</v>
      </c>
      <c r="J1085">
        <v>3299</v>
      </c>
      <c r="K1085">
        <v>1</v>
      </c>
      <c r="L1085">
        <v>3537.14</v>
      </c>
      <c r="M1085">
        <v>707.43</v>
      </c>
      <c r="N1085">
        <v>3537.14</v>
      </c>
      <c r="O1085">
        <v>2829.71</v>
      </c>
      <c r="P1085" t="s">
        <v>2111</v>
      </c>
      <c r="Q1085" t="s">
        <v>1170</v>
      </c>
    </row>
    <row r="1086" spans="1:17" x14ac:dyDescent="0.3">
      <c r="A1086" t="s">
        <v>1455</v>
      </c>
      <c r="B1086" t="s">
        <v>1454</v>
      </c>
      <c r="C1086" s="1">
        <v>46140</v>
      </c>
      <c r="D1086" t="s">
        <v>34</v>
      </c>
      <c r="E1086" t="s">
        <v>42</v>
      </c>
      <c r="F1086" t="s">
        <v>22</v>
      </c>
      <c r="G1086" t="s">
        <v>160</v>
      </c>
      <c r="H1086" t="s">
        <v>161</v>
      </c>
      <c r="I1086" t="s">
        <v>82</v>
      </c>
      <c r="J1086">
        <v>799</v>
      </c>
      <c r="K1086">
        <v>1</v>
      </c>
      <c r="L1086">
        <v>850.4</v>
      </c>
      <c r="M1086">
        <v>42.52</v>
      </c>
      <c r="N1086">
        <v>850.4</v>
      </c>
      <c r="O1086">
        <v>807.88</v>
      </c>
      <c r="P1086" t="s">
        <v>2111</v>
      </c>
      <c r="Q1086" t="s">
        <v>1170</v>
      </c>
    </row>
    <row r="1087" spans="1:17" x14ac:dyDescent="0.3">
      <c r="A1087" t="s">
        <v>2628</v>
      </c>
      <c r="B1087" t="s">
        <v>2629</v>
      </c>
      <c r="C1087" s="1">
        <v>46202</v>
      </c>
      <c r="D1087" t="s">
        <v>34</v>
      </c>
      <c r="E1087" t="s">
        <v>17</v>
      </c>
      <c r="F1087" t="s">
        <v>47</v>
      </c>
      <c r="G1087" t="s">
        <v>160</v>
      </c>
      <c r="H1087" t="s">
        <v>161</v>
      </c>
      <c r="I1087" t="s">
        <v>82</v>
      </c>
      <c r="J1087">
        <v>799</v>
      </c>
      <c r="K1087">
        <v>2</v>
      </c>
      <c r="L1087">
        <v>738.64</v>
      </c>
      <c r="M1087">
        <v>73.86</v>
      </c>
      <c r="N1087">
        <v>1477.28</v>
      </c>
      <c r="O1087">
        <v>1403.42</v>
      </c>
      <c r="P1087" t="s">
        <v>2111</v>
      </c>
      <c r="Q1087" t="s">
        <v>1809</v>
      </c>
    </row>
    <row r="1088" spans="1:17" x14ac:dyDescent="0.3">
      <c r="A1088" t="s">
        <v>2455</v>
      </c>
      <c r="B1088" t="s">
        <v>2456</v>
      </c>
      <c r="C1088" s="1">
        <v>46055</v>
      </c>
      <c r="D1088" t="s">
        <v>41</v>
      </c>
      <c r="E1088" t="s">
        <v>17</v>
      </c>
      <c r="F1088" t="s">
        <v>74</v>
      </c>
      <c r="G1088" t="s">
        <v>250</v>
      </c>
      <c r="H1088" t="s">
        <v>251</v>
      </c>
      <c r="I1088" t="s">
        <v>108</v>
      </c>
      <c r="J1088">
        <v>899</v>
      </c>
      <c r="K1088">
        <v>3</v>
      </c>
      <c r="L1088">
        <v>961.68</v>
      </c>
      <c r="M1088">
        <v>144.25</v>
      </c>
      <c r="N1088">
        <v>2885.04</v>
      </c>
      <c r="O1088">
        <v>2740.79</v>
      </c>
      <c r="P1088" t="s">
        <v>2114</v>
      </c>
      <c r="Q1088" t="s">
        <v>498</v>
      </c>
    </row>
    <row r="1089" spans="1:17" x14ac:dyDescent="0.3">
      <c r="A1089" t="s">
        <v>2412</v>
      </c>
      <c r="B1089" t="s">
        <v>201</v>
      </c>
      <c r="C1089" s="1">
        <v>46041</v>
      </c>
      <c r="D1089" t="s">
        <v>34</v>
      </c>
      <c r="E1089" t="s">
        <v>17</v>
      </c>
      <c r="F1089" t="s">
        <v>60</v>
      </c>
      <c r="G1089" t="s">
        <v>149</v>
      </c>
      <c r="H1089" t="s">
        <v>150</v>
      </c>
      <c r="I1089" t="s">
        <v>37</v>
      </c>
      <c r="J1089">
        <v>2999</v>
      </c>
      <c r="K1089">
        <v>1</v>
      </c>
      <c r="L1089">
        <v>2947.46</v>
      </c>
      <c r="M1089">
        <v>589.49</v>
      </c>
      <c r="N1089">
        <v>2947.46</v>
      </c>
      <c r="O1089">
        <v>2357.9699999999998</v>
      </c>
      <c r="P1089" t="s">
        <v>2111</v>
      </c>
      <c r="Q1089" t="s">
        <v>23</v>
      </c>
    </row>
    <row r="1090" spans="1:17" x14ac:dyDescent="0.3">
      <c r="A1090" t="s">
        <v>2693</v>
      </c>
      <c r="B1090" t="s">
        <v>2565</v>
      </c>
      <c r="C1090" s="1">
        <v>46144</v>
      </c>
      <c r="D1090" t="s">
        <v>41</v>
      </c>
      <c r="E1090" t="s">
        <v>17</v>
      </c>
      <c r="F1090" t="s">
        <v>22</v>
      </c>
      <c r="G1090" t="s">
        <v>51</v>
      </c>
      <c r="H1090" t="s">
        <v>52</v>
      </c>
      <c r="I1090" t="s">
        <v>20</v>
      </c>
      <c r="J1090">
        <v>999</v>
      </c>
      <c r="K1090">
        <v>1</v>
      </c>
      <c r="L1090">
        <v>949.79</v>
      </c>
      <c r="M1090">
        <v>189.96</v>
      </c>
      <c r="N1090">
        <v>949.79</v>
      </c>
      <c r="O1090">
        <v>759.83</v>
      </c>
      <c r="P1090" t="s">
        <v>2114</v>
      </c>
      <c r="Q1090" t="s">
        <v>1479</v>
      </c>
    </row>
    <row r="1091" spans="1:17" x14ac:dyDescent="0.3">
      <c r="A1091" t="s">
        <v>608</v>
      </c>
      <c r="B1091" t="s">
        <v>607</v>
      </c>
      <c r="C1091" s="1">
        <v>46063</v>
      </c>
      <c r="D1091" t="s">
        <v>16</v>
      </c>
      <c r="E1091" t="s">
        <v>17</v>
      </c>
      <c r="F1091" t="s">
        <v>47</v>
      </c>
      <c r="G1091" t="s">
        <v>149</v>
      </c>
      <c r="H1091" t="s">
        <v>150</v>
      </c>
      <c r="I1091" t="s">
        <v>37</v>
      </c>
      <c r="J1091">
        <v>2999</v>
      </c>
      <c r="K1091">
        <v>1</v>
      </c>
      <c r="L1091">
        <v>3220.79</v>
      </c>
      <c r="M1091">
        <v>483.12</v>
      </c>
      <c r="N1091">
        <v>3220.79</v>
      </c>
      <c r="O1091">
        <v>2737.67</v>
      </c>
      <c r="P1091" t="s">
        <v>2111</v>
      </c>
      <c r="Q1091" t="s">
        <v>498</v>
      </c>
    </row>
    <row r="1092" spans="1:17" x14ac:dyDescent="0.3">
      <c r="A1092" t="s">
        <v>2694</v>
      </c>
      <c r="B1092" t="s">
        <v>1279</v>
      </c>
      <c r="C1092" s="1">
        <v>46203</v>
      </c>
      <c r="D1092" t="s">
        <v>63</v>
      </c>
      <c r="E1092" t="s">
        <v>50</v>
      </c>
      <c r="F1092" t="s">
        <v>60</v>
      </c>
      <c r="G1092" t="s">
        <v>250</v>
      </c>
      <c r="H1092" t="s">
        <v>251</v>
      </c>
      <c r="I1092" t="s">
        <v>108</v>
      </c>
      <c r="J1092">
        <v>899</v>
      </c>
      <c r="K1092">
        <v>1</v>
      </c>
      <c r="L1092">
        <v>886.78</v>
      </c>
      <c r="M1092">
        <v>88.68</v>
      </c>
      <c r="N1092">
        <v>886.78</v>
      </c>
      <c r="O1092">
        <v>798.1</v>
      </c>
      <c r="P1092" t="s">
        <v>2111</v>
      </c>
      <c r="Q1092" t="s">
        <v>1809</v>
      </c>
    </row>
    <row r="1093" spans="1:17" x14ac:dyDescent="0.3">
      <c r="A1093" t="s">
        <v>2695</v>
      </c>
      <c r="B1093" t="s">
        <v>908</v>
      </c>
      <c r="C1093" s="1">
        <v>46079</v>
      </c>
      <c r="D1093" t="s">
        <v>16</v>
      </c>
      <c r="E1093" t="s">
        <v>17</v>
      </c>
      <c r="F1093" t="s">
        <v>22</v>
      </c>
      <c r="G1093" t="s">
        <v>191</v>
      </c>
      <c r="H1093" t="s">
        <v>192</v>
      </c>
      <c r="I1093" t="s">
        <v>45</v>
      </c>
      <c r="J1093">
        <v>699</v>
      </c>
      <c r="K1093">
        <v>1</v>
      </c>
      <c r="L1093">
        <v>742.11</v>
      </c>
      <c r="M1093">
        <v>74.209999999999994</v>
      </c>
      <c r="N1093">
        <v>742.11</v>
      </c>
      <c r="O1093">
        <v>667.9</v>
      </c>
      <c r="P1093" t="s">
        <v>2111</v>
      </c>
      <c r="Q1093" t="s">
        <v>498</v>
      </c>
    </row>
    <row r="1094" spans="1:17" x14ac:dyDescent="0.3">
      <c r="A1094" t="s">
        <v>564</v>
      </c>
      <c r="B1094" t="s">
        <v>563</v>
      </c>
      <c r="C1094" s="1">
        <v>46059</v>
      </c>
      <c r="D1094" t="s">
        <v>63</v>
      </c>
      <c r="E1094" t="s">
        <v>50</v>
      </c>
      <c r="F1094" t="s">
        <v>22</v>
      </c>
      <c r="G1094" t="s">
        <v>126</v>
      </c>
      <c r="H1094" t="s">
        <v>127</v>
      </c>
      <c r="I1094" t="s">
        <v>45</v>
      </c>
      <c r="J1094">
        <v>2499</v>
      </c>
      <c r="K1094">
        <v>1</v>
      </c>
      <c r="L1094">
        <v>2380.75</v>
      </c>
      <c r="M1094">
        <v>238.08</v>
      </c>
      <c r="N1094">
        <v>2380.75</v>
      </c>
      <c r="O1094">
        <v>2142.67</v>
      </c>
      <c r="P1094" t="s">
        <v>2114</v>
      </c>
      <c r="Q1094" t="s">
        <v>498</v>
      </c>
    </row>
    <row r="1095" spans="1:17" x14ac:dyDescent="0.3">
      <c r="A1095" t="s">
        <v>1418</v>
      </c>
      <c r="B1095" t="s">
        <v>1417</v>
      </c>
      <c r="C1095" s="1">
        <v>46137</v>
      </c>
      <c r="D1095" t="s">
        <v>63</v>
      </c>
      <c r="E1095" t="s">
        <v>50</v>
      </c>
      <c r="F1095" t="s">
        <v>31</v>
      </c>
      <c r="G1095" t="s">
        <v>96</v>
      </c>
      <c r="H1095" t="s">
        <v>97</v>
      </c>
      <c r="I1095" t="s">
        <v>58</v>
      </c>
      <c r="J1095">
        <v>7499</v>
      </c>
      <c r="K1095">
        <v>2</v>
      </c>
      <c r="L1095">
        <v>6754.99</v>
      </c>
      <c r="M1095">
        <v>675.5</v>
      </c>
      <c r="N1095">
        <v>13509.98</v>
      </c>
      <c r="O1095">
        <v>12834.48</v>
      </c>
      <c r="P1095" t="s">
        <v>2114</v>
      </c>
      <c r="Q1095" t="s">
        <v>1170</v>
      </c>
    </row>
    <row r="1096" spans="1:17" x14ac:dyDescent="0.3">
      <c r="A1096" t="s">
        <v>2696</v>
      </c>
      <c r="B1096" t="s">
        <v>2697</v>
      </c>
      <c r="C1096" s="1">
        <v>46069</v>
      </c>
      <c r="D1096" t="s">
        <v>16</v>
      </c>
      <c r="E1096" t="s">
        <v>17</v>
      </c>
      <c r="F1096" t="s">
        <v>47</v>
      </c>
      <c r="G1096" t="s">
        <v>56</v>
      </c>
      <c r="H1096" t="s">
        <v>57</v>
      </c>
      <c r="I1096" t="s">
        <v>58</v>
      </c>
      <c r="J1096">
        <v>8999</v>
      </c>
      <c r="K1096">
        <v>1</v>
      </c>
      <c r="L1096">
        <v>8990.83</v>
      </c>
      <c r="M1096">
        <v>899.08</v>
      </c>
      <c r="N1096">
        <v>8990.83</v>
      </c>
      <c r="O1096">
        <v>8091.75</v>
      </c>
      <c r="P1096" t="s">
        <v>2111</v>
      </c>
      <c r="Q1096" t="s">
        <v>498</v>
      </c>
    </row>
    <row r="1097" spans="1:17" x14ac:dyDescent="0.3">
      <c r="A1097" t="s">
        <v>1217</v>
      </c>
      <c r="B1097" t="s">
        <v>1216</v>
      </c>
      <c r="C1097" s="1">
        <v>46118</v>
      </c>
      <c r="D1097" t="s">
        <v>34</v>
      </c>
      <c r="E1097" t="s">
        <v>17</v>
      </c>
      <c r="F1097" t="s">
        <v>31</v>
      </c>
      <c r="G1097" t="s">
        <v>43</v>
      </c>
      <c r="H1097" t="s">
        <v>44</v>
      </c>
      <c r="I1097" t="s">
        <v>45</v>
      </c>
      <c r="J1097">
        <v>3299</v>
      </c>
      <c r="K1097">
        <v>1</v>
      </c>
      <c r="L1097">
        <v>3035.23</v>
      </c>
      <c r="M1097">
        <v>0</v>
      </c>
      <c r="N1097">
        <v>3035.23</v>
      </c>
      <c r="O1097">
        <v>3035.23</v>
      </c>
      <c r="P1097" t="s">
        <v>2111</v>
      </c>
      <c r="Q1097" t="s">
        <v>1170</v>
      </c>
    </row>
    <row r="1098" spans="1:17" x14ac:dyDescent="0.3">
      <c r="A1098" t="s">
        <v>2698</v>
      </c>
      <c r="B1098" t="s">
        <v>2699</v>
      </c>
      <c r="C1098" s="1">
        <v>46137</v>
      </c>
      <c r="D1098" t="s">
        <v>16</v>
      </c>
      <c r="E1098" t="s">
        <v>17</v>
      </c>
      <c r="F1098" t="s">
        <v>22</v>
      </c>
      <c r="G1098" t="s">
        <v>27</v>
      </c>
      <c r="H1098" t="s">
        <v>28</v>
      </c>
      <c r="I1098" t="s">
        <v>29</v>
      </c>
      <c r="J1098">
        <v>1599</v>
      </c>
      <c r="K1098">
        <v>1</v>
      </c>
      <c r="L1098">
        <v>1680.35</v>
      </c>
      <c r="M1098">
        <v>0</v>
      </c>
      <c r="N1098">
        <v>1680.35</v>
      </c>
      <c r="O1098">
        <v>1680.35</v>
      </c>
      <c r="P1098" t="s">
        <v>2111</v>
      </c>
      <c r="Q1098" t="s">
        <v>1170</v>
      </c>
    </row>
    <row r="1099" spans="1:17" x14ac:dyDescent="0.3">
      <c r="A1099" t="s">
        <v>2700</v>
      </c>
      <c r="B1099" t="s">
        <v>1093</v>
      </c>
      <c r="C1099" s="1">
        <v>46087</v>
      </c>
      <c r="D1099" t="s">
        <v>63</v>
      </c>
      <c r="E1099" t="s">
        <v>17</v>
      </c>
      <c r="F1099" t="s">
        <v>22</v>
      </c>
      <c r="G1099" t="s">
        <v>160</v>
      </c>
      <c r="H1099" t="s">
        <v>161</v>
      </c>
      <c r="I1099" t="s">
        <v>82</v>
      </c>
      <c r="J1099">
        <v>799</v>
      </c>
      <c r="K1099">
        <v>1</v>
      </c>
      <c r="L1099">
        <v>763.22</v>
      </c>
      <c r="M1099">
        <v>152.63999999999999</v>
      </c>
      <c r="N1099">
        <v>763.22</v>
      </c>
      <c r="O1099">
        <v>610.58000000000004</v>
      </c>
      <c r="P1099" t="s">
        <v>2111</v>
      </c>
      <c r="Q1099" t="s">
        <v>789</v>
      </c>
    </row>
    <row r="1100" spans="1:17" x14ac:dyDescent="0.3">
      <c r="A1100" t="s">
        <v>2701</v>
      </c>
      <c r="B1100" t="s">
        <v>105</v>
      </c>
      <c r="C1100" s="1">
        <v>46035</v>
      </c>
      <c r="D1100" t="s">
        <v>16</v>
      </c>
      <c r="E1100" t="s">
        <v>17</v>
      </c>
      <c r="F1100" t="s">
        <v>60</v>
      </c>
      <c r="G1100" t="s">
        <v>160</v>
      </c>
      <c r="H1100" t="s">
        <v>161</v>
      </c>
      <c r="I1100" t="s">
        <v>82</v>
      </c>
      <c r="J1100">
        <v>799</v>
      </c>
      <c r="K1100">
        <v>1</v>
      </c>
      <c r="L1100">
        <v>789.99</v>
      </c>
      <c r="M1100">
        <v>118.5</v>
      </c>
      <c r="N1100">
        <v>789.99</v>
      </c>
      <c r="O1100">
        <v>671.49</v>
      </c>
      <c r="P1100" t="s">
        <v>2111</v>
      </c>
      <c r="Q1100" t="s">
        <v>23</v>
      </c>
    </row>
    <row r="1101" spans="1:17" x14ac:dyDescent="0.3">
      <c r="A1101" t="s">
        <v>2468</v>
      </c>
      <c r="B1101" t="s">
        <v>2353</v>
      </c>
      <c r="C1101" s="1">
        <v>46186</v>
      </c>
      <c r="D1101" t="s">
        <v>26</v>
      </c>
      <c r="E1101" t="s">
        <v>50</v>
      </c>
      <c r="F1101" t="s">
        <v>22</v>
      </c>
      <c r="G1101" t="s">
        <v>80</v>
      </c>
      <c r="H1101" t="s">
        <v>81</v>
      </c>
      <c r="I1101" t="s">
        <v>82</v>
      </c>
      <c r="J1101">
        <v>4299</v>
      </c>
      <c r="K1101">
        <v>1</v>
      </c>
      <c r="L1101">
        <v>3943.93</v>
      </c>
      <c r="M1101">
        <v>394.39</v>
      </c>
      <c r="N1101">
        <v>3943.93</v>
      </c>
      <c r="O1101">
        <v>3549.54</v>
      </c>
      <c r="P1101" t="s">
        <v>2111</v>
      </c>
      <c r="Q1101" t="s">
        <v>1809</v>
      </c>
    </row>
    <row r="1102" spans="1:17" x14ac:dyDescent="0.3">
      <c r="A1102" t="s">
        <v>117</v>
      </c>
      <c r="B1102" t="s">
        <v>116</v>
      </c>
      <c r="C1102" s="1">
        <v>46027</v>
      </c>
      <c r="D1102" t="s">
        <v>63</v>
      </c>
      <c r="E1102" t="s">
        <v>17</v>
      </c>
      <c r="F1102" t="s">
        <v>47</v>
      </c>
      <c r="G1102" t="s">
        <v>18</v>
      </c>
      <c r="H1102" t="s">
        <v>19</v>
      </c>
      <c r="I1102" t="s">
        <v>20</v>
      </c>
      <c r="J1102">
        <v>2799</v>
      </c>
      <c r="K1102">
        <v>3</v>
      </c>
      <c r="L1102">
        <v>2679.57</v>
      </c>
      <c r="M1102">
        <v>803.87</v>
      </c>
      <c r="N1102">
        <v>8038.71</v>
      </c>
      <c r="O1102">
        <v>7234.84</v>
      </c>
      <c r="P1102" t="s">
        <v>2111</v>
      </c>
      <c r="Q1102" t="s">
        <v>23</v>
      </c>
    </row>
    <row r="1103" spans="1:17" x14ac:dyDescent="0.3">
      <c r="A1103" t="s">
        <v>2702</v>
      </c>
      <c r="B1103" t="s">
        <v>2703</v>
      </c>
      <c r="C1103" s="1">
        <v>46082</v>
      </c>
      <c r="D1103" t="s">
        <v>41</v>
      </c>
      <c r="E1103" t="s">
        <v>17</v>
      </c>
      <c r="F1103" t="s">
        <v>60</v>
      </c>
      <c r="G1103" t="s">
        <v>51</v>
      </c>
      <c r="H1103" t="s">
        <v>52</v>
      </c>
      <c r="I1103" t="s">
        <v>20</v>
      </c>
      <c r="J1103">
        <v>999</v>
      </c>
      <c r="K1103">
        <v>1</v>
      </c>
      <c r="L1103">
        <v>1055.24</v>
      </c>
      <c r="M1103">
        <v>52.76</v>
      </c>
      <c r="N1103">
        <v>1055.24</v>
      </c>
      <c r="O1103">
        <v>1002.48</v>
      </c>
      <c r="P1103" t="s">
        <v>2111</v>
      </c>
      <c r="Q1103" t="s">
        <v>789</v>
      </c>
    </row>
    <row r="1104" spans="1:17" x14ac:dyDescent="0.3">
      <c r="A1104" t="s">
        <v>1973</v>
      </c>
      <c r="B1104" t="s">
        <v>1972</v>
      </c>
      <c r="C1104" s="1">
        <v>46192</v>
      </c>
      <c r="D1104" t="s">
        <v>41</v>
      </c>
      <c r="E1104" t="s">
        <v>17</v>
      </c>
      <c r="F1104" t="s">
        <v>22</v>
      </c>
      <c r="G1104" t="s">
        <v>43</v>
      </c>
      <c r="H1104" t="s">
        <v>44</v>
      </c>
      <c r="I1104" t="s">
        <v>45</v>
      </c>
      <c r="J1104">
        <v>3299</v>
      </c>
      <c r="K1104">
        <v>2</v>
      </c>
      <c r="L1104">
        <v>3069.12</v>
      </c>
      <c r="M1104">
        <v>920.74</v>
      </c>
      <c r="N1104">
        <v>6138.24</v>
      </c>
      <c r="O1104">
        <v>5217.5</v>
      </c>
      <c r="P1104" t="s">
        <v>2111</v>
      </c>
      <c r="Q1104" t="s">
        <v>1809</v>
      </c>
    </row>
    <row r="1105" spans="1:17" x14ac:dyDescent="0.3">
      <c r="A1105" t="s">
        <v>550</v>
      </c>
      <c r="B1105" t="s">
        <v>536</v>
      </c>
      <c r="C1105" s="1">
        <v>46058</v>
      </c>
      <c r="D1105" t="s">
        <v>34</v>
      </c>
      <c r="E1105" t="s">
        <v>42</v>
      </c>
      <c r="F1105" t="s">
        <v>22</v>
      </c>
      <c r="G1105" t="s">
        <v>96</v>
      </c>
      <c r="H1105" t="s">
        <v>97</v>
      </c>
      <c r="I1105" t="s">
        <v>58</v>
      </c>
      <c r="J1105">
        <v>7499</v>
      </c>
      <c r="K1105">
        <v>3</v>
      </c>
      <c r="L1105">
        <v>7719.71</v>
      </c>
      <c r="M1105">
        <v>3473.87</v>
      </c>
      <c r="N1105">
        <v>23159.13</v>
      </c>
      <c r="O1105">
        <v>19685.259999999998</v>
      </c>
      <c r="P1105" t="s">
        <v>2111</v>
      </c>
      <c r="Q1105" t="s">
        <v>498</v>
      </c>
    </row>
    <row r="1106" spans="1:17" x14ac:dyDescent="0.3">
      <c r="A1106" t="s">
        <v>103</v>
      </c>
      <c r="B1106" t="s">
        <v>100</v>
      </c>
      <c r="C1106" s="1">
        <v>46025</v>
      </c>
      <c r="D1106" t="s">
        <v>16</v>
      </c>
      <c r="E1106" t="s">
        <v>50</v>
      </c>
      <c r="F1106" t="s">
        <v>22</v>
      </c>
      <c r="G1106" t="s">
        <v>126</v>
      </c>
      <c r="H1106" t="s">
        <v>127</v>
      </c>
      <c r="I1106" t="s">
        <v>45</v>
      </c>
      <c r="J1106">
        <v>2499</v>
      </c>
      <c r="K1106">
        <v>1</v>
      </c>
      <c r="L1106">
        <v>2707.63</v>
      </c>
      <c r="M1106">
        <v>406.14</v>
      </c>
      <c r="N1106">
        <v>2707.63</v>
      </c>
      <c r="O1106">
        <v>2301.4899999999998</v>
      </c>
      <c r="P1106" t="s">
        <v>2111</v>
      </c>
      <c r="Q1106" t="s">
        <v>23</v>
      </c>
    </row>
    <row r="1107" spans="1:17" x14ac:dyDescent="0.3">
      <c r="A1107" t="s">
        <v>2704</v>
      </c>
      <c r="B1107" t="s">
        <v>2705</v>
      </c>
      <c r="C1107" s="1">
        <v>46069</v>
      </c>
      <c r="D1107" t="s">
        <v>16</v>
      </c>
      <c r="E1107" t="s">
        <v>50</v>
      </c>
      <c r="F1107" t="s">
        <v>60</v>
      </c>
      <c r="G1107" t="s">
        <v>112</v>
      </c>
      <c r="H1107" t="s">
        <v>113</v>
      </c>
      <c r="I1107" t="s">
        <v>37</v>
      </c>
      <c r="J1107">
        <v>1499</v>
      </c>
      <c r="K1107">
        <v>1</v>
      </c>
      <c r="L1107">
        <v>1552.92</v>
      </c>
      <c r="M1107">
        <v>232.94</v>
      </c>
      <c r="N1107">
        <v>1552.92</v>
      </c>
      <c r="O1107">
        <v>1319.98</v>
      </c>
      <c r="P1107" t="s">
        <v>2111</v>
      </c>
      <c r="Q1107" t="s">
        <v>498</v>
      </c>
    </row>
    <row r="1108" spans="1:17" x14ac:dyDescent="0.3">
      <c r="A1108" t="s">
        <v>2373</v>
      </c>
      <c r="B1108" t="s">
        <v>758</v>
      </c>
      <c r="C1108" s="1">
        <v>46160</v>
      </c>
      <c r="D1108" t="s">
        <v>34</v>
      </c>
      <c r="E1108" t="s">
        <v>50</v>
      </c>
      <c r="F1108" t="s">
        <v>22</v>
      </c>
      <c r="G1108" t="s">
        <v>101</v>
      </c>
      <c r="H1108" t="s">
        <v>102</v>
      </c>
      <c r="I1108" t="s">
        <v>45</v>
      </c>
      <c r="J1108">
        <v>4999</v>
      </c>
      <c r="K1108">
        <v>1</v>
      </c>
      <c r="L1108">
        <v>5309.96</v>
      </c>
      <c r="M1108">
        <v>265.5</v>
      </c>
      <c r="N1108">
        <v>5309.96</v>
      </c>
      <c r="O1108">
        <v>5044.46</v>
      </c>
      <c r="P1108" t="s">
        <v>2111</v>
      </c>
      <c r="Q1108" t="s">
        <v>1479</v>
      </c>
    </row>
    <row r="1109" spans="1:17" x14ac:dyDescent="0.3">
      <c r="A1109" t="s">
        <v>1602</v>
      </c>
      <c r="B1109" t="s">
        <v>1601</v>
      </c>
      <c r="C1109" s="1">
        <v>46153</v>
      </c>
      <c r="D1109" t="s">
        <v>16</v>
      </c>
      <c r="E1109" t="s">
        <v>17</v>
      </c>
      <c r="F1109" t="s">
        <v>60</v>
      </c>
      <c r="G1109" t="s">
        <v>18</v>
      </c>
      <c r="H1109" t="s">
        <v>19</v>
      </c>
      <c r="I1109" t="s">
        <v>20</v>
      </c>
      <c r="J1109">
        <v>2799</v>
      </c>
      <c r="K1109">
        <v>3</v>
      </c>
      <c r="L1109">
        <v>2580.1</v>
      </c>
      <c r="M1109">
        <v>387.02</v>
      </c>
      <c r="N1109">
        <v>7740.3</v>
      </c>
      <c r="O1109">
        <v>7353.28</v>
      </c>
      <c r="P1109" t="s">
        <v>2111</v>
      </c>
      <c r="Q1109" t="s">
        <v>1479</v>
      </c>
    </row>
    <row r="1110" spans="1:17" x14ac:dyDescent="0.3">
      <c r="A1110" t="s">
        <v>1173</v>
      </c>
      <c r="B1110" t="s">
        <v>1172</v>
      </c>
      <c r="C1110" s="1">
        <v>46113</v>
      </c>
      <c r="D1110" t="s">
        <v>16</v>
      </c>
      <c r="E1110" t="s">
        <v>17</v>
      </c>
      <c r="F1110" t="s">
        <v>74</v>
      </c>
      <c r="G1110" t="s">
        <v>51</v>
      </c>
      <c r="H1110" t="s">
        <v>52</v>
      </c>
      <c r="I1110" t="s">
        <v>20</v>
      </c>
      <c r="J1110">
        <v>999</v>
      </c>
      <c r="K1110">
        <v>3</v>
      </c>
      <c r="L1110">
        <v>949.2</v>
      </c>
      <c r="M1110">
        <v>284.76</v>
      </c>
      <c r="N1110">
        <v>2847.6</v>
      </c>
      <c r="O1110">
        <v>2562.84</v>
      </c>
      <c r="P1110" t="s">
        <v>2111</v>
      </c>
      <c r="Q1110" t="s">
        <v>1170</v>
      </c>
    </row>
    <row r="1111" spans="1:17" x14ac:dyDescent="0.3">
      <c r="A1111" t="s">
        <v>2706</v>
      </c>
      <c r="B1111" t="s">
        <v>657</v>
      </c>
      <c r="C1111" s="1">
        <v>46157</v>
      </c>
      <c r="D1111" t="s">
        <v>26</v>
      </c>
      <c r="E1111" t="s">
        <v>50</v>
      </c>
      <c r="F1111" t="s">
        <v>74</v>
      </c>
      <c r="G1111" t="s">
        <v>149</v>
      </c>
      <c r="H1111" t="s">
        <v>150</v>
      </c>
      <c r="I1111" t="s">
        <v>37</v>
      </c>
      <c r="J1111">
        <v>2999</v>
      </c>
      <c r="K1111">
        <v>2</v>
      </c>
      <c r="L1111">
        <v>3235.64</v>
      </c>
      <c r="M1111">
        <v>323.56</v>
      </c>
      <c r="N1111">
        <v>6471.28</v>
      </c>
      <c r="O1111">
        <v>6147.72</v>
      </c>
      <c r="P1111" t="s">
        <v>2114</v>
      </c>
      <c r="Q1111" t="s">
        <v>1479</v>
      </c>
    </row>
    <row r="1112" spans="1:17" x14ac:dyDescent="0.3">
      <c r="A1112" t="s">
        <v>2707</v>
      </c>
      <c r="B1112" t="s">
        <v>1637</v>
      </c>
      <c r="C1112" s="1">
        <v>46049</v>
      </c>
      <c r="D1112" t="s">
        <v>63</v>
      </c>
      <c r="E1112" t="s">
        <v>17</v>
      </c>
      <c r="F1112" t="s">
        <v>31</v>
      </c>
      <c r="G1112" t="s">
        <v>126</v>
      </c>
      <c r="H1112" t="s">
        <v>127</v>
      </c>
      <c r="I1112" t="s">
        <v>45</v>
      </c>
      <c r="J1112">
        <v>2499</v>
      </c>
      <c r="K1112">
        <v>1</v>
      </c>
      <c r="L1112">
        <v>2606.5100000000002</v>
      </c>
      <c r="M1112">
        <v>390.98</v>
      </c>
      <c r="N1112">
        <v>2606.5100000000002</v>
      </c>
      <c r="O1112">
        <v>2215.5300000000002</v>
      </c>
      <c r="P1112" t="s">
        <v>2111</v>
      </c>
      <c r="Q1112" t="s">
        <v>23</v>
      </c>
    </row>
    <row r="1113" spans="1:17" x14ac:dyDescent="0.3">
      <c r="A1113" t="s">
        <v>2708</v>
      </c>
      <c r="B1113" t="s">
        <v>436</v>
      </c>
      <c r="C1113" s="1">
        <v>46099</v>
      </c>
      <c r="D1113" t="s">
        <v>26</v>
      </c>
      <c r="E1113" t="s">
        <v>17</v>
      </c>
      <c r="F1113" t="s">
        <v>60</v>
      </c>
      <c r="G1113" t="s">
        <v>51</v>
      </c>
      <c r="H1113" t="s">
        <v>52</v>
      </c>
      <c r="I1113" t="s">
        <v>20</v>
      </c>
      <c r="J1113">
        <v>999</v>
      </c>
      <c r="K1113">
        <v>2</v>
      </c>
      <c r="L1113">
        <v>1026.8800000000001</v>
      </c>
      <c r="M1113">
        <v>102.69</v>
      </c>
      <c r="N1113">
        <v>2053.7600000000002</v>
      </c>
      <c r="O1113">
        <v>1951.07</v>
      </c>
      <c r="P1113" t="s">
        <v>2111</v>
      </c>
      <c r="Q1113" t="s">
        <v>789</v>
      </c>
    </row>
    <row r="1114" spans="1:17" x14ac:dyDescent="0.3">
      <c r="A1114" t="s">
        <v>2167</v>
      </c>
      <c r="B1114" t="s">
        <v>2168</v>
      </c>
      <c r="C1114" s="1">
        <v>46113</v>
      </c>
      <c r="D1114" t="s">
        <v>34</v>
      </c>
      <c r="E1114" t="s">
        <v>17</v>
      </c>
      <c r="F1114" t="s">
        <v>74</v>
      </c>
      <c r="G1114" t="s">
        <v>106</v>
      </c>
      <c r="H1114" t="s">
        <v>107</v>
      </c>
      <c r="I1114" t="s">
        <v>108</v>
      </c>
      <c r="J1114">
        <v>599</v>
      </c>
      <c r="K1114">
        <v>1</v>
      </c>
      <c r="L1114">
        <v>618.62</v>
      </c>
      <c r="M1114">
        <v>0</v>
      </c>
      <c r="N1114">
        <v>618.62</v>
      </c>
      <c r="O1114">
        <v>618.62</v>
      </c>
      <c r="P1114" t="s">
        <v>2111</v>
      </c>
      <c r="Q1114" t="s">
        <v>1170</v>
      </c>
    </row>
    <row r="1115" spans="1:17" x14ac:dyDescent="0.3">
      <c r="A1115" t="s">
        <v>1205</v>
      </c>
      <c r="B1115" t="s">
        <v>427</v>
      </c>
      <c r="C1115" s="1">
        <v>46117</v>
      </c>
      <c r="D1115" t="s">
        <v>16</v>
      </c>
      <c r="E1115" t="s">
        <v>17</v>
      </c>
      <c r="F1115" t="s">
        <v>47</v>
      </c>
      <c r="G1115" t="s">
        <v>160</v>
      </c>
      <c r="H1115" t="s">
        <v>161</v>
      </c>
      <c r="I1115" t="s">
        <v>82</v>
      </c>
      <c r="J1115">
        <v>799</v>
      </c>
      <c r="K1115">
        <v>1</v>
      </c>
      <c r="L1115">
        <v>785.29</v>
      </c>
      <c r="M1115">
        <v>78.53</v>
      </c>
      <c r="N1115">
        <v>785.29</v>
      </c>
      <c r="O1115">
        <v>706.76</v>
      </c>
      <c r="P1115" t="s">
        <v>2111</v>
      </c>
      <c r="Q1115" t="s">
        <v>1170</v>
      </c>
    </row>
    <row r="1116" spans="1:17" x14ac:dyDescent="0.3">
      <c r="A1116" t="s">
        <v>2493</v>
      </c>
      <c r="B1116" t="s">
        <v>2494</v>
      </c>
      <c r="C1116" s="1">
        <v>46042</v>
      </c>
      <c r="D1116" t="s">
        <v>26</v>
      </c>
      <c r="E1116" t="s">
        <v>17</v>
      </c>
      <c r="F1116" t="s">
        <v>22</v>
      </c>
      <c r="G1116" t="s">
        <v>250</v>
      </c>
      <c r="H1116" t="s">
        <v>251</v>
      </c>
      <c r="I1116" t="s">
        <v>108</v>
      </c>
      <c r="J1116">
        <v>899</v>
      </c>
      <c r="K1116">
        <v>1</v>
      </c>
      <c r="L1116">
        <v>817.11</v>
      </c>
      <c r="M1116">
        <v>204.28</v>
      </c>
      <c r="N1116">
        <v>817.11</v>
      </c>
      <c r="O1116">
        <v>612.83000000000004</v>
      </c>
      <c r="P1116" t="s">
        <v>2111</v>
      </c>
      <c r="Q1116" t="s">
        <v>23</v>
      </c>
    </row>
    <row r="1117" spans="1:17" x14ac:dyDescent="0.3">
      <c r="A1117" t="s">
        <v>2709</v>
      </c>
      <c r="B1117" t="s">
        <v>2130</v>
      </c>
      <c r="C1117" s="1">
        <v>46120</v>
      </c>
      <c r="D1117" t="s">
        <v>16</v>
      </c>
      <c r="E1117" t="s">
        <v>17</v>
      </c>
      <c r="F1117" t="s">
        <v>74</v>
      </c>
      <c r="G1117" t="s">
        <v>86</v>
      </c>
      <c r="H1117" t="s">
        <v>87</v>
      </c>
      <c r="I1117" t="s">
        <v>82</v>
      </c>
      <c r="J1117">
        <v>3499</v>
      </c>
      <c r="K1117">
        <v>1</v>
      </c>
      <c r="L1117">
        <v>3698.05</v>
      </c>
      <c r="M1117">
        <v>184.9</v>
      </c>
      <c r="N1117">
        <v>3698.05</v>
      </c>
      <c r="O1117">
        <v>3513.15</v>
      </c>
      <c r="P1117" t="s">
        <v>2111</v>
      </c>
      <c r="Q1117" t="s">
        <v>1170</v>
      </c>
    </row>
    <row r="1118" spans="1:17" x14ac:dyDescent="0.3">
      <c r="A1118" t="s">
        <v>2000</v>
      </c>
      <c r="B1118" t="s">
        <v>1999</v>
      </c>
      <c r="C1118" s="1">
        <v>46194</v>
      </c>
      <c r="D1118" t="s">
        <v>26</v>
      </c>
      <c r="E1118" t="s">
        <v>17</v>
      </c>
      <c r="F1118" t="s">
        <v>31</v>
      </c>
      <c r="G1118" t="s">
        <v>43</v>
      </c>
      <c r="H1118" t="s">
        <v>44</v>
      </c>
      <c r="I1118" t="s">
        <v>45</v>
      </c>
      <c r="J1118">
        <v>3299</v>
      </c>
      <c r="K1118">
        <v>2</v>
      </c>
      <c r="L1118">
        <v>3416.91</v>
      </c>
      <c r="M1118">
        <v>683.38</v>
      </c>
      <c r="N1118">
        <v>6833.82</v>
      </c>
      <c r="O1118">
        <v>6150.44</v>
      </c>
      <c r="P1118" t="s">
        <v>2111</v>
      </c>
      <c r="Q1118" t="s">
        <v>1809</v>
      </c>
    </row>
    <row r="1119" spans="1:17" x14ac:dyDescent="0.3">
      <c r="A1119" t="s">
        <v>1918</v>
      </c>
      <c r="B1119" t="s">
        <v>1233</v>
      </c>
      <c r="C1119" s="1">
        <v>46184</v>
      </c>
      <c r="D1119" t="s">
        <v>41</v>
      </c>
      <c r="E1119" t="s">
        <v>17</v>
      </c>
      <c r="F1119" t="s">
        <v>74</v>
      </c>
      <c r="G1119" t="s">
        <v>106</v>
      </c>
      <c r="H1119" t="s">
        <v>107</v>
      </c>
      <c r="I1119" t="s">
        <v>108</v>
      </c>
      <c r="J1119">
        <v>599</v>
      </c>
      <c r="K1119">
        <v>1</v>
      </c>
      <c r="L1119">
        <v>595.74</v>
      </c>
      <c r="M1119">
        <v>59.57</v>
      </c>
      <c r="N1119">
        <v>595.74</v>
      </c>
      <c r="O1119">
        <v>536.16999999999996</v>
      </c>
      <c r="P1119" t="s">
        <v>2114</v>
      </c>
      <c r="Q1119" t="s">
        <v>1809</v>
      </c>
    </row>
    <row r="1120" spans="1:17" x14ac:dyDescent="0.3">
      <c r="A1120" t="s">
        <v>795</v>
      </c>
      <c r="B1120" t="s">
        <v>794</v>
      </c>
      <c r="C1120" s="1">
        <v>46082</v>
      </c>
      <c r="D1120" t="s">
        <v>26</v>
      </c>
      <c r="E1120" t="s">
        <v>17</v>
      </c>
      <c r="F1120" t="s">
        <v>60</v>
      </c>
      <c r="G1120" t="s">
        <v>27</v>
      </c>
      <c r="H1120" t="s">
        <v>28</v>
      </c>
      <c r="I1120" t="s">
        <v>29</v>
      </c>
      <c r="J1120">
        <v>1599</v>
      </c>
      <c r="K1120">
        <v>1</v>
      </c>
      <c r="L1120">
        <v>1726.84</v>
      </c>
      <c r="M1120">
        <v>0</v>
      </c>
      <c r="N1120">
        <v>1726.84</v>
      </c>
      <c r="O1120">
        <v>1726.84</v>
      </c>
      <c r="P1120" t="s">
        <v>2111</v>
      </c>
      <c r="Q1120" t="s">
        <v>789</v>
      </c>
    </row>
    <row r="1121" spans="1:17" x14ac:dyDescent="0.3">
      <c r="A1121" t="s">
        <v>2710</v>
      </c>
      <c r="B1121" t="s">
        <v>2212</v>
      </c>
      <c r="C1121" s="1">
        <v>46187</v>
      </c>
      <c r="D1121" t="s">
        <v>16</v>
      </c>
      <c r="E1121" t="s">
        <v>17</v>
      </c>
      <c r="F1121" t="s">
        <v>47</v>
      </c>
      <c r="G1121" t="s">
        <v>106</v>
      </c>
      <c r="H1121" t="s">
        <v>107</v>
      </c>
      <c r="I1121" t="s">
        <v>108</v>
      </c>
      <c r="J1121">
        <v>599</v>
      </c>
      <c r="K1121">
        <v>1</v>
      </c>
      <c r="L1121">
        <v>579.37</v>
      </c>
      <c r="M1121">
        <v>57.94</v>
      </c>
      <c r="N1121">
        <v>579.37</v>
      </c>
      <c r="O1121">
        <v>521.42999999999995</v>
      </c>
      <c r="P1121" t="s">
        <v>2111</v>
      </c>
      <c r="Q1121" t="s">
        <v>1809</v>
      </c>
    </row>
    <row r="1122" spans="1:17" x14ac:dyDescent="0.3">
      <c r="A1122" t="s">
        <v>720</v>
      </c>
      <c r="B1122" t="s">
        <v>485</v>
      </c>
      <c r="C1122" s="1">
        <v>46075</v>
      </c>
      <c r="D1122" t="s">
        <v>34</v>
      </c>
      <c r="E1122" t="s">
        <v>17</v>
      </c>
      <c r="F1122" t="s">
        <v>60</v>
      </c>
      <c r="G1122" t="s">
        <v>80</v>
      </c>
      <c r="H1122" t="s">
        <v>81</v>
      </c>
      <c r="I1122" t="s">
        <v>82</v>
      </c>
      <c r="J1122">
        <v>4299</v>
      </c>
      <c r="K1122">
        <v>2</v>
      </c>
      <c r="L1122">
        <v>4122.16</v>
      </c>
      <c r="M1122">
        <v>1236.6500000000001</v>
      </c>
      <c r="N1122">
        <v>8244.32</v>
      </c>
      <c r="O1122">
        <v>7007.67</v>
      </c>
      <c r="P1122" t="s">
        <v>2114</v>
      </c>
      <c r="Q1122" t="s">
        <v>498</v>
      </c>
    </row>
    <row r="1123" spans="1:17" x14ac:dyDescent="0.3">
      <c r="A1123" t="s">
        <v>1697</v>
      </c>
      <c r="B1123" t="s">
        <v>1696</v>
      </c>
      <c r="C1123" s="1">
        <v>46161</v>
      </c>
      <c r="D1123" t="s">
        <v>41</v>
      </c>
      <c r="E1123" t="s">
        <v>17</v>
      </c>
      <c r="F1123" t="s">
        <v>22</v>
      </c>
      <c r="G1123" t="s">
        <v>165</v>
      </c>
      <c r="H1123" t="s">
        <v>166</v>
      </c>
      <c r="I1123" t="s">
        <v>29</v>
      </c>
      <c r="J1123">
        <v>449</v>
      </c>
      <c r="K1123">
        <v>2</v>
      </c>
      <c r="L1123">
        <v>482.48</v>
      </c>
      <c r="M1123">
        <v>96.5</v>
      </c>
      <c r="N1123">
        <v>964.96</v>
      </c>
      <c r="O1123">
        <v>868.46</v>
      </c>
      <c r="P1123" t="s">
        <v>2111</v>
      </c>
      <c r="Q1123" t="s">
        <v>1479</v>
      </c>
    </row>
    <row r="1124" spans="1:17" x14ac:dyDescent="0.3">
      <c r="A1124" t="s">
        <v>1129</v>
      </c>
      <c r="B1124" t="s">
        <v>1128</v>
      </c>
      <c r="C1124" s="1">
        <v>46109</v>
      </c>
      <c r="D1124" t="s">
        <v>63</v>
      </c>
      <c r="E1124" t="s">
        <v>50</v>
      </c>
      <c r="F1124" t="s">
        <v>74</v>
      </c>
      <c r="G1124" t="s">
        <v>43</v>
      </c>
      <c r="H1124" t="s">
        <v>44</v>
      </c>
      <c r="I1124" t="s">
        <v>45</v>
      </c>
      <c r="J1124">
        <v>3299</v>
      </c>
      <c r="K1124">
        <v>1</v>
      </c>
      <c r="L1124">
        <v>3494.95</v>
      </c>
      <c r="M1124">
        <v>698.99</v>
      </c>
      <c r="N1124">
        <v>3494.95</v>
      </c>
      <c r="O1124">
        <v>2795.96</v>
      </c>
      <c r="P1124" t="s">
        <v>2111</v>
      </c>
      <c r="Q1124" t="s">
        <v>789</v>
      </c>
    </row>
    <row r="1125" spans="1:17" x14ac:dyDescent="0.3">
      <c r="A1125" t="s">
        <v>1523</v>
      </c>
      <c r="B1125" t="s">
        <v>1522</v>
      </c>
      <c r="C1125" s="1">
        <v>46146</v>
      </c>
      <c r="D1125" t="s">
        <v>16</v>
      </c>
      <c r="E1125" t="s">
        <v>50</v>
      </c>
      <c r="F1125" t="s">
        <v>74</v>
      </c>
      <c r="G1125" t="s">
        <v>355</v>
      </c>
      <c r="H1125" t="s">
        <v>356</v>
      </c>
      <c r="I1125" t="s">
        <v>82</v>
      </c>
      <c r="J1125">
        <v>499</v>
      </c>
      <c r="K1125">
        <v>1</v>
      </c>
      <c r="L1125">
        <v>500.49</v>
      </c>
      <c r="M1125">
        <v>25.02</v>
      </c>
      <c r="N1125">
        <v>500.49</v>
      </c>
      <c r="O1125">
        <v>475.47</v>
      </c>
      <c r="P1125" t="s">
        <v>2111</v>
      </c>
      <c r="Q1125" t="s">
        <v>1479</v>
      </c>
    </row>
    <row r="1126" spans="1:17" x14ac:dyDescent="0.3">
      <c r="A1126" t="s">
        <v>728</v>
      </c>
      <c r="B1126" t="s">
        <v>33</v>
      </c>
      <c r="C1126" s="1">
        <v>46076</v>
      </c>
      <c r="D1126" t="s">
        <v>26</v>
      </c>
      <c r="E1126" t="s">
        <v>17</v>
      </c>
      <c r="F1126" t="s">
        <v>60</v>
      </c>
      <c r="G1126" t="s">
        <v>101</v>
      </c>
      <c r="H1126" t="s">
        <v>102</v>
      </c>
      <c r="I1126" t="s">
        <v>45</v>
      </c>
      <c r="J1126">
        <v>4999</v>
      </c>
      <c r="K1126">
        <v>1</v>
      </c>
      <c r="L1126">
        <v>4629.8100000000004</v>
      </c>
      <c r="M1126">
        <v>0</v>
      </c>
      <c r="N1126">
        <v>4629.8100000000004</v>
      </c>
      <c r="O1126">
        <v>4629.8100000000004</v>
      </c>
      <c r="P1126" t="s">
        <v>2114</v>
      </c>
      <c r="Q1126" t="s">
        <v>498</v>
      </c>
    </row>
    <row r="1127" spans="1:17" x14ac:dyDescent="0.3">
      <c r="A1127" t="s">
        <v>2178</v>
      </c>
      <c r="B1127" t="s">
        <v>1959</v>
      </c>
      <c r="C1127" s="1">
        <v>46061</v>
      </c>
      <c r="D1127" t="s">
        <v>34</v>
      </c>
      <c r="E1127" t="s">
        <v>50</v>
      </c>
      <c r="F1127" t="s">
        <v>47</v>
      </c>
      <c r="G1127" t="s">
        <v>101</v>
      </c>
      <c r="H1127" t="s">
        <v>102</v>
      </c>
      <c r="I1127" t="s">
        <v>45</v>
      </c>
      <c r="J1127">
        <v>4999</v>
      </c>
      <c r="K1127">
        <v>3</v>
      </c>
      <c r="L1127">
        <v>4714.13</v>
      </c>
      <c r="M1127">
        <v>2828.48</v>
      </c>
      <c r="N1127">
        <v>14142.39</v>
      </c>
      <c r="O1127">
        <v>11313.91</v>
      </c>
      <c r="P1127" t="s">
        <v>2111</v>
      </c>
      <c r="Q1127" t="s">
        <v>498</v>
      </c>
    </row>
    <row r="1128" spans="1:17" x14ac:dyDescent="0.3">
      <c r="A1128" t="s">
        <v>1927</v>
      </c>
      <c r="B1128" t="s">
        <v>1926</v>
      </c>
      <c r="C1128" s="1">
        <v>46185</v>
      </c>
      <c r="D1128" t="s">
        <v>16</v>
      </c>
      <c r="E1128" t="s">
        <v>42</v>
      </c>
      <c r="F1128" t="s">
        <v>60</v>
      </c>
      <c r="G1128" t="s">
        <v>18</v>
      </c>
      <c r="H1128" t="s">
        <v>19</v>
      </c>
      <c r="I1128" t="s">
        <v>20</v>
      </c>
      <c r="J1128">
        <v>2799</v>
      </c>
      <c r="K1128">
        <v>1</v>
      </c>
      <c r="L1128">
        <v>2886.46</v>
      </c>
      <c r="M1128">
        <v>144.32</v>
      </c>
      <c r="N1128">
        <v>2886.46</v>
      </c>
      <c r="O1128">
        <v>2742.14</v>
      </c>
      <c r="P1128" t="s">
        <v>2111</v>
      </c>
      <c r="Q1128" t="s">
        <v>1809</v>
      </c>
    </row>
    <row r="1129" spans="1:17" x14ac:dyDescent="0.3">
      <c r="A1129" t="s">
        <v>599</v>
      </c>
      <c r="B1129" t="s">
        <v>598</v>
      </c>
      <c r="C1129" s="1">
        <v>46063</v>
      </c>
      <c r="D1129" t="s">
        <v>26</v>
      </c>
      <c r="E1129" t="s">
        <v>50</v>
      </c>
      <c r="F1129" t="s">
        <v>60</v>
      </c>
      <c r="G1129" t="s">
        <v>250</v>
      </c>
      <c r="H1129" t="s">
        <v>251</v>
      </c>
      <c r="I1129" t="s">
        <v>108</v>
      </c>
      <c r="J1129">
        <v>899</v>
      </c>
      <c r="K1129">
        <v>1</v>
      </c>
      <c r="L1129">
        <v>878.33</v>
      </c>
      <c r="M1129">
        <v>87.83</v>
      </c>
      <c r="N1129">
        <v>878.33</v>
      </c>
      <c r="O1129">
        <v>790.5</v>
      </c>
      <c r="P1129" t="s">
        <v>2111</v>
      </c>
      <c r="Q1129" t="s">
        <v>498</v>
      </c>
    </row>
    <row r="1130" spans="1:17" x14ac:dyDescent="0.3">
      <c r="A1130" t="s">
        <v>862</v>
      </c>
      <c r="B1130" t="s">
        <v>861</v>
      </c>
      <c r="C1130" s="1">
        <v>46087</v>
      </c>
      <c r="D1130" t="s">
        <v>16</v>
      </c>
      <c r="E1130" t="s">
        <v>17</v>
      </c>
      <c r="F1130" t="s">
        <v>31</v>
      </c>
      <c r="G1130" t="s">
        <v>106</v>
      </c>
      <c r="H1130" t="s">
        <v>107</v>
      </c>
      <c r="I1130" t="s">
        <v>108</v>
      </c>
      <c r="J1130">
        <v>599</v>
      </c>
      <c r="K1130">
        <v>1</v>
      </c>
      <c r="L1130">
        <v>639.30999999999995</v>
      </c>
      <c r="M1130">
        <v>95.9</v>
      </c>
      <c r="N1130">
        <v>639.30999999999995</v>
      </c>
      <c r="O1130">
        <v>543.41</v>
      </c>
      <c r="P1130" t="s">
        <v>2111</v>
      </c>
      <c r="Q1130" t="s">
        <v>789</v>
      </c>
    </row>
    <row r="1131" spans="1:17" x14ac:dyDescent="0.3">
      <c r="A1131" t="s">
        <v>2374</v>
      </c>
      <c r="B1131" t="s">
        <v>1468</v>
      </c>
      <c r="C1131" s="1">
        <v>46056</v>
      </c>
      <c r="D1131" t="s">
        <v>26</v>
      </c>
      <c r="E1131" t="s">
        <v>17</v>
      </c>
      <c r="F1131" t="s">
        <v>22</v>
      </c>
      <c r="G1131" t="s">
        <v>355</v>
      </c>
      <c r="H1131" t="s">
        <v>356</v>
      </c>
      <c r="I1131" t="s">
        <v>82</v>
      </c>
      <c r="J1131">
        <v>499</v>
      </c>
      <c r="K1131">
        <v>1</v>
      </c>
      <c r="L1131">
        <v>543.91</v>
      </c>
      <c r="M1131">
        <v>27.2</v>
      </c>
      <c r="N1131">
        <v>543.91</v>
      </c>
      <c r="O1131">
        <v>516.71</v>
      </c>
      <c r="P1131" t="s">
        <v>2111</v>
      </c>
      <c r="Q1131" t="s">
        <v>498</v>
      </c>
    </row>
    <row r="1132" spans="1:17" x14ac:dyDescent="0.3">
      <c r="A1132" t="s">
        <v>1820</v>
      </c>
      <c r="B1132" t="s">
        <v>1819</v>
      </c>
      <c r="C1132" s="1">
        <v>46174</v>
      </c>
      <c r="D1132" t="s">
        <v>26</v>
      </c>
      <c r="E1132" t="s">
        <v>50</v>
      </c>
      <c r="F1132" t="s">
        <v>74</v>
      </c>
      <c r="G1132" t="s">
        <v>51</v>
      </c>
      <c r="H1132" t="s">
        <v>52</v>
      </c>
      <c r="I1132" t="s">
        <v>20</v>
      </c>
      <c r="J1132">
        <v>999</v>
      </c>
      <c r="K1132">
        <v>2</v>
      </c>
      <c r="L1132">
        <v>1060.07</v>
      </c>
      <c r="M1132">
        <v>318.02</v>
      </c>
      <c r="N1132">
        <v>2120.14</v>
      </c>
      <c r="O1132">
        <v>1802.12</v>
      </c>
      <c r="P1132" t="s">
        <v>2111</v>
      </c>
      <c r="Q1132" t="s">
        <v>1809</v>
      </c>
    </row>
    <row r="1133" spans="1:17" x14ac:dyDescent="0.3">
      <c r="A1133" t="s">
        <v>70</v>
      </c>
      <c r="B1133" t="s">
        <v>69</v>
      </c>
      <c r="C1133" s="1">
        <v>46024</v>
      </c>
      <c r="D1133" t="s">
        <v>41</v>
      </c>
      <c r="E1133" t="s">
        <v>17</v>
      </c>
      <c r="F1133" t="s">
        <v>31</v>
      </c>
      <c r="G1133" t="s">
        <v>56</v>
      </c>
      <c r="H1133" t="s">
        <v>57</v>
      </c>
      <c r="I1133" t="s">
        <v>58</v>
      </c>
      <c r="J1133">
        <v>8999</v>
      </c>
      <c r="K1133">
        <v>1</v>
      </c>
      <c r="L1133">
        <v>8778.61</v>
      </c>
      <c r="M1133">
        <v>0</v>
      </c>
      <c r="N1133">
        <v>8778.61</v>
      </c>
      <c r="O1133">
        <v>8778.61</v>
      </c>
      <c r="P1133" t="s">
        <v>2111</v>
      </c>
      <c r="Q1133" t="s">
        <v>23</v>
      </c>
    </row>
    <row r="1134" spans="1:17" x14ac:dyDescent="0.3">
      <c r="A1134" t="s">
        <v>483</v>
      </c>
      <c r="B1134" t="s">
        <v>482</v>
      </c>
      <c r="C1134" s="1">
        <v>46053</v>
      </c>
      <c r="D1134" t="s">
        <v>63</v>
      </c>
      <c r="E1134" t="s">
        <v>17</v>
      </c>
      <c r="F1134" t="s">
        <v>31</v>
      </c>
      <c r="G1134" t="s">
        <v>80</v>
      </c>
      <c r="H1134" t="s">
        <v>81</v>
      </c>
      <c r="I1134" t="s">
        <v>82</v>
      </c>
      <c r="J1134">
        <v>4299</v>
      </c>
      <c r="K1134">
        <v>1</v>
      </c>
      <c r="L1134">
        <v>4547.21</v>
      </c>
      <c r="M1134">
        <v>227.36</v>
      </c>
      <c r="N1134">
        <v>4547.21</v>
      </c>
      <c r="O1134">
        <v>4319.8500000000004</v>
      </c>
      <c r="P1134" t="s">
        <v>2111</v>
      </c>
      <c r="Q1134" t="s">
        <v>23</v>
      </c>
    </row>
    <row r="1135" spans="1:17" x14ac:dyDescent="0.3">
      <c r="A1135" t="s">
        <v>2131</v>
      </c>
      <c r="B1135" t="s">
        <v>90</v>
      </c>
      <c r="C1135" s="1">
        <v>46073</v>
      </c>
      <c r="D1135" t="s">
        <v>34</v>
      </c>
      <c r="E1135" t="s">
        <v>17</v>
      </c>
      <c r="F1135" t="s">
        <v>60</v>
      </c>
      <c r="G1135" t="s">
        <v>149</v>
      </c>
      <c r="H1135" t="s">
        <v>150</v>
      </c>
      <c r="I1135" t="s">
        <v>37</v>
      </c>
      <c r="J1135">
        <v>2999</v>
      </c>
      <c r="K1135">
        <v>1</v>
      </c>
      <c r="L1135">
        <v>2909.89</v>
      </c>
      <c r="M1135">
        <v>0</v>
      </c>
      <c r="N1135">
        <v>2909.89</v>
      </c>
      <c r="O1135">
        <v>2909.89</v>
      </c>
      <c r="P1135" t="s">
        <v>2111</v>
      </c>
      <c r="Q1135" t="s">
        <v>498</v>
      </c>
    </row>
    <row r="1136" spans="1:17" x14ac:dyDescent="0.3">
      <c r="A1136" t="s">
        <v>2694</v>
      </c>
      <c r="B1136" t="s">
        <v>1279</v>
      </c>
      <c r="C1136" s="1">
        <v>46203</v>
      </c>
      <c r="D1136" t="s">
        <v>63</v>
      </c>
      <c r="E1136" t="s">
        <v>50</v>
      </c>
      <c r="F1136" t="s">
        <v>60</v>
      </c>
      <c r="G1136" t="s">
        <v>160</v>
      </c>
      <c r="H1136" t="s">
        <v>161</v>
      </c>
      <c r="I1136" t="s">
        <v>82</v>
      </c>
      <c r="J1136">
        <v>799</v>
      </c>
      <c r="K1136">
        <v>1</v>
      </c>
      <c r="L1136">
        <v>745.8</v>
      </c>
      <c r="M1136">
        <v>111.87</v>
      </c>
      <c r="N1136">
        <v>745.8</v>
      </c>
      <c r="O1136">
        <v>633.92999999999995</v>
      </c>
      <c r="P1136" t="s">
        <v>2111</v>
      </c>
      <c r="Q1136" t="s">
        <v>1809</v>
      </c>
    </row>
    <row r="1137" spans="1:17" x14ac:dyDescent="0.3">
      <c r="A1137" t="s">
        <v>2019</v>
      </c>
      <c r="B1137" t="s">
        <v>2018</v>
      </c>
      <c r="C1137" s="1">
        <v>46196</v>
      </c>
      <c r="D1137" t="s">
        <v>41</v>
      </c>
      <c r="E1137" t="s">
        <v>17</v>
      </c>
      <c r="F1137" t="s">
        <v>74</v>
      </c>
      <c r="G1137" t="s">
        <v>35</v>
      </c>
      <c r="H1137" t="s">
        <v>36</v>
      </c>
      <c r="I1137" t="s">
        <v>37</v>
      </c>
      <c r="J1137">
        <v>799</v>
      </c>
      <c r="K1137">
        <v>3</v>
      </c>
      <c r="L1137">
        <v>724.44</v>
      </c>
      <c r="M1137">
        <v>108.67</v>
      </c>
      <c r="N1137">
        <v>2173.3200000000002</v>
      </c>
      <c r="O1137">
        <v>2064.65</v>
      </c>
      <c r="P1137" t="s">
        <v>2111</v>
      </c>
      <c r="Q1137" t="s">
        <v>1809</v>
      </c>
    </row>
    <row r="1138" spans="1:17" x14ac:dyDescent="0.3">
      <c r="A1138" t="s">
        <v>911</v>
      </c>
      <c r="B1138" t="s">
        <v>500</v>
      </c>
      <c r="C1138" s="1">
        <v>46090</v>
      </c>
      <c r="D1138" t="s">
        <v>34</v>
      </c>
      <c r="E1138" t="s">
        <v>17</v>
      </c>
      <c r="F1138" t="s">
        <v>22</v>
      </c>
      <c r="G1138" t="s">
        <v>165</v>
      </c>
      <c r="H1138" t="s">
        <v>166</v>
      </c>
      <c r="I1138" t="s">
        <v>29</v>
      </c>
      <c r="J1138">
        <v>449</v>
      </c>
      <c r="K1138">
        <v>1</v>
      </c>
      <c r="L1138">
        <v>438.74</v>
      </c>
      <c r="M1138">
        <v>65.81</v>
      </c>
      <c r="N1138">
        <v>438.74</v>
      </c>
      <c r="O1138">
        <v>372.93</v>
      </c>
      <c r="P1138" t="s">
        <v>2111</v>
      </c>
      <c r="Q1138" t="s">
        <v>789</v>
      </c>
    </row>
    <row r="1139" spans="1:17" x14ac:dyDescent="0.3">
      <c r="A1139" t="s">
        <v>2711</v>
      </c>
      <c r="B1139" t="s">
        <v>843</v>
      </c>
      <c r="C1139" s="1">
        <v>46139</v>
      </c>
      <c r="D1139" t="s">
        <v>41</v>
      </c>
      <c r="E1139" t="s">
        <v>17</v>
      </c>
      <c r="F1139" t="s">
        <v>31</v>
      </c>
      <c r="G1139" t="s">
        <v>126</v>
      </c>
      <c r="H1139" t="s">
        <v>127</v>
      </c>
      <c r="I1139" t="s">
        <v>45</v>
      </c>
      <c r="J1139">
        <v>2499</v>
      </c>
      <c r="K1139">
        <v>2</v>
      </c>
      <c r="L1139">
        <v>2700.7</v>
      </c>
      <c r="M1139">
        <v>1080.28</v>
      </c>
      <c r="N1139">
        <v>5401.4</v>
      </c>
      <c r="O1139">
        <v>4321.12</v>
      </c>
      <c r="P1139" t="s">
        <v>2111</v>
      </c>
      <c r="Q1139" t="s">
        <v>1170</v>
      </c>
    </row>
    <row r="1140" spans="1:17" x14ac:dyDescent="0.3">
      <c r="A1140" t="s">
        <v>1361</v>
      </c>
      <c r="B1140" t="s">
        <v>1360</v>
      </c>
      <c r="C1140" s="1">
        <v>46133</v>
      </c>
      <c r="D1140" t="s">
        <v>16</v>
      </c>
      <c r="E1140" t="s">
        <v>50</v>
      </c>
      <c r="F1140" t="s">
        <v>60</v>
      </c>
      <c r="G1140" t="s">
        <v>126</v>
      </c>
      <c r="H1140" t="s">
        <v>127</v>
      </c>
      <c r="I1140" t="s">
        <v>45</v>
      </c>
      <c r="J1140">
        <v>2499</v>
      </c>
      <c r="K1140">
        <v>2</v>
      </c>
      <c r="L1140">
        <v>2368.5500000000002</v>
      </c>
      <c r="M1140">
        <v>473.71</v>
      </c>
      <c r="N1140">
        <v>4737.1000000000004</v>
      </c>
      <c r="O1140">
        <v>4263.3900000000003</v>
      </c>
      <c r="P1140" t="s">
        <v>2111</v>
      </c>
      <c r="Q1140" t="s">
        <v>1170</v>
      </c>
    </row>
    <row r="1141" spans="1:17" x14ac:dyDescent="0.3">
      <c r="A1141" t="s">
        <v>2712</v>
      </c>
      <c r="B1141" t="s">
        <v>275</v>
      </c>
      <c r="C1141" s="1">
        <v>46079</v>
      </c>
      <c r="D1141" t="s">
        <v>26</v>
      </c>
      <c r="E1141" t="s">
        <v>17</v>
      </c>
      <c r="F1141" t="s">
        <v>31</v>
      </c>
      <c r="G1141" t="s">
        <v>86</v>
      </c>
      <c r="H1141" t="s">
        <v>87</v>
      </c>
      <c r="I1141" t="s">
        <v>82</v>
      </c>
      <c r="J1141">
        <v>3499</v>
      </c>
      <c r="K1141">
        <v>1</v>
      </c>
      <c r="L1141">
        <v>3293.62</v>
      </c>
      <c r="M1141">
        <v>329.36</v>
      </c>
      <c r="N1141">
        <v>3293.62</v>
      </c>
      <c r="O1141">
        <v>2964.26</v>
      </c>
      <c r="P1141" t="s">
        <v>2111</v>
      </c>
      <c r="Q1141" t="s">
        <v>498</v>
      </c>
    </row>
    <row r="1142" spans="1:17" x14ac:dyDescent="0.3">
      <c r="A1142" t="s">
        <v>1828</v>
      </c>
      <c r="B1142" t="s">
        <v>1403</v>
      </c>
      <c r="C1142" s="1">
        <v>46174</v>
      </c>
      <c r="D1142" t="s">
        <v>26</v>
      </c>
      <c r="E1142" t="s">
        <v>17</v>
      </c>
      <c r="F1142" t="s">
        <v>22</v>
      </c>
      <c r="G1142" t="s">
        <v>56</v>
      </c>
      <c r="H1142" t="s">
        <v>57</v>
      </c>
      <c r="I1142" t="s">
        <v>58</v>
      </c>
      <c r="J1142">
        <v>8999</v>
      </c>
      <c r="K1142">
        <v>1</v>
      </c>
      <c r="L1142">
        <v>9844.58</v>
      </c>
      <c r="M1142">
        <v>984.46</v>
      </c>
      <c r="N1142">
        <v>9844.58</v>
      </c>
      <c r="O1142">
        <v>8860.1200000000008</v>
      </c>
      <c r="P1142" t="s">
        <v>2111</v>
      </c>
      <c r="Q1142" t="s">
        <v>1809</v>
      </c>
    </row>
    <row r="1143" spans="1:17" x14ac:dyDescent="0.3">
      <c r="A1143" t="s">
        <v>2491</v>
      </c>
      <c r="B1143" t="s">
        <v>2492</v>
      </c>
      <c r="C1143" s="1">
        <v>46088</v>
      </c>
      <c r="D1143" t="s">
        <v>16</v>
      </c>
      <c r="E1143" t="s">
        <v>17</v>
      </c>
      <c r="F1143" t="s">
        <v>22</v>
      </c>
      <c r="G1143" t="s">
        <v>80</v>
      </c>
      <c r="H1143" t="s">
        <v>81</v>
      </c>
      <c r="I1143" t="s">
        <v>82</v>
      </c>
      <c r="J1143">
        <v>4299</v>
      </c>
      <c r="K1143">
        <v>1</v>
      </c>
      <c r="L1143">
        <v>3890.6</v>
      </c>
      <c r="M1143">
        <v>194.53</v>
      </c>
      <c r="N1143">
        <v>3890.6</v>
      </c>
      <c r="O1143">
        <v>3696.07</v>
      </c>
      <c r="P1143" t="s">
        <v>2111</v>
      </c>
      <c r="Q1143" t="s">
        <v>789</v>
      </c>
    </row>
    <row r="1144" spans="1:17" x14ac:dyDescent="0.3">
      <c r="A1144" t="s">
        <v>2569</v>
      </c>
      <c r="B1144" t="s">
        <v>2570</v>
      </c>
      <c r="C1144" s="1">
        <v>46191</v>
      </c>
      <c r="D1144" t="s">
        <v>16</v>
      </c>
      <c r="E1144" t="s">
        <v>17</v>
      </c>
      <c r="F1144" t="s">
        <v>31</v>
      </c>
      <c r="G1144" t="s">
        <v>250</v>
      </c>
      <c r="H1144" t="s">
        <v>251</v>
      </c>
      <c r="I1144" t="s">
        <v>108</v>
      </c>
      <c r="J1144">
        <v>899</v>
      </c>
      <c r="K1144">
        <v>2</v>
      </c>
      <c r="L1144">
        <v>950.38</v>
      </c>
      <c r="M1144">
        <v>190.08</v>
      </c>
      <c r="N1144">
        <v>1900.76</v>
      </c>
      <c r="O1144">
        <v>1710.68</v>
      </c>
      <c r="P1144" t="s">
        <v>2111</v>
      </c>
      <c r="Q1144" t="s">
        <v>1809</v>
      </c>
    </row>
    <row r="1145" spans="1:17" x14ac:dyDescent="0.3">
      <c r="A1145" t="s">
        <v>2679</v>
      </c>
      <c r="B1145" t="s">
        <v>1975</v>
      </c>
      <c r="C1145" s="1">
        <v>46188</v>
      </c>
      <c r="D1145" t="s">
        <v>34</v>
      </c>
      <c r="E1145" t="s">
        <v>17</v>
      </c>
      <c r="F1145" t="s">
        <v>22</v>
      </c>
      <c r="G1145" t="s">
        <v>191</v>
      </c>
      <c r="H1145" t="s">
        <v>192</v>
      </c>
      <c r="I1145" t="s">
        <v>45</v>
      </c>
      <c r="J1145">
        <v>699</v>
      </c>
      <c r="K1145">
        <v>1</v>
      </c>
      <c r="L1145">
        <v>674.03</v>
      </c>
      <c r="M1145">
        <v>67.400000000000006</v>
      </c>
      <c r="N1145">
        <v>674.03</v>
      </c>
      <c r="O1145">
        <v>606.63</v>
      </c>
      <c r="P1145" t="s">
        <v>2111</v>
      </c>
      <c r="Q1145" t="s">
        <v>1809</v>
      </c>
    </row>
    <row r="1146" spans="1:17" x14ac:dyDescent="0.3">
      <c r="A1146" t="s">
        <v>2493</v>
      </c>
      <c r="B1146" t="s">
        <v>2494</v>
      </c>
      <c r="C1146" s="1">
        <v>46042</v>
      </c>
      <c r="D1146" t="s">
        <v>26</v>
      </c>
      <c r="E1146" t="s">
        <v>17</v>
      </c>
      <c r="F1146" t="s">
        <v>22</v>
      </c>
      <c r="G1146" t="s">
        <v>43</v>
      </c>
      <c r="H1146" t="s">
        <v>44</v>
      </c>
      <c r="I1146" t="s">
        <v>45</v>
      </c>
      <c r="J1146">
        <v>3299</v>
      </c>
      <c r="K1146">
        <v>1</v>
      </c>
      <c r="L1146">
        <v>2993.83</v>
      </c>
      <c r="M1146">
        <v>748.46</v>
      </c>
      <c r="N1146">
        <v>2993.83</v>
      </c>
      <c r="O1146">
        <v>2245.37</v>
      </c>
      <c r="P1146" t="s">
        <v>2111</v>
      </c>
      <c r="Q1146" t="s">
        <v>23</v>
      </c>
    </row>
    <row r="1147" spans="1:17" x14ac:dyDescent="0.3">
      <c r="A1147" t="s">
        <v>2255</v>
      </c>
      <c r="B1147" t="s">
        <v>119</v>
      </c>
      <c r="C1147" s="1">
        <v>46146</v>
      </c>
      <c r="D1147" t="s">
        <v>63</v>
      </c>
      <c r="E1147" t="s">
        <v>17</v>
      </c>
      <c r="F1147" t="s">
        <v>22</v>
      </c>
      <c r="G1147" t="s">
        <v>43</v>
      </c>
      <c r="H1147" t="s">
        <v>44</v>
      </c>
      <c r="I1147" t="s">
        <v>45</v>
      </c>
      <c r="J1147">
        <v>3299</v>
      </c>
      <c r="K1147">
        <v>1</v>
      </c>
      <c r="L1147">
        <v>3574.67</v>
      </c>
      <c r="M1147">
        <v>714.93</v>
      </c>
      <c r="N1147">
        <v>3574.67</v>
      </c>
      <c r="O1147">
        <v>2859.74</v>
      </c>
      <c r="P1147" t="s">
        <v>2114</v>
      </c>
      <c r="Q1147" t="s">
        <v>1479</v>
      </c>
    </row>
    <row r="1148" spans="1:17" x14ac:dyDescent="0.3">
      <c r="A1148" t="s">
        <v>2632</v>
      </c>
      <c r="B1148" t="s">
        <v>2633</v>
      </c>
      <c r="C1148" s="1">
        <v>46061</v>
      </c>
      <c r="D1148" t="s">
        <v>26</v>
      </c>
      <c r="E1148" t="s">
        <v>50</v>
      </c>
      <c r="F1148" t="s">
        <v>31</v>
      </c>
      <c r="G1148" t="s">
        <v>86</v>
      </c>
      <c r="H1148" t="s">
        <v>87</v>
      </c>
      <c r="I1148" t="s">
        <v>82</v>
      </c>
      <c r="J1148">
        <v>3499</v>
      </c>
      <c r="K1148">
        <v>2</v>
      </c>
      <c r="L1148">
        <v>3246.82</v>
      </c>
      <c r="M1148">
        <v>1298.73</v>
      </c>
      <c r="N1148">
        <v>6493.64</v>
      </c>
      <c r="O1148">
        <v>5194.91</v>
      </c>
      <c r="P1148" t="s">
        <v>2111</v>
      </c>
      <c r="Q1148" t="s">
        <v>498</v>
      </c>
    </row>
    <row r="1149" spans="1:17" x14ac:dyDescent="0.3">
      <c r="A1149" t="s">
        <v>2061</v>
      </c>
      <c r="B1149" t="s">
        <v>2060</v>
      </c>
      <c r="C1149" s="1">
        <v>46199</v>
      </c>
      <c r="D1149" t="s">
        <v>41</v>
      </c>
      <c r="E1149" t="s">
        <v>17</v>
      </c>
      <c r="F1149" t="s">
        <v>31</v>
      </c>
      <c r="G1149" t="s">
        <v>250</v>
      </c>
      <c r="H1149" t="s">
        <v>251</v>
      </c>
      <c r="I1149" t="s">
        <v>108</v>
      </c>
      <c r="J1149">
        <v>899</v>
      </c>
      <c r="K1149">
        <v>1</v>
      </c>
      <c r="L1149">
        <v>908.31</v>
      </c>
      <c r="M1149">
        <v>181.66</v>
      </c>
      <c r="N1149">
        <v>908.31</v>
      </c>
      <c r="O1149">
        <v>726.65</v>
      </c>
      <c r="P1149" t="s">
        <v>2111</v>
      </c>
      <c r="Q1149" t="s">
        <v>1809</v>
      </c>
    </row>
    <row r="1150" spans="1:17" x14ac:dyDescent="0.3">
      <c r="A1150" t="s">
        <v>673</v>
      </c>
      <c r="B1150" t="s">
        <v>672</v>
      </c>
      <c r="C1150" s="1">
        <v>46071</v>
      </c>
      <c r="D1150" t="s">
        <v>63</v>
      </c>
      <c r="E1150" t="s">
        <v>50</v>
      </c>
      <c r="F1150" t="s">
        <v>31</v>
      </c>
      <c r="G1150" t="s">
        <v>80</v>
      </c>
      <c r="H1150" t="s">
        <v>81</v>
      </c>
      <c r="I1150" t="s">
        <v>82</v>
      </c>
      <c r="J1150">
        <v>4299</v>
      </c>
      <c r="K1150">
        <v>1</v>
      </c>
      <c r="L1150">
        <v>4104.7299999999996</v>
      </c>
      <c r="M1150">
        <v>410.47</v>
      </c>
      <c r="N1150">
        <v>4104.7299999999996</v>
      </c>
      <c r="O1150">
        <v>3694.26</v>
      </c>
      <c r="P1150" t="s">
        <v>2111</v>
      </c>
      <c r="Q1150" t="s">
        <v>498</v>
      </c>
    </row>
    <row r="1151" spans="1:17" x14ac:dyDescent="0.3">
      <c r="A1151" t="s">
        <v>303</v>
      </c>
      <c r="B1151" t="s">
        <v>302</v>
      </c>
      <c r="C1151" s="1">
        <v>46037</v>
      </c>
      <c r="D1151" t="s">
        <v>63</v>
      </c>
      <c r="E1151" t="s">
        <v>17</v>
      </c>
      <c r="F1151" t="s">
        <v>22</v>
      </c>
      <c r="G1151" t="s">
        <v>56</v>
      </c>
      <c r="H1151" t="s">
        <v>57</v>
      </c>
      <c r="I1151" t="s">
        <v>58</v>
      </c>
      <c r="J1151">
        <v>8999</v>
      </c>
      <c r="K1151">
        <v>1</v>
      </c>
      <c r="L1151">
        <v>8216.43</v>
      </c>
      <c r="M1151">
        <v>1232.46</v>
      </c>
      <c r="N1151">
        <v>8216.43</v>
      </c>
      <c r="O1151">
        <v>6983.97</v>
      </c>
      <c r="P1151" t="s">
        <v>2111</v>
      </c>
      <c r="Q1151" t="s">
        <v>23</v>
      </c>
    </row>
    <row r="1152" spans="1:17" x14ac:dyDescent="0.3">
      <c r="A1152" t="s">
        <v>964</v>
      </c>
      <c r="B1152" t="s">
        <v>963</v>
      </c>
      <c r="C1152" s="1">
        <v>46094</v>
      </c>
      <c r="D1152" t="s">
        <v>34</v>
      </c>
      <c r="E1152" t="s">
        <v>50</v>
      </c>
      <c r="F1152" t="s">
        <v>47</v>
      </c>
      <c r="G1152" t="s">
        <v>80</v>
      </c>
      <c r="H1152" t="s">
        <v>81</v>
      </c>
      <c r="I1152" t="s">
        <v>82</v>
      </c>
      <c r="J1152">
        <v>4299</v>
      </c>
      <c r="K1152">
        <v>1</v>
      </c>
      <c r="L1152">
        <v>3912.02</v>
      </c>
      <c r="M1152">
        <v>782.4</v>
      </c>
      <c r="N1152">
        <v>3912.02</v>
      </c>
      <c r="O1152">
        <v>3129.62</v>
      </c>
      <c r="P1152" t="s">
        <v>2111</v>
      </c>
      <c r="Q1152" t="s">
        <v>789</v>
      </c>
    </row>
    <row r="1153" spans="1:17" x14ac:dyDescent="0.3">
      <c r="A1153" t="s">
        <v>869</v>
      </c>
      <c r="B1153" t="s">
        <v>868</v>
      </c>
      <c r="C1153" s="1">
        <v>46088</v>
      </c>
      <c r="D1153" t="s">
        <v>34</v>
      </c>
      <c r="E1153" t="s">
        <v>17</v>
      </c>
      <c r="F1153" t="s">
        <v>47</v>
      </c>
      <c r="G1153" t="s">
        <v>51</v>
      </c>
      <c r="H1153" t="s">
        <v>52</v>
      </c>
      <c r="I1153" t="s">
        <v>20</v>
      </c>
      <c r="J1153">
        <v>999</v>
      </c>
      <c r="K1153">
        <v>2</v>
      </c>
      <c r="L1153">
        <v>922.19</v>
      </c>
      <c r="M1153">
        <v>184.44</v>
      </c>
      <c r="N1153">
        <v>1844.38</v>
      </c>
      <c r="O1153">
        <v>1659.94</v>
      </c>
      <c r="P1153" t="s">
        <v>2111</v>
      </c>
      <c r="Q1153" t="s">
        <v>789</v>
      </c>
    </row>
    <row r="1154" spans="1:17" x14ac:dyDescent="0.3">
      <c r="A1154" t="s">
        <v>2551</v>
      </c>
      <c r="B1154" t="s">
        <v>1881</v>
      </c>
      <c r="C1154" s="1">
        <v>46062</v>
      </c>
      <c r="D1154" t="s">
        <v>34</v>
      </c>
      <c r="E1154" t="s">
        <v>17</v>
      </c>
      <c r="F1154" t="s">
        <v>31</v>
      </c>
      <c r="G1154" t="s">
        <v>91</v>
      </c>
      <c r="H1154" t="s">
        <v>92</v>
      </c>
      <c r="I1154" t="s">
        <v>37</v>
      </c>
      <c r="J1154">
        <v>1899</v>
      </c>
      <c r="K1154">
        <v>1</v>
      </c>
      <c r="L1154">
        <v>1736.21</v>
      </c>
      <c r="M1154">
        <v>434.05</v>
      </c>
      <c r="N1154">
        <v>1736.21</v>
      </c>
      <c r="O1154">
        <v>1302.1600000000001</v>
      </c>
      <c r="P1154" t="s">
        <v>2111</v>
      </c>
      <c r="Q1154" t="s">
        <v>498</v>
      </c>
    </row>
    <row r="1155" spans="1:17" x14ac:dyDescent="0.3">
      <c r="A1155" t="s">
        <v>877</v>
      </c>
      <c r="B1155" t="s">
        <v>876</v>
      </c>
      <c r="C1155" s="1">
        <v>46088</v>
      </c>
      <c r="D1155" t="s">
        <v>34</v>
      </c>
      <c r="E1155" t="s">
        <v>42</v>
      </c>
      <c r="F1155" t="s">
        <v>74</v>
      </c>
      <c r="G1155" t="s">
        <v>101</v>
      </c>
      <c r="H1155" t="s">
        <v>102</v>
      </c>
      <c r="I1155" t="s">
        <v>45</v>
      </c>
      <c r="J1155">
        <v>4999</v>
      </c>
      <c r="K1155">
        <v>2</v>
      </c>
      <c r="L1155">
        <v>5259.51</v>
      </c>
      <c r="M1155">
        <v>1051.9000000000001</v>
      </c>
      <c r="N1155">
        <v>10519.02</v>
      </c>
      <c r="O1155">
        <v>9467.1200000000008</v>
      </c>
      <c r="P1155" t="s">
        <v>2111</v>
      </c>
      <c r="Q1155" t="s">
        <v>789</v>
      </c>
    </row>
    <row r="1156" spans="1:17" x14ac:dyDescent="0.3">
      <c r="A1156" t="s">
        <v>2643</v>
      </c>
      <c r="B1156" t="s">
        <v>846</v>
      </c>
      <c r="C1156" s="1">
        <v>46150</v>
      </c>
      <c r="D1156" t="s">
        <v>34</v>
      </c>
      <c r="E1156" t="s">
        <v>17</v>
      </c>
      <c r="F1156" t="s">
        <v>47</v>
      </c>
      <c r="G1156" t="s">
        <v>80</v>
      </c>
      <c r="H1156" t="s">
        <v>81</v>
      </c>
      <c r="I1156" t="s">
        <v>82</v>
      </c>
      <c r="J1156">
        <v>4299</v>
      </c>
      <c r="K1156">
        <v>2</v>
      </c>
      <c r="L1156">
        <v>4286.59</v>
      </c>
      <c r="M1156">
        <v>857.32</v>
      </c>
      <c r="N1156">
        <v>8573.18</v>
      </c>
      <c r="O1156">
        <v>7715.86</v>
      </c>
      <c r="P1156" t="s">
        <v>2111</v>
      </c>
      <c r="Q1156" t="s">
        <v>1479</v>
      </c>
    </row>
    <row r="1157" spans="1:17" x14ac:dyDescent="0.3">
      <c r="A1157" t="s">
        <v>2624</v>
      </c>
      <c r="B1157" t="s">
        <v>2625</v>
      </c>
      <c r="C1157" s="1">
        <v>46164</v>
      </c>
      <c r="D1157" t="s">
        <v>34</v>
      </c>
      <c r="E1157" t="s">
        <v>50</v>
      </c>
      <c r="F1157" t="s">
        <v>31</v>
      </c>
      <c r="G1157" t="s">
        <v>43</v>
      </c>
      <c r="H1157" t="s">
        <v>44</v>
      </c>
      <c r="I1157" t="s">
        <v>45</v>
      </c>
      <c r="J1157">
        <v>3299</v>
      </c>
      <c r="K1157">
        <v>1</v>
      </c>
      <c r="L1157">
        <v>3195.34</v>
      </c>
      <c r="M1157">
        <v>479.3</v>
      </c>
      <c r="N1157">
        <v>3195.34</v>
      </c>
      <c r="O1157">
        <v>2716.04</v>
      </c>
      <c r="P1157" t="s">
        <v>2111</v>
      </c>
      <c r="Q1157" t="s">
        <v>1479</v>
      </c>
    </row>
    <row r="1158" spans="1:17" x14ac:dyDescent="0.3">
      <c r="A1158" t="s">
        <v>2094</v>
      </c>
      <c r="B1158" t="s">
        <v>2093</v>
      </c>
      <c r="C1158" s="1">
        <v>46203</v>
      </c>
      <c r="D1158" t="s">
        <v>16</v>
      </c>
      <c r="E1158" t="s">
        <v>50</v>
      </c>
      <c r="F1158" t="s">
        <v>22</v>
      </c>
      <c r="G1158" t="s">
        <v>51</v>
      </c>
      <c r="H1158" t="s">
        <v>52</v>
      </c>
      <c r="I1158" t="s">
        <v>20</v>
      </c>
      <c r="J1158">
        <v>999</v>
      </c>
      <c r="K1158">
        <v>2</v>
      </c>
      <c r="L1158">
        <v>982.69</v>
      </c>
      <c r="M1158">
        <v>491.34</v>
      </c>
      <c r="N1158">
        <v>1965.38</v>
      </c>
      <c r="O1158">
        <v>1474.04</v>
      </c>
      <c r="P1158" t="s">
        <v>2111</v>
      </c>
      <c r="Q1158" t="s">
        <v>1809</v>
      </c>
    </row>
    <row r="1159" spans="1:17" x14ac:dyDescent="0.3">
      <c r="A1159" t="s">
        <v>2334</v>
      </c>
      <c r="B1159" t="s">
        <v>2335</v>
      </c>
      <c r="C1159" s="1">
        <v>46149</v>
      </c>
      <c r="D1159" t="s">
        <v>63</v>
      </c>
      <c r="E1159" t="s">
        <v>50</v>
      </c>
      <c r="F1159" t="s">
        <v>47</v>
      </c>
      <c r="G1159" t="s">
        <v>35</v>
      </c>
      <c r="H1159" t="s">
        <v>36</v>
      </c>
      <c r="I1159" t="s">
        <v>37</v>
      </c>
      <c r="J1159">
        <v>799</v>
      </c>
      <c r="K1159">
        <v>1</v>
      </c>
      <c r="L1159">
        <v>867.55</v>
      </c>
      <c r="M1159">
        <v>43.38</v>
      </c>
      <c r="N1159">
        <v>867.55</v>
      </c>
      <c r="O1159">
        <v>824.17</v>
      </c>
      <c r="P1159" t="s">
        <v>2111</v>
      </c>
      <c r="Q1159" t="s">
        <v>1479</v>
      </c>
    </row>
    <row r="1160" spans="1:17" x14ac:dyDescent="0.3">
      <c r="A1160" t="s">
        <v>2713</v>
      </c>
      <c r="B1160" t="s">
        <v>2714</v>
      </c>
      <c r="C1160" s="1">
        <v>46068</v>
      </c>
      <c r="D1160" t="s">
        <v>41</v>
      </c>
      <c r="E1160" t="s">
        <v>17</v>
      </c>
      <c r="F1160" t="s">
        <v>31</v>
      </c>
      <c r="G1160" t="s">
        <v>51</v>
      </c>
      <c r="H1160" t="s">
        <v>52</v>
      </c>
      <c r="I1160" t="s">
        <v>20</v>
      </c>
      <c r="J1160">
        <v>999</v>
      </c>
      <c r="K1160">
        <v>1</v>
      </c>
      <c r="L1160">
        <v>1081.07</v>
      </c>
      <c r="M1160">
        <v>162.16</v>
      </c>
      <c r="N1160">
        <v>1081.07</v>
      </c>
      <c r="O1160">
        <v>918.91</v>
      </c>
      <c r="P1160" t="s">
        <v>2111</v>
      </c>
      <c r="Q1160" t="s">
        <v>498</v>
      </c>
    </row>
    <row r="1161" spans="1:17" x14ac:dyDescent="0.3">
      <c r="A1161" t="s">
        <v>2433</v>
      </c>
      <c r="B1161" t="s">
        <v>1805</v>
      </c>
      <c r="C1161" s="1">
        <v>46165</v>
      </c>
      <c r="D1161" t="s">
        <v>34</v>
      </c>
      <c r="E1161" t="s">
        <v>50</v>
      </c>
      <c r="F1161" t="s">
        <v>31</v>
      </c>
      <c r="G1161" t="s">
        <v>149</v>
      </c>
      <c r="H1161" t="s">
        <v>150</v>
      </c>
      <c r="I1161" t="s">
        <v>37</v>
      </c>
      <c r="J1161">
        <v>2999</v>
      </c>
      <c r="K1161">
        <v>2</v>
      </c>
      <c r="L1161">
        <v>3128.36</v>
      </c>
      <c r="M1161">
        <v>625.66999999999996</v>
      </c>
      <c r="N1161">
        <v>6256.72</v>
      </c>
      <c r="O1161">
        <v>5631.05</v>
      </c>
      <c r="P1161" t="s">
        <v>2111</v>
      </c>
      <c r="Q1161" t="s">
        <v>1479</v>
      </c>
    </row>
    <row r="1162" spans="1:17" x14ac:dyDescent="0.3">
      <c r="A1162" t="s">
        <v>2715</v>
      </c>
      <c r="B1162" t="s">
        <v>243</v>
      </c>
      <c r="C1162" s="1">
        <v>46197</v>
      </c>
      <c r="D1162" t="s">
        <v>26</v>
      </c>
      <c r="E1162" t="s">
        <v>17</v>
      </c>
      <c r="F1162" t="s">
        <v>47</v>
      </c>
      <c r="G1162" t="s">
        <v>149</v>
      </c>
      <c r="H1162" t="s">
        <v>150</v>
      </c>
      <c r="I1162" t="s">
        <v>37</v>
      </c>
      <c r="J1162">
        <v>2999</v>
      </c>
      <c r="K1162">
        <v>1</v>
      </c>
      <c r="L1162">
        <v>3229.73</v>
      </c>
      <c r="M1162">
        <v>161.49</v>
      </c>
      <c r="N1162">
        <v>3229.73</v>
      </c>
      <c r="O1162">
        <v>3068.24</v>
      </c>
      <c r="P1162" t="s">
        <v>2111</v>
      </c>
      <c r="Q1162" t="s">
        <v>1809</v>
      </c>
    </row>
    <row r="1163" spans="1:17" x14ac:dyDescent="0.3">
      <c r="A1163" t="s">
        <v>2503</v>
      </c>
      <c r="B1163" t="s">
        <v>2504</v>
      </c>
      <c r="C1163" s="1">
        <v>46185</v>
      </c>
      <c r="D1163" t="s">
        <v>41</v>
      </c>
      <c r="E1163" t="s">
        <v>17</v>
      </c>
      <c r="F1163" t="s">
        <v>60</v>
      </c>
      <c r="G1163" t="s">
        <v>86</v>
      </c>
      <c r="H1163" t="s">
        <v>87</v>
      </c>
      <c r="I1163" t="s">
        <v>82</v>
      </c>
      <c r="J1163">
        <v>3499</v>
      </c>
      <c r="K1163">
        <v>2</v>
      </c>
      <c r="L1163">
        <v>3372.79</v>
      </c>
      <c r="M1163">
        <v>1011.84</v>
      </c>
      <c r="N1163">
        <v>6745.58</v>
      </c>
      <c r="O1163">
        <v>5733.74</v>
      </c>
      <c r="P1163" t="s">
        <v>2111</v>
      </c>
      <c r="Q1163" t="s">
        <v>1809</v>
      </c>
    </row>
    <row r="1164" spans="1:17" x14ac:dyDescent="0.3">
      <c r="A1164" t="s">
        <v>2554</v>
      </c>
      <c r="B1164" t="s">
        <v>2555</v>
      </c>
      <c r="C1164" s="1">
        <v>46199</v>
      </c>
      <c r="D1164" t="s">
        <v>34</v>
      </c>
      <c r="E1164" t="s">
        <v>42</v>
      </c>
      <c r="F1164" t="s">
        <v>31</v>
      </c>
      <c r="G1164" t="s">
        <v>106</v>
      </c>
      <c r="H1164" t="s">
        <v>107</v>
      </c>
      <c r="I1164" t="s">
        <v>108</v>
      </c>
      <c r="J1164">
        <v>599</v>
      </c>
      <c r="K1164">
        <v>1</v>
      </c>
      <c r="L1164">
        <v>584.76</v>
      </c>
      <c r="M1164">
        <v>58.48</v>
      </c>
      <c r="N1164">
        <v>584.76</v>
      </c>
      <c r="O1164">
        <v>526.28</v>
      </c>
      <c r="P1164" t="s">
        <v>2111</v>
      </c>
      <c r="Q1164" t="s">
        <v>1809</v>
      </c>
    </row>
    <row r="1165" spans="1:17" x14ac:dyDescent="0.3">
      <c r="A1165" t="s">
        <v>1579</v>
      </c>
      <c r="B1165" t="s">
        <v>1020</v>
      </c>
      <c r="C1165" s="1">
        <v>46151</v>
      </c>
      <c r="D1165" t="s">
        <v>34</v>
      </c>
      <c r="E1165" t="s">
        <v>50</v>
      </c>
      <c r="F1165" t="s">
        <v>47</v>
      </c>
      <c r="G1165" t="s">
        <v>355</v>
      </c>
      <c r="H1165" t="s">
        <v>356</v>
      </c>
      <c r="I1165" t="s">
        <v>82</v>
      </c>
      <c r="J1165">
        <v>499</v>
      </c>
      <c r="K1165">
        <v>3</v>
      </c>
      <c r="L1165">
        <v>510.35</v>
      </c>
      <c r="M1165">
        <v>229.66</v>
      </c>
      <c r="N1165">
        <v>1531.05</v>
      </c>
      <c r="O1165">
        <v>1301.3900000000001</v>
      </c>
      <c r="P1165" t="s">
        <v>2111</v>
      </c>
      <c r="Q1165" t="s">
        <v>1479</v>
      </c>
    </row>
    <row r="1166" spans="1:17" x14ac:dyDescent="0.3">
      <c r="A1166" t="s">
        <v>2716</v>
      </c>
      <c r="B1166" t="s">
        <v>2717</v>
      </c>
      <c r="C1166" s="1">
        <v>46064</v>
      </c>
      <c r="D1166" t="s">
        <v>16</v>
      </c>
      <c r="E1166" t="s">
        <v>17</v>
      </c>
      <c r="F1166" t="s">
        <v>31</v>
      </c>
      <c r="G1166" t="s">
        <v>250</v>
      </c>
      <c r="H1166" t="s">
        <v>251</v>
      </c>
      <c r="I1166" t="s">
        <v>108</v>
      </c>
      <c r="J1166">
        <v>899</v>
      </c>
      <c r="K1166">
        <v>1</v>
      </c>
      <c r="L1166">
        <v>921.23</v>
      </c>
      <c r="M1166">
        <v>46.06</v>
      </c>
      <c r="N1166">
        <v>921.23</v>
      </c>
      <c r="O1166">
        <v>875.17</v>
      </c>
      <c r="P1166" t="s">
        <v>2111</v>
      </c>
      <c r="Q1166" t="s">
        <v>498</v>
      </c>
    </row>
    <row r="1167" spans="1:17" x14ac:dyDescent="0.3">
      <c r="A1167" t="s">
        <v>1716</v>
      </c>
      <c r="B1167" t="s">
        <v>1715</v>
      </c>
      <c r="C1167" s="1">
        <v>46164</v>
      </c>
      <c r="D1167" t="s">
        <v>41</v>
      </c>
      <c r="E1167" t="s">
        <v>17</v>
      </c>
      <c r="F1167" t="s">
        <v>31</v>
      </c>
      <c r="G1167" t="s">
        <v>56</v>
      </c>
      <c r="H1167" t="s">
        <v>57</v>
      </c>
      <c r="I1167" t="s">
        <v>58</v>
      </c>
      <c r="J1167">
        <v>8999</v>
      </c>
      <c r="K1167">
        <v>1</v>
      </c>
      <c r="L1167">
        <v>8966.06</v>
      </c>
      <c r="M1167">
        <v>896.61</v>
      </c>
      <c r="N1167">
        <v>8966.06</v>
      </c>
      <c r="O1167">
        <v>8069.45</v>
      </c>
      <c r="P1167" t="s">
        <v>2111</v>
      </c>
      <c r="Q1167" t="s">
        <v>1479</v>
      </c>
    </row>
    <row r="1168" spans="1:17" x14ac:dyDescent="0.3">
      <c r="A1168" t="s">
        <v>1005</v>
      </c>
      <c r="B1168" t="s">
        <v>1004</v>
      </c>
      <c r="C1168" s="1">
        <v>46098</v>
      </c>
      <c r="D1168" t="s">
        <v>16</v>
      </c>
      <c r="E1168" t="s">
        <v>17</v>
      </c>
      <c r="F1168" t="s">
        <v>31</v>
      </c>
      <c r="G1168" t="s">
        <v>149</v>
      </c>
      <c r="H1168" t="s">
        <v>150</v>
      </c>
      <c r="I1168" t="s">
        <v>37</v>
      </c>
      <c r="J1168">
        <v>2999</v>
      </c>
      <c r="K1168">
        <v>1</v>
      </c>
      <c r="L1168">
        <v>2939.41</v>
      </c>
      <c r="M1168">
        <v>293.94</v>
      </c>
      <c r="N1168">
        <v>2939.41</v>
      </c>
      <c r="O1168">
        <v>2645.47</v>
      </c>
      <c r="P1168" t="s">
        <v>2111</v>
      </c>
      <c r="Q1168" t="s">
        <v>789</v>
      </c>
    </row>
    <row r="1169" spans="1:17" x14ac:dyDescent="0.3">
      <c r="A1169" t="s">
        <v>1672</v>
      </c>
      <c r="B1169" t="s">
        <v>1671</v>
      </c>
      <c r="C1169" s="1">
        <v>46158</v>
      </c>
      <c r="D1169" t="s">
        <v>26</v>
      </c>
      <c r="E1169" t="s">
        <v>50</v>
      </c>
      <c r="F1169" t="s">
        <v>60</v>
      </c>
      <c r="G1169" t="s">
        <v>191</v>
      </c>
      <c r="H1169" t="s">
        <v>192</v>
      </c>
      <c r="I1169" t="s">
        <v>45</v>
      </c>
      <c r="J1169">
        <v>699</v>
      </c>
      <c r="K1169">
        <v>2</v>
      </c>
      <c r="L1169">
        <v>766.97</v>
      </c>
      <c r="M1169">
        <v>153.38999999999999</v>
      </c>
      <c r="N1169">
        <v>1533.94</v>
      </c>
      <c r="O1169">
        <v>1380.55</v>
      </c>
      <c r="P1169" t="s">
        <v>2111</v>
      </c>
      <c r="Q1169" t="s">
        <v>1479</v>
      </c>
    </row>
    <row r="1170" spans="1:17" x14ac:dyDescent="0.3">
      <c r="A1170" t="s">
        <v>2718</v>
      </c>
      <c r="B1170" t="s">
        <v>2719</v>
      </c>
      <c r="C1170" s="1">
        <v>46034</v>
      </c>
      <c r="D1170" t="s">
        <v>34</v>
      </c>
      <c r="E1170" t="s">
        <v>17</v>
      </c>
      <c r="F1170" t="s">
        <v>22</v>
      </c>
      <c r="G1170" t="s">
        <v>126</v>
      </c>
      <c r="H1170" t="s">
        <v>127</v>
      </c>
      <c r="I1170" t="s">
        <v>45</v>
      </c>
      <c r="J1170">
        <v>2499</v>
      </c>
      <c r="K1170">
        <v>2</v>
      </c>
      <c r="L1170">
        <v>2659.5</v>
      </c>
      <c r="M1170">
        <v>0</v>
      </c>
      <c r="N1170">
        <v>5319</v>
      </c>
      <c r="O1170">
        <v>5319</v>
      </c>
      <c r="P1170" t="s">
        <v>2111</v>
      </c>
      <c r="Q1170" t="s">
        <v>23</v>
      </c>
    </row>
    <row r="1171" spans="1:17" x14ac:dyDescent="0.3">
      <c r="A1171" t="s">
        <v>2720</v>
      </c>
      <c r="B1171" t="s">
        <v>2721</v>
      </c>
      <c r="C1171" s="1">
        <v>46041</v>
      </c>
      <c r="D1171" t="s">
        <v>41</v>
      </c>
      <c r="E1171" t="s">
        <v>50</v>
      </c>
      <c r="F1171" t="s">
        <v>47</v>
      </c>
      <c r="G1171" t="s">
        <v>86</v>
      </c>
      <c r="H1171" t="s">
        <v>87</v>
      </c>
      <c r="I1171" t="s">
        <v>82</v>
      </c>
      <c r="J1171">
        <v>3499</v>
      </c>
      <c r="K1171">
        <v>1</v>
      </c>
      <c r="L1171">
        <v>3453.5</v>
      </c>
      <c r="M1171">
        <v>863.38</v>
      </c>
      <c r="N1171">
        <v>3453.5</v>
      </c>
      <c r="O1171">
        <v>2590.12</v>
      </c>
      <c r="P1171" t="s">
        <v>2111</v>
      </c>
      <c r="Q1171" t="s">
        <v>23</v>
      </c>
    </row>
    <row r="1172" spans="1:17" x14ac:dyDescent="0.3">
      <c r="A1172" t="s">
        <v>1054</v>
      </c>
      <c r="B1172" t="s">
        <v>1053</v>
      </c>
      <c r="C1172" s="1">
        <v>46102</v>
      </c>
      <c r="D1172" t="s">
        <v>34</v>
      </c>
      <c r="E1172" t="s">
        <v>50</v>
      </c>
      <c r="F1172" t="s">
        <v>47</v>
      </c>
      <c r="G1172" t="s">
        <v>160</v>
      </c>
      <c r="H1172" t="s">
        <v>161</v>
      </c>
      <c r="I1172" t="s">
        <v>82</v>
      </c>
      <c r="J1172">
        <v>799</v>
      </c>
      <c r="K1172">
        <v>3</v>
      </c>
      <c r="L1172">
        <v>835.32</v>
      </c>
      <c r="M1172">
        <v>250.6</v>
      </c>
      <c r="N1172">
        <v>2505.96</v>
      </c>
      <c r="O1172">
        <v>2255.36</v>
      </c>
      <c r="P1172" t="s">
        <v>2111</v>
      </c>
      <c r="Q1172" t="s">
        <v>789</v>
      </c>
    </row>
    <row r="1173" spans="1:17" x14ac:dyDescent="0.3">
      <c r="A1173" t="s">
        <v>2097</v>
      </c>
      <c r="B1173" t="s">
        <v>2096</v>
      </c>
      <c r="C1173" s="1">
        <v>46203</v>
      </c>
      <c r="D1173" t="s">
        <v>63</v>
      </c>
      <c r="E1173" t="s">
        <v>17</v>
      </c>
      <c r="F1173" t="s">
        <v>74</v>
      </c>
      <c r="G1173" t="s">
        <v>86</v>
      </c>
      <c r="H1173" t="s">
        <v>87</v>
      </c>
      <c r="I1173" t="s">
        <v>82</v>
      </c>
      <c r="J1173">
        <v>3499</v>
      </c>
      <c r="K1173">
        <v>1</v>
      </c>
      <c r="L1173">
        <v>3337.74</v>
      </c>
      <c r="M1173">
        <v>500.66</v>
      </c>
      <c r="N1173">
        <v>3337.74</v>
      </c>
      <c r="O1173">
        <v>2837.08</v>
      </c>
      <c r="P1173" t="s">
        <v>2111</v>
      </c>
      <c r="Q1173" t="s">
        <v>1809</v>
      </c>
    </row>
    <row r="1174" spans="1:17" x14ac:dyDescent="0.3">
      <c r="A1174" t="s">
        <v>2722</v>
      </c>
      <c r="B1174" t="s">
        <v>2723</v>
      </c>
      <c r="C1174" s="1">
        <v>46155</v>
      </c>
      <c r="D1174" t="s">
        <v>16</v>
      </c>
      <c r="E1174" t="s">
        <v>17</v>
      </c>
      <c r="F1174" t="s">
        <v>47</v>
      </c>
      <c r="G1174" t="s">
        <v>165</v>
      </c>
      <c r="H1174" t="s">
        <v>166</v>
      </c>
      <c r="I1174" t="s">
        <v>29</v>
      </c>
      <c r="J1174">
        <v>449</v>
      </c>
      <c r="K1174">
        <v>1</v>
      </c>
      <c r="L1174">
        <v>413.1</v>
      </c>
      <c r="M1174">
        <v>41.31</v>
      </c>
      <c r="N1174">
        <v>413.1</v>
      </c>
      <c r="O1174">
        <v>371.79</v>
      </c>
      <c r="P1174" t="s">
        <v>2111</v>
      </c>
      <c r="Q1174" t="s">
        <v>1479</v>
      </c>
    </row>
    <row r="1175" spans="1:17" x14ac:dyDescent="0.3">
      <c r="A1175" t="s">
        <v>596</v>
      </c>
      <c r="B1175" t="s">
        <v>595</v>
      </c>
      <c r="C1175" s="1">
        <v>46062</v>
      </c>
      <c r="D1175" t="s">
        <v>34</v>
      </c>
      <c r="E1175" t="s">
        <v>17</v>
      </c>
      <c r="F1175" t="s">
        <v>47</v>
      </c>
      <c r="G1175" t="s">
        <v>43</v>
      </c>
      <c r="H1175" t="s">
        <v>44</v>
      </c>
      <c r="I1175" t="s">
        <v>45</v>
      </c>
      <c r="J1175">
        <v>3299</v>
      </c>
      <c r="K1175">
        <v>3</v>
      </c>
      <c r="L1175">
        <v>3201.63</v>
      </c>
      <c r="M1175">
        <v>480.24</v>
      </c>
      <c r="N1175">
        <v>9604.89</v>
      </c>
      <c r="O1175">
        <v>9124.65</v>
      </c>
      <c r="P1175" t="s">
        <v>2111</v>
      </c>
      <c r="Q1175" t="s">
        <v>498</v>
      </c>
    </row>
    <row r="1176" spans="1:17" x14ac:dyDescent="0.3">
      <c r="A1176" t="s">
        <v>807</v>
      </c>
      <c r="B1176" t="s">
        <v>806</v>
      </c>
      <c r="C1176" s="1">
        <v>46083</v>
      </c>
      <c r="D1176" t="s">
        <v>34</v>
      </c>
      <c r="E1176" t="s">
        <v>17</v>
      </c>
      <c r="F1176" t="s">
        <v>47</v>
      </c>
      <c r="G1176" t="s">
        <v>35</v>
      </c>
      <c r="H1176" t="s">
        <v>36</v>
      </c>
      <c r="I1176" t="s">
        <v>37</v>
      </c>
      <c r="J1176">
        <v>799</v>
      </c>
      <c r="K1176">
        <v>3</v>
      </c>
      <c r="L1176">
        <v>783.5</v>
      </c>
      <c r="M1176">
        <v>235.05</v>
      </c>
      <c r="N1176">
        <v>2350.5</v>
      </c>
      <c r="O1176">
        <v>2115.4499999999998</v>
      </c>
      <c r="P1176" t="s">
        <v>2111</v>
      </c>
      <c r="Q1176" t="s">
        <v>789</v>
      </c>
    </row>
    <row r="1177" spans="1:17" x14ac:dyDescent="0.3">
      <c r="A1177" t="s">
        <v>2724</v>
      </c>
      <c r="B1177" t="s">
        <v>2725</v>
      </c>
      <c r="C1177" s="1">
        <v>46105</v>
      </c>
      <c r="D1177" t="s">
        <v>41</v>
      </c>
      <c r="E1177" t="s">
        <v>17</v>
      </c>
      <c r="F1177" t="s">
        <v>47</v>
      </c>
      <c r="G1177" t="s">
        <v>56</v>
      </c>
      <c r="H1177" t="s">
        <v>57</v>
      </c>
      <c r="I1177" t="s">
        <v>58</v>
      </c>
      <c r="J1177">
        <v>8999</v>
      </c>
      <c r="K1177">
        <v>2</v>
      </c>
      <c r="L1177">
        <v>8128.86</v>
      </c>
      <c r="M1177">
        <v>1625.77</v>
      </c>
      <c r="N1177">
        <v>16257.72</v>
      </c>
      <c r="O1177">
        <v>14631.95</v>
      </c>
      <c r="P1177" t="s">
        <v>2111</v>
      </c>
      <c r="Q1177" t="s">
        <v>789</v>
      </c>
    </row>
    <row r="1178" spans="1:17" x14ac:dyDescent="0.3">
      <c r="A1178" t="s">
        <v>1032</v>
      </c>
      <c r="B1178" t="s">
        <v>1031</v>
      </c>
      <c r="C1178" s="1">
        <v>46099</v>
      </c>
      <c r="D1178" t="s">
        <v>41</v>
      </c>
      <c r="E1178" t="s">
        <v>17</v>
      </c>
      <c r="F1178" t="s">
        <v>31</v>
      </c>
      <c r="G1178" t="s">
        <v>112</v>
      </c>
      <c r="H1178" t="s">
        <v>113</v>
      </c>
      <c r="I1178" t="s">
        <v>37</v>
      </c>
      <c r="J1178">
        <v>1499</v>
      </c>
      <c r="K1178">
        <v>2</v>
      </c>
      <c r="L1178">
        <v>1593.37</v>
      </c>
      <c r="M1178">
        <v>318.67</v>
      </c>
      <c r="N1178">
        <v>3186.74</v>
      </c>
      <c r="O1178">
        <v>2868.07</v>
      </c>
      <c r="P1178" t="s">
        <v>2111</v>
      </c>
      <c r="Q1178" t="s">
        <v>789</v>
      </c>
    </row>
    <row r="1179" spans="1:17" x14ac:dyDescent="0.3">
      <c r="A1179" t="s">
        <v>1882</v>
      </c>
      <c r="B1179" t="s">
        <v>1881</v>
      </c>
      <c r="C1179" s="1">
        <v>46180</v>
      </c>
      <c r="D1179" t="s">
        <v>16</v>
      </c>
      <c r="E1179" t="s">
        <v>17</v>
      </c>
      <c r="F1179" t="s">
        <v>60</v>
      </c>
      <c r="G1179" t="s">
        <v>149</v>
      </c>
      <c r="H1179" t="s">
        <v>150</v>
      </c>
      <c r="I1179" t="s">
        <v>37</v>
      </c>
      <c r="J1179">
        <v>2999</v>
      </c>
      <c r="K1179">
        <v>1</v>
      </c>
      <c r="L1179">
        <v>2914.54</v>
      </c>
      <c r="M1179">
        <v>291.45</v>
      </c>
      <c r="N1179">
        <v>2914.54</v>
      </c>
      <c r="O1179">
        <v>2623.09</v>
      </c>
      <c r="P1179" t="s">
        <v>2111</v>
      </c>
      <c r="Q1179" t="s">
        <v>1809</v>
      </c>
    </row>
    <row r="1180" spans="1:17" x14ac:dyDescent="0.3">
      <c r="A1180" t="s">
        <v>2726</v>
      </c>
      <c r="B1180" t="s">
        <v>1504</v>
      </c>
      <c r="C1180" s="1">
        <v>46158</v>
      </c>
      <c r="D1180" t="s">
        <v>26</v>
      </c>
      <c r="E1180" t="s">
        <v>17</v>
      </c>
      <c r="F1180" t="s">
        <v>74</v>
      </c>
      <c r="G1180" t="s">
        <v>51</v>
      </c>
      <c r="H1180" t="s">
        <v>52</v>
      </c>
      <c r="I1180" t="s">
        <v>20</v>
      </c>
      <c r="J1180">
        <v>999</v>
      </c>
      <c r="K1180">
        <v>2</v>
      </c>
      <c r="L1180">
        <v>1015.07</v>
      </c>
      <c r="M1180">
        <v>203.01</v>
      </c>
      <c r="N1180">
        <v>2030.14</v>
      </c>
      <c r="O1180">
        <v>1827.13</v>
      </c>
      <c r="P1180" t="s">
        <v>2111</v>
      </c>
      <c r="Q1180" t="s">
        <v>1479</v>
      </c>
    </row>
    <row r="1181" spans="1:17" x14ac:dyDescent="0.3">
      <c r="A1181" t="s">
        <v>869</v>
      </c>
      <c r="B1181" t="s">
        <v>868</v>
      </c>
      <c r="C1181" s="1">
        <v>46088</v>
      </c>
      <c r="D1181" t="s">
        <v>34</v>
      </c>
      <c r="E1181" t="s">
        <v>17</v>
      </c>
      <c r="F1181" t="s">
        <v>47</v>
      </c>
      <c r="G1181" t="s">
        <v>96</v>
      </c>
      <c r="H1181" t="s">
        <v>97</v>
      </c>
      <c r="I1181" t="s">
        <v>58</v>
      </c>
      <c r="J1181">
        <v>7499</v>
      </c>
      <c r="K1181">
        <v>1</v>
      </c>
      <c r="L1181">
        <v>6860.03</v>
      </c>
      <c r="M1181">
        <v>0</v>
      </c>
      <c r="N1181">
        <v>6860.03</v>
      </c>
      <c r="O1181">
        <v>6860.03</v>
      </c>
      <c r="P1181" t="s">
        <v>2111</v>
      </c>
      <c r="Q1181" t="s">
        <v>789</v>
      </c>
    </row>
    <row r="1182" spans="1:17" x14ac:dyDescent="0.3">
      <c r="A1182" t="s">
        <v>883</v>
      </c>
      <c r="B1182" t="s">
        <v>882</v>
      </c>
      <c r="C1182" s="1">
        <v>46088</v>
      </c>
      <c r="D1182" t="s">
        <v>16</v>
      </c>
      <c r="E1182" t="s">
        <v>17</v>
      </c>
      <c r="F1182" t="s">
        <v>47</v>
      </c>
      <c r="G1182" t="s">
        <v>165</v>
      </c>
      <c r="H1182" t="s">
        <v>166</v>
      </c>
      <c r="I1182" t="s">
        <v>29</v>
      </c>
      <c r="J1182">
        <v>449</v>
      </c>
      <c r="K1182">
        <v>1</v>
      </c>
      <c r="L1182">
        <v>419.81</v>
      </c>
      <c r="M1182">
        <v>41.98</v>
      </c>
      <c r="N1182">
        <v>419.81</v>
      </c>
      <c r="O1182">
        <v>377.83</v>
      </c>
      <c r="P1182" t="s">
        <v>2111</v>
      </c>
      <c r="Q1182" t="s">
        <v>789</v>
      </c>
    </row>
    <row r="1183" spans="1:17" x14ac:dyDescent="0.3">
      <c r="A1183" t="s">
        <v>338</v>
      </c>
      <c r="B1183" t="s">
        <v>337</v>
      </c>
      <c r="C1183" s="1">
        <v>46040</v>
      </c>
      <c r="D1183" t="s">
        <v>16</v>
      </c>
      <c r="E1183" t="s">
        <v>50</v>
      </c>
      <c r="F1183" t="s">
        <v>22</v>
      </c>
      <c r="G1183" t="s">
        <v>80</v>
      </c>
      <c r="H1183" t="s">
        <v>81</v>
      </c>
      <c r="I1183" t="s">
        <v>82</v>
      </c>
      <c r="J1183">
        <v>4299</v>
      </c>
      <c r="K1183">
        <v>1</v>
      </c>
      <c r="L1183">
        <v>4634.0600000000004</v>
      </c>
      <c r="M1183">
        <v>0</v>
      </c>
      <c r="N1183">
        <v>4634.0600000000004</v>
      </c>
      <c r="O1183">
        <v>4634.0600000000004</v>
      </c>
      <c r="P1183" t="s">
        <v>2111</v>
      </c>
      <c r="Q1183" t="s">
        <v>23</v>
      </c>
    </row>
    <row r="1184" spans="1:17" x14ac:dyDescent="0.3">
      <c r="A1184" t="s">
        <v>1268</v>
      </c>
      <c r="B1184" t="s">
        <v>1267</v>
      </c>
      <c r="C1184" s="1">
        <v>46123</v>
      </c>
      <c r="D1184" t="s">
        <v>34</v>
      </c>
      <c r="E1184" t="s">
        <v>17</v>
      </c>
      <c r="F1184" t="s">
        <v>74</v>
      </c>
      <c r="G1184" t="s">
        <v>80</v>
      </c>
      <c r="H1184" t="s">
        <v>81</v>
      </c>
      <c r="I1184" t="s">
        <v>82</v>
      </c>
      <c r="J1184">
        <v>4299</v>
      </c>
      <c r="K1184">
        <v>1</v>
      </c>
      <c r="L1184">
        <v>4392.45</v>
      </c>
      <c r="M1184">
        <v>0</v>
      </c>
      <c r="N1184">
        <v>4392.45</v>
      </c>
      <c r="O1184">
        <v>4392.45</v>
      </c>
      <c r="P1184" t="s">
        <v>2111</v>
      </c>
      <c r="Q1184" t="s">
        <v>1170</v>
      </c>
    </row>
    <row r="1185" spans="1:17" x14ac:dyDescent="0.3">
      <c r="A1185" t="s">
        <v>1015</v>
      </c>
      <c r="B1185" t="s">
        <v>1014</v>
      </c>
      <c r="C1185" s="1">
        <v>46098</v>
      </c>
      <c r="D1185" t="s">
        <v>34</v>
      </c>
      <c r="E1185" t="s">
        <v>50</v>
      </c>
      <c r="F1185" t="s">
        <v>22</v>
      </c>
      <c r="G1185" t="s">
        <v>126</v>
      </c>
      <c r="H1185" t="s">
        <v>127</v>
      </c>
      <c r="I1185" t="s">
        <v>45</v>
      </c>
      <c r="J1185">
        <v>2499</v>
      </c>
      <c r="K1185">
        <v>1</v>
      </c>
      <c r="L1185">
        <v>2724.05</v>
      </c>
      <c r="M1185">
        <v>544.80999999999995</v>
      </c>
      <c r="N1185">
        <v>2724.05</v>
      </c>
      <c r="O1185">
        <v>2179.2399999999998</v>
      </c>
      <c r="P1185" t="s">
        <v>2114</v>
      </c>
      <c r="Q1185" t="s">
        <v>789</v>
      </c>
    </row>
    <row r="1186" spans="1:17" x14ac:dyDescent="0.3">
      <c r="A1186" t="s">
        <v>1876</v>
      </c>
      <c r="B1186" t="s">
        <v>1175</v>
      </c>
      <c r="C1186" s="1">
        <v>46178</v>
      </c>
      <c r="D1186" t="s">
        <v>16</v>
      </c>
      <c r="E1186" t="s">
        <v>17</v>
      </c>
      <c r="F1186" t="s">
        <v>47</v>
      </c>
      <c r="G1186" t="s">
        <v>106</v>
      </c>
      <c r="H1186" t="s">
        <v>107</v>
      </c>
      <c r="I1186" t="s">
        <v>108</v>
      </c>
      <c r="J1186">
        <v>599</v>
      </c>
      <c r="K1186">
        <v>1</v>
      </c>
      <c r="L1186">
        <v>658.75</v>
      </c>
      <c r="M1186">
        <v>65.88</v>
      </c>
      <c r="N1186">
        <v>658.75</v>
      </c>
      <c r="O1186">
        <v>592.87</v>
      </c>
      <c r="P1186" t="s">
        <v>2111</v>
      </c>
      <c r="Q1186" t="s">
        <v>1809</v>
      </c>
    </row>
    <row r="1187" spans="1:17" x14ac:dyDescent="0.3">
      <c r="A1187" t="s">
        <v>2346</v>
      </c>
      <c r="B1187" t="s">
        <v>2347</v>
      </c>
      <c r="C1187" s="1">
        <v>46075</v>
      </c>
      <c r="D1187" t="s">
        <v>41</v>
      </c>
      <c r="E1187" t="s">
        <v>50</v>
      </c>
      <c r="F1187" t="s">
        <v>31</v>
      </c>
      <c r="G1187" t="s">
        <v>56</v>
      </c>
      <c r="H1187" t="s">
        <v>57</v>
      </c>
      <c r="I1187" t="s">
        <v>58</v>
      </c>
      <c r="J1187">
        <v>8999</v>
      </c>
      <c r="K1187">
        <v>1</v>
      </c>
      <c r="L1187">
        <v>8768.3700000000008</v>
      </c>
      <c r="M1187">
        <v>1315.26</v>
      </c>
      <c r="N1187">
        <v>8768.3700000000008</v>
      </c>
      <c r="O1187">
        <v>7453.11</v>
      </c>
      <c r="P1187" t="s">
        <v>2111</v>
      </c>
      <c r="Q1187" t="s">
        <v>498</v>
      </c>
    </row>
    <row r="1188" spans="1:17" x14ac:dyDescent="0.3">
      <c r="A1188" t="s">
        <v>942</v>
      </c>
      <c r="B1188" t="s">
        <v>941</v>
      </c>
      <c r="C1188" s="1">
        <v>46092</v>
      </c>
      <c r="D1188" t="s">
        <v>26</v>
      </c>
      <c r="E1188" t="s">
        <v>17</v>
      </c>
      <c r="F1188" t="s">
        <v>31</v>
      </c>
      <c r="G1188" t="s">
        <v>27</v>
      </c>
      <c r="H1188" t="s">
        <v>28</v>
      </c>
      <c r="I1188" t="s">
        <v>29</v>
      </c>
      <c r="J1188">
        <v>1599</v>
      </c>
      <c r="K1188">
        <v>1</v>
      </c>
      <c r="L1188">
        <v>1534.66</v>
      </c>
      <c r="M1188">
        <v>153.47</v>
      </c>
      <c r="N1188">
        <v>1534.66</v>
      </c>
      <c r="O1188">
        <v>1381.19</v>
      </c>
      <c r="P1188" t="s">
        <v>2111</v>
      </c>
      <c r="Q1188" t="s">
        <v>789</v>
      </c>
    </row>
    <row r="1189" spans="1:17" x14ac:dyDescent="0.3">
      <c r="A1189" t="s">
        <v>1541</v>
      </c>
      <c r="B1189" t="s">
        <v>1540</v>
      </c>
      <c r="C1189" s="1">
        <v>46148</v>
      </c>
      <c r="D1189" t="s">
        <v>26</v>
      </c>
      <c r="E1189" t="s">
        <v>17</v>
      </c>
      <c r="F1189" t="s">
        <v>60</v>
      </c>
      <c r="G1189" t="s">
        <v>35</v>
      </c>
      <c r="H1189" t="s">
        <v>36</v>
      </c>
      <c r="I1189" t="s">
        <v>37</v>
      </c>
      <c r="J1189">
        <v>799</v>
      </c>
      <c r="K1189">
        <v>1</v>
      </c>
      <c r="L1189">
        <v>856.27</v>
      </c>
      <c r="M1189">
        <v>171.25</v>
      </c>
      <c r="N1189">
        <v>856.27</v>
      </c>
      <c r="O1189">
        <v>685.02</v>
      </c>
      <c r="P1189" t="s">
        <v>2111</v>
      </c>
      <c r="Q1189" t="s">
        <v>1479</v>
      </c>
    </row>
    <row r="1190" spans="1:17" x14ac:dyDescent="0.3">
      <c r="A1190" t="s">
        <v>2727</v>
      </c>
      <c r="B1190" t="s">
        <v>2728</v>
      </c>
      <c r="C1190" s="1">
        <v>46179</v>
      </c>
      <c r="D1190" t="s">
        <v>16</v>
      </c>
      <c r="E1190" t="s">
        <v>17</v>
      </c>
      <c r="F1190" t="s">
        <v>60</v>
      </c>
      <c r="G1190" t="s">
        <v>126</v>
      </c>
      <c r="H1190" t="s">
        <v>127</v>
      </c>
      <c r="I1190" t="s">
        <v>45</v>
      </c>
      <c r="J1190">
        <v>2499</v>
      </c>
      <c r="K1190">
        <v>1</v>
      </c>
      <c r="L1190">
        <v>2748.21</v>
      </c>
      <c r="M1190">
        <v>412.23</v>
      </c>
      <c r="N1190">
        <v>2748.21</v>
      </c>
      <c r="O1190">
        <v>2335.98</v>
      </c>
      <c r="P1190" t="s">
        <v>2111</v>
      </c>
      <c r="Q1190" t="s">
        <v>1809</v>
      </c>
    </row>
    <row r="1191" spans="1:17" x14ac:dyDescent="0.3">
      <c r="A1191" t="s">
        <v>1563</v>
      </c>
      <c r="B1191" t="s">
        <v>1562</v>
      </c>
      <c r="C1191" s="1">
        <v>46150</v>
      </c>
      <c r="D1191" t="s">
        <v>63</v>
      </c>
      <c r="E1191" t="s">
        <v>50</v>
      </c>
      <c r="F1191" t="s">
        <v>74</v>
      </c>
      <c r="G1191" t="s">
        <v>35</v>
      </c>
      <c r="H1191" t="s">
        <v>36</v>
      </c>
      <c r="I1191" t="s">
        <v>37</v>
      </c>
      <c r="J1191">
        <v>799</v>
      </c>
      <c r="K1191">
        <v>1</v>
      </c>
      <c r="L1191">
        <v>819.72</v>
      </c>
      <c r="M1191">
        <v>122.96</v>
      </c>
      <c r="N1191">
        <v>819.72</v>
      </c>
      <c r="O1191">
        <v>696.76</v>
      </c>
      <c r="P1191" t="s">
        <v>2111</v>
      </c>
      <c r="Q1191" t="s">
        <v>1479</v>
      </c>
    </row>
    <row r="1192" spans="1:17" x14ac:dyDescent="0.3">
      <c r="A1192" t="s">
        <v>211</v>
      </c>
      <c r="B1192" t="s">
        <v>210</v>
      </c>
      <c r="C1192" s="1">
        <v>46032</v>
      </c>
      <c r="D1192" t="s">
        <v>16</v>
      </c>
      <c r="E1192" t="s">
        <v>17</v>
      </c>
      <c r="F1192" t="s">
        <v>22</v>
      </c>
      <c r="G1192" t="s">
        <v>51</v>
      </c>
      <c r="H1192" t="s">
        <v>52</v>
      </c>
      <c r="I1192" t="s">
        <v>20</v>
      </c>
      <c r="J1192">
        <v>999</v>
      </c>
      <c r="K1192">
        <v>2</v>
      </c>
      <c r="L1192">
        <v>1057.97</v>
      </c>
      <c r="M1192">
        <v>105.8</v>
      </c>
      <c r="N1192">
        <v>2115.94</v>
      </c>
      <c r="O1192">
        <v>2010.14</v>
      </c>
      <c r="P1192" t="s">
        <v>2111</v>
      </c>
      <c r="Q1192" t="s">
        <v>23</v>
      </c>
    </row>
    <row r="1193" spans="1:17" x14ac:dyDescent="0.3">
      <c r="A1193" t="s">
        <v>2654</v>
      </c>
      <c r="B1193" t="s">
        <v>2212</v>
      </c>
      <c r="C1193" s="1">
        <v>46061</v>
      </c>
      <c r="D1193" t="s">
        <v>63</v>
      </c>
      <c r="E1193" t="s">
        <v>50</v>
      </c>
      <c r="F1193" t="s">
        <v>60</v>
      </c>
      <c r="G1193" t="s">
        <v>112</v>
      </c>
      <c r="H1193" t="s">
        <v>113</v>
      </c>
      <c r="I1193" t="s">
        <v>37</v>
      </c>
      <c r="J1193">
        <v>1499</v>
      </c>
      <c r="K1193">
        <v>3</v>
      </c>
      <c r="L1193">
        <v>1583.47</v>
      </c>
      <c r="M1193">
        <v>1187.5999999999999</v>
      </c>
      <c r="N1193">
        <v>4750.41</v>
      </c>
      <c r="O1193">
        <v>3562.81</v>
      </c>
      <c r="P1193" t="s">
        <v>2111</v>
      </c>
      <c r="Q1193" t="s">
        <v>498</v>
      </c>
    </row>
    <row r="1194" spans="1:17" x14ac:dyDescent="0.3">
      <c r="A1194" t="s">
        <v>1115</v>
      </c>
      <c r="B1194" t="s">
        <v>1114</v>
      </c>
      <c r="C1194" s="1">
        <v>46107</v>
      </c>
      <c r="D1194" t="s">
        <v>41</v>
      </c>
      <c r="E1194" t="s">
        <v>50</v>
      </c>
      <c r="F1194" t="s">
        <v>31</v>
      </c>
      <c r="G1194" t="s">
        <v>86</v>
      </c>
      <c r="H1194" t="s">
        <v>87</v>
      </c>
      <c r="I1194" t="s">
        <v>82</v>
      </c>
      <c r="J1194">
        <v>3499</v>
      </c>
      <c r="K1194">
        <v>2</v>
      </c>
      <c r="L1194">
        <v>3397.77</v>
      </c>
      <c r="M1194">
        <v>1019.33</v>
      </c>
      <c r="N1194">
        <v>6795.54</v>
      </c>
      <c r="O1194">
        <v>5776.21</v>
      </c>
      <c r="P1194" t="s">
        <v>2111</v>
      </c>
      <c r="Q1194" t="s">
        <v>789</v>
      </c>
    </row>
    <row r="1195" spans="1:17" x14ac:dyDescent="0.3">
      <c r="A1195" t="s">
        <v>360</v>
      </c>
      <c r="B1195" t="s">
        <v>359</v>
      </c>
      <c r="C1195" s="1">
        <v>46042</v>
      </c>
      <c r="D1195" t="s">
        <v>16</v>
      </c>
      <c r="E1195" t="s">
        <v>50</v>
      </c>
      <c r="F1195" t="s">
        <v>60</v>
      </c>
      <c r="G1195" t="s">
        <v>149</v>
      </c>
      <c r="H1195" t="s">
        <v>150</v>
      </c>
      <c r="I1195" t="s">
        <v>37</v>
      </c>
      <c r="J1195">
        <v>2999</v>
      </c>
      <c r="K1195">
        <v>1</v>
      </c>
      <c r="L1195">
        <v>3043.55</v>
      </c>
      <c r="M1195">
        <v>608.71</v>
      </c>
      <c r="N1195">
        <v>3043.55</v>
      </c>
      <c r="O1195">
        <v>2434.84</v>
      </c>
      <c r="P1195" t="s">
        <v>2111</v>
      </c>
      <c r="Q1195" t="s">
        <v>23</v>
      </c>
    </row>
    <row r="1196" spans="1:17" x14ac:dyDescent="0.3">
      <c r="A1196" t="s">
        <v>2258</v>
      </c>
      <c r="B1196" t="s">
        <v>394</v>
      </c>
      <c r="C1196" s="1">
        <v>46056</v>
      </c>
      <c r="D1196" t="s">
        <v>34</v>
      </c>
      <c r="E1196" t="s">
        <v>50</v>
      </c>
      <c r="F1196" t="s">
        <v>31</v>
      </c>
      <c r="G1196" t="s">
        <v>91</v>
      </c>
      <c r="H1196" t="s">
        <v>92</v>
      </c>
      <c r="I1196" t="s">
        <v>37</v>
      </c>
      <c r="J1196">
        <v>1899</v>
      </c>
      <c r="K1196">
        <v>2</v>
      </c>
      <c r="L1196">
        <v>2025.5</v>
      </c>
      <c r="M1196">
        <v>0</v>
      </c>
      <c r="N1196">
        <v>4051</v>
      </c>
      <c r="O1196">
        <v>4051</v>
      </c>
      <c r="P1196" t="s">
        <v>2111</v>
      </c>
      <c r="Q1196" t="s">
        <v>498</v>
      </c>
    </row>
    <row r="1197" spans="1:17" x14ac:dyDescent="0.3">
      <c r="A1197" t="s">
        <v>2729</v>
      </c>
      <c r="B1197" t="s">
        <v>2578</v>
      </c>
      <c r="C1197" s="1">
        <v>46113</v>
      </c>
      <c r="D1197" t="s">
        <v>41</v>
      </c>
      <c r="E1197" t="s">
        <v>17</v>
      </c>
      <c r="F1197" t="s">
        <v>47</v>
      </c>
      <c r="G1197" t="s">
        <v>51</v>
      </c>
      <c r="H1197" t="s">
        <v>52</v>
      </c>
      <c r="I1197" t="s">
        <v>20</v>
      </c>
      <c r="J1197">
        <v>999</v>
      </c>
      <c r="K1197">
        <v>1</v>
      </c>
      <c r="L1197">
        <v>1036.5899999999999</v>
      </c>
      <c r="M1197">
        <v>51.83</v>
      </c>
      <c r="N1197">
        <v>1036.5899999999999</v>
      </c>
      <c r="O1197">
        <v>984.76</v>
      </c>
      <c r="P1197" t="s">
        <v>2111</v>
      </c>
      <c r="Q1197" t="s">
        <v>1170</v>
      </c>
    </row>
    <row r="1198" spans="1:17" x14ac:dyDescent="0.3">
      <c r="A1198" t="s">
        <v>661</v>
      </c>
      <c r="B1198" t="s">
        <v>660</v>
      </c>
      <c r="C1198" s="1">
        <v>46071</v>
      </c>
      <c r="D1198" t="s">
        <v>63</v>
      </c>
      <c r="E1198" t="s">
        <v>50</v>
      </c>
      <c r="F1198" t="s">
        <v>47</v>
      </c>
      <c r="G1198" t="s">
        <v>80</v>
      </c>
      <c r="H1198" t="s">
        <v>81</v>
      </c>
      <c r="I1198" t="s">
        <v>82</v>
      </c>
      <c r="J1198">
        <v>4299</v>
      </c>
      <c r="K1198">
        <v>1</v>
      </c>
      <c r="L1198">
        <v>3887.3</v>
      </c>
      <c r="M1198">
        <v>194.36</v>
      </c>
      <c r="N1198">
        <v>3887.3</v>
      </c>
      <c r="O1198">
        <v>3692.94</v>
      </c>
      <c r="P1198" t="s">
        <v>2111</v>
      </c>
      <c r="Q1198" t="s">
        <v>498</v>
      </c>
    </row>
    <row r="1199" spans="1:17" x14ac:dyDescent="0.3">
      <c r="A1199" t="s">
        <v>468</v>
      </c>
      <c r="B1199" t="s">
        <v>467</v>
      </c>
      <c r="C1199" s="1">
        <v>46051</v>
      </c>
      <c r="D1199" t="s">
        <v>26</v>
      </c>
      <c r="E1199" t="s">
        <v>50</v>
      </c>
      <c r="F1199" t="s">
        <v>31</v>
      </c>
      <c r="G1199" t="s">
        <v>101</v>
      </c>
      <c r="H1199" t="s">
        <v>102</v>
      </c>
      <c r="I1199" t="s">
        <v>45</v>
      </c>
      <c r="J1199">
        <v>4999</v>
      </c>
      <c r="K1199">
        <v>1</v>
      </c>
      <c r="L1199">
        <v>4835.74</v>
      </c>
      <c r="M1199">
        <v>241.79</v>
      </c>
      <c r="N1199">
        <v>4835.74</v>
      </c>
      <c r="O1199">
        <v>4593.95</v>
      </c>
      <c r="P1199" t="s">
        <v>2111</v>
      </c>
      <c r="Q1199" t="s">
        <v>23</v>
      </c>
    </row>
    <row r="1200" spans="1:17" x14ac:dyDescent="0.3">
      <c r="A1200" t="s">
        <v>2396</v>
      </c>
      <c r="B1200" t="s">
        <v>690</v>
      </c>
      <c r="C1200" s="1">
        <v>46103</v>
      </c>
      <c r="D1200" t="s">
        <v>26</v>
      </c>
      <c r="E1200" t="s">
        <v>17</v>
      </c>
      <c r="F1200" t="s">
        <v>31</v>
      </c>
      <c r="G1200" t="s">
        <v>27</v>
      </c>
      <c r="H1200" t="s">
        <v>28</v>
      </c>
      <c r="I1200" t="s">
        <v>29</v>
      </c>
      <c r="J1200">
        <v>1599</v>
      </c>
      <c r="K1200">
        <v>2</v>
      </c>
      <c r="L1200">
        <v>1485.3</v>
      </c>
      <c r="M1200">
        <v>594.12</v>
      </c>
      <c r="N1200">
        <v>2970.6</v>
      </c>
      <c r="O1200">
        <v>2376.48</v>
      </c>
      <c r="P1200" t="s">
        <v>2111</v>
      </c>
      <c r="Q1200" t="s">
        <v>789</v>
      </c>
    </row>
    <row r="1201" spans="1:17" x14ac:dyDescent="0.3">
      <c r="A1201" t="s">
        <v>2730</v>
      </c>
      <c r="B1201" t="s">
        <v>530</v>
      </c>
      <c r="C1201" s="1">
        <v>46034</v>
      </c>
      <c r="D1201" t="s">
        <v>26</v>
      </c>
      <c r="E1201" t="s">
        <v>42</v>
      </c>
      <c r="F1201" t="s">
        <v>47</v>
      </c>
      <c r="G1201" t="s">
        <v>35</v>
      </c>
      <c r="H1201" t="s">
        <v>36</v>
      </c>
      <c r="I1201" t="s">
        <v>37</v>
      </c>
      <c r="J1201">
        <v>799</v>
      </c>
      <c r="K1201">
        <v>1</v>
      </c>
      <c r="L1201">
        <v>756.33</v>
      </c>
      <c r="M1201">
        <v>0</v>
      </c>
      <c r="N1201">
        <v>756.33</v>
      </c>
      <c r="O1201">
        <v>756.33</v>
      </c>
      <c r="P1201" t="s">
        <v>2111</v>
      </c>
      <c r="Q1201" t="s">
        <v>23</v>
      </c>
    </row>
    <row r="1202" spans="1:17" x14ac:dyDescent="0.3">
      <c r="A1202" t="s">
        <v>2032</v>
      </c>
      <c r="B1202" t="s">
        <v>2031</v>
      </c>
      <c r="C1202" s="1">
        <v>46197</v>
      </c>
      <c r="D1202" t="s">
        <v>26</v>
      </c>
      <c r="E1202" t="s">
        <v>50</v>
      </c>
      <c r="F1202" t="s">
        <v>60</v>
      </c>
      <c r="G1202" t="s">
        <v>96</v>
      </c>
      <c r="H1202" t="s">
        <v>97</v>
      </c>
      <c r="I1202" t="s">
        <v>58</v>
      </c>
      <c r="J1202">
        <v>7499</v>
      </c>
      <c r="K1202">
        <v>1</v>
      </c>
      <c r="L1202">
        <v>8107.15</v>
      </c>
      <c r="M1202">
        <v>0</v>
      </c>
      <c r="N1202">
        <v>8107.15</v>
      </c>
      <c r="O1202">
        <v>8107.15</v>
      </c>
      <c r="P1202" t="s">
        <v>2111</v>
      </c>
      <c r="Q1202" t="s">
        <v>1809</v>
      </c>
    </row>
    <row r="1203" spans="1:17" x14ac:dyDescent="0.3">
      <c r="A1203" t="s">
        <v>2731</v>
      </c>
      <c r="B1203" t="s">
        <v>861</v>
      </c>
      <c r="C1203" s="1">
        <v>46051</v>
      </c>
      <c r="D1203" t="s">
        <v>34</v>
      </c>
      <c r="E1203" t="s">
        <v>42</v>
      </c>
      <c r="F1203" t="s">
        <v>60</v>
      </c>
      <c r="G1203" t="s">
        <v>18</v>
      </c>
      <c r="H1203" t="s">
        <v>19</v>
      </c>
      <c r="I1203" t="s">
        <v>20</v>
      </c>
      <c r="J1203">
        <v>2799</v>
      </c>
      <c r="K1203">
        <v>1</v>
      </c>
      <c r="L1203">
        <v>2539.75</v>
      </c>
      <c r="M1203">
        <v>126.99</v>
      </c>
      <c r="N1203">
        <v>2539.75</v>
      </c>
      <c r="O1203">
        <v>2412.7600000000002</v>
      </c>
      <c r="P1203" t="s">
        <v>2111</v>
      </c>
      <c r="Q1203" t="s">
        <v>23</v>
      </c>
    </row>
    <row r="1204" spans="1:17" x14ac:dyDescent="0.3">
      <c r="A1204" t="s">
        <v>2674</v>
      </c>
      <c r="B1204" t="s">
        <v>2675</v>
      </c>
      <c r="C1204" s="1">
        <v>46184</v>
      </c>
      <c r="D1204" t="s">
        <v>34</v>
      </c>
      <c r="E1204" t="s">
        <v>50</v>
      </c>
      <c r="F1204" t="s">
        <v>74</v>
      </c>
      <c r="G1204" t="s">
        <v>27</v>
      </c>
      <c r="H1204" t="s">
        <v>28</v>
      </c>
      <c r="I1204" t="s">
        <v>29</v>
      </c>
      <c r="J1204">
        <v>1599</v>
      </c>
      <c r="K1204">
        <v>2</v>
      </c>
      <c r="L1204">
        <v>1509.39</v>
      </c>
      <c r="M1204">
        <v>0</v>
      </c>
      <c r="N1204">
        <v>3018.78</v>
      </c>
      <c r="O1204">
        <v>3018.78</v>
      </c>
      <c r="P1204" t="s">
        <v>2111</v>
      </c>
      <c r="Q1204" t="s">
        <v>1809</v>
      </c>
    </row>
    <row r="1205" spans="1:17" x14ac:dyDescent="0.3">
      <c r="A1205" t="s">
        <v>2732</v>
      </c>
      <c r="B1205" t="s">
        <v>1835</v>
      </c>
      <c r="C1205" s="1">
        <v>46066</v>
      </c>
      <c r="D1205" t="s">
        <v>41</v>
      </c>
      <c r="E1205" t="s">
        <v>17</v>
      </c>
      <c r="F1205" t="s">
        <v>74</v>
      </c>
      <c r="G1205" t="s">
        <v>35</v>
      </c>
      <c r="H1205" t="s">
        <v>36</v>
      </c>
      <c r="I1205" t="s">
        <v>37</v>
      </c>
      <c r="J1205">
        <v>799</v>
      </c>
      <c r="K1205">
        <v>2</v>
      </c>
      <c r="L1205">
        <v>768.57</v>
      </c>
      <c r="M1205">
        <v>76.86</v>
      </c>
      <c r="N1205">
        <v>1537.14</v>
      </c>
      <c r="O1205">
        <v>1460.28</v>
      </c>
      <c r="P1205" t="s">
        <v>2111</v>
      </c>
      <c r="Q1205" t="s">
        <v>498</v>
      </c>
    </row>
    <row r="1206" spans="1:17" x14ac:dyDescent="0.3">
      <c r="A1206" t="s">
        <v>976</v>
      </c>
      <c r="B1206" t="s">
        <v>975</v>
      </c>
      <c r="C1206" s="1">
        <v>46095</v>
      </c>
      <c r="D1206" t="s">
        <v>26</v>
      </c>
      <c r="E1206" t="s">
        <v>50</v>
      </c>
      <c r="F1206" t="s">
        <v>60</v>
      </c>
      <c r="G1206" t="s">
        <v>112</v>
      </c>
      <c r="H1206" t="s">
        <v>113</v>
      </c>
      <c r="I1206" t="s">
        <v>37</v>
      </c>
      <c r="J1206">
        <v>1499</v>
      </c>
      <c r="K1206">
        <v>1</v>
      </c>
      <c r="L1206">
        <v>1534.04</v>
      </c>
      <c r="M1206">
        <v>230.11</v>
      </c>
      <c r="N1206">
        <v>1534.04</v>
      </c>
      <c r="O1206">
        <v>1303.93</v>
      </c>
      <c r="P1206" t="s">
        <v>2111</v>
      </c>
      <c r="Q1206" t="s">
        <v>789</v>
      </c>
    </row>
    <row r="1207" spans="1:17" x14ac:dyDescent="0.3">
      <c r="A1207" t="s">
        <v>1938</v>
      </c>
      <c r="B1207" t="s">
        <v>1937</v>
      </c>
      <c r="C1207" s="1">
        <v>46186</v>
      </c>
      <c r="D1207" t="s">
        <v>16</v>
      </c>
      <c r="E1207" t="s">
        <v>42</v>
      </c>
      <c r="F1207" t="s">
        <v>47</v>
      </c>
      <c r="G1207" t="s">
        <v>160</v>
      </c>
      <c r="H1207" t="s">
        <v>161</v>
      </c>
      <c r="I1207" t="s">
        <v>82</v>
      </c>
      <c r="J1207">
        <v>799</v>
      </c>
      <c r="K1207">
        <v>1</v>
      </c>
      <c r="L1207">
        <v>804.45</v>
      </c>
      <c r="M1207">
        <v>80.45</v>
      </c>
      <c r="N1207">
        <v>804.45</v>
      </c>
      <c r="O1207">
        <v>724</v>
      </c>
      <c r="P1207" t="s">
        <v>2111</v>
      </c>
      <c r="Q1207" t="s">
        <v>1809</v>
      </c>
    </row>
    <row r="1208" spans="1:17" x14ac:dyDescent="0.3">
      <c r="A1208" t="s">
        <v>2731</v>
      </c>
      <c r="B1208" t="s">
        <v>861</v>
      </c>
      <c r="C1208" s="1">
        <v>46051</v>
      </c>
      <c r="D1208" t="s">
        <v>34</v>
      </c>
      <c r="E1208" t="s">
        <v>42</v>
      </c>
      <c r="F1208" t="s">
        <v>60</v>
      </c>
      <c r="G1208" t="s">
        <v>18</v>
      </c>
      <c r="H1208" t="s">
        <v>19</v>
      </c>
      <c r="I1208" t="s">
        <v>20</v>
      </c>
      <c r="J1208">
        <v>2799</v>
      </c>
      <c r="K1208">
        <v>1</v>
      </c>
      <c r="L1208">
        <v>2641.29</v>
      </c>
      <c r="M1208">
        <v>0</v>
      </c>
      <c r="N1208">
        <v>2641.29</v>
      </c>
      <c r="O1208">
        <v>2641.29</v>
      </c>
      <c r="P1208" t="s">
        <v>2111</v>
      </c>
      <c r="Q1208" t="s">
        <v>23</v>
      </c>
    </row>
    <row r="1209" spans="1:17" x14ac:dyDescent="0.3">
      <c r="A1209" t="s">
        <v>886</v>
      </c>
      <c r="B1209" t="s">
        <v>885</v>
      </c>
      <c r="C1209" s="1">
        <v>46088</v>
      </c>
      <c r="D1209" t="s">
        <v>16</v>
      </c>
      <c r="E1209" t="s">
        <v>50</v>
      </c>
      <c r="F1209" t="s">
        <v>22</v>
      </c>
      <c r="G1209" t="s">
        <v>51</v>
      </c>
      <c r="H1209" t="s">
        <v>52</v>
      </c>
      <c r="I1209" t="s">
        <v>20</v>
      </c>
      <c r="J1209">
        <v>999</v>
      </c>
      <c r="K1209">
        <v>2</v>
      </c>
      <c r="L1209">
        <v>931.92</v>
      </c>
      <c r="M1209">
        <v>186.38</v>
      </c>
      <c r="N1209">
        <v>1863.84</v>
      </c>
      <c r="O1209">
        <v>1677.46</v>
      </c>
      <c r="P1209" t="s">
        <v>2111</v>
      </c>
      <c r="Q1209" t="s">
        <v>789</v>
      </c>
    </row>
    <row r="1210" spans="1:17" x14ac:dyDescent="0.3">
      <c r="A1210" t="s">
        <v>1669</v>
      </c>
      <c r="B1210" t="s">
        <v>1668</v>
      </c>
      <c r="C1210" s="1">
        <v>46158</v>
      </c>
      <c r="D1210" t="s">
        <v>16</v>
      </c>
      <c r="E1210" t="s">
        <v>17</v>
      </c>
      <c r="F1210" t="s">
        <v>74</v>
      </c>
      <c r="G1210" t="s">
        <v>126</v>
      </c>
      <c r="H1210" t="s">
        <v>127</v>
      </c>
      <c r="I1210" t="s">
        <v>45</v>
      </c>
      <c r="J1210">
        <v>2499</v>
      </c>
      <c r="K1210">
        <v>1</v>
      </c>
      <c r="L1210">
        <v>2367.4499999999998</v>
      </c>
      <c r="M1210">
        <v>236.74</v>
      </c>
      <c r="N1210">
        <v>2367.4499999999998</v>
      </c>
      <c r="O1210">
        <v>2130.71</v>
      </c>
      <c r="P1210" t="s">
        <v>2111</v>
      </c>
      <c r="Q1210" t="s">
        <v>1479</v>
      </c>
    </row>
    <row r="1211" spans="1:17" x14ac:dyDescent="0.3">
      <c r="A1211" t="s">
        <v>1502</v>
      </c>
      <c r="B1211" t="s">
        <v>317</v>
      </c>
      <c r="C1211" s="1">
        <v>46145</v>
      </c>
      <c r="D1211" t="s">
        <v>16</v>
      </c>
      <c r="E1211" t="s">
        <v>17</v>
      </c>
      <c r="F1211" t="s">
        <v>22</v>
      </c>
      <c r="G1211" t="s">
        <v>86</v>
      </c>
      <c r="H1211" t="s">
        <v>87</v>
      </c>
      <c r="I1211" t="s">
        <v>82</v>
      </c>
      <c r="J1211">
        <v>3499</v>
      </c>
      <c r="K1211">
        <v>2</v>
      </c>
      <c r="L1211">
        <v>3500.77</v>
      </c>
      <c r="M1211">
        <v>0</v>
      </c>
      <c r="N1211">
        <v>7001.54</v>
      </c>
      <c r="O1211">
        <v>7001.54</v>
      </c>
      <c r="P1211" t="s">
        <v>2111</v>
      </c>
      <c r="Q1211" t="s">
        <v>1479</v>
      </c>
    </row>
    <row r="1212" spans="1:17" x14ac:dyDescent="0.3">
      <c r="A1212" t="s">
        <v>2733</v>
      </c>
      <c r="B1212" t="s">
        <v>111</v>
      </c>
      <c r="C1212" s="1">
        <v>46190</v>
      </c>
      <c r="D1212" t="s">
        <v>34</v>
      </c>
      <c r="E1212" t="s">
        <v>42</v>
      </c>
      <c r="F1212" t="s">
        <v>47</v>
      </c>
      <c r="G1212" t="s">
        <v>101</v>
      </c>
      <c r="H1212" t="s">
        <v>102</v>
      </c>
      <c r="I1212" t="s">
        <v>45</v>
      </c>
      <c r="J1212">
        <v>4999</v>
      </c>
      <c r="K1212">
        <v>1</v>
      </c>
      <c r="L1212">
        <v>4770.22</v>
      </c>
      <c r="M1212">
        <v>715.53</v>
      </c>
      <c r="N1212">
        <v>4770.22</v>
      </c>
      <c r="O1212">
        <v>4054.69</v>
      </c>
      <c r="P1212" t="s">
        <v>2111</v>
      </c>
      <c r="Q1212" t="s">
        <v>1809</v>
      </c>
    </row>
    <row r="1213" spans="1:17" x14ac:dyDescent="0.3">
      <c r="A1213" t="s">
        <v>1927</v>
      </c>
      <c r="B1213" t="s">
        <v>1926</v>
      </c>
      <c r="C1213" s="1">
        <v>46185</v>
      </c>
      <c r="D1213" t="s">
        <v>16</v>
      </c>
      <c r="E1213" t="s">
        <v>42</v>
      </c>
      <c r="F1213" t="s">
        <v>60</v>
      </c>
      <c r="G1213" t="s">
        <v>51</v>
      </c>
      <c r="H1213" t="s">
        <v>52</v>
      </c>
      <c r="I1213" t="s">
        <v>20</v>
      </c>
      <c r="J1213">
        <v>999</v>
      </c>
      <c r="K1213">
        <v>2</v>
      </c>
      <c r="L1213">
        <v>1088.43</v>
      </c>
      <c r="M1213">
        <v>326.52999999999997</v>
      </c>
      <c r="N1213">
        <v>2176.86</v>
      </c>
      <c r="O1213">
        <v>1850.33</v>
      </c>
      <c r="P1213" t="s">
        <v>2111</v>
      </c>
      <c r="Q1213" t="s">
        <v>1809</v>
      </c>
    </row>
    <row r="1214" spans="1:17" x14ac:dyDescent="0.3">
      <c r="A1214" t="s">
        <v>2356</v>
      </c>
      <c r="B1214" t="s">
        <v>195</v>
      </c>
      <c r="C1214" s="1">
        <v>46157</v>
      </c>
      <c r="D1214" t="s">
        <v>41</v>
      </c>
      <c r="E1214" t="s">
        <v>50</v>
      </c>
      <c r="F1214" t="s">
        <v>31</v>
      </c>
      <c r="G1214" t="s">
        <v>191</v>
      </c>
      <c r="H1214" t="s">
        <v>192</v>
      </c>
      <c r="I1214" t="s">
        <v>45</v>
      </c>
      <c r="J1214">
        <v>699</v>
      </c>
      <c r="K1214">
        <v>1</v>
      </c>
      <c r="L1214">
        <v>693.95</v>
      </c>
      <c r="M1214">
        <v>104.09</v>
      </c>
      <c r="N1214">
        <v>693.95</v>
      </c>
      <c r="O1214">
        <v>589.86</v>
      </c>
      <c r="P1214" t="s">
        <v>2111</v>
      </c>
      <c r="Q1214" t="s">
        <v>1479</v>
      </c>
    </row>
    <row r="1215" spans="1:17" x14ac:dyDescent="0.3">
      <c r="A1215" t="s">
        <v>646</v>
      </c>
      <c r="B1215" t="s">
        <v>645</v>
      </c>
      <c r="C1215" s="1">
        <v>46067</v>
      </c>
      <c r="D1215" t="s">
        <v>16</v>
      </c>
      <c r="E1215" t="s">
        <v>17</v>
      </c>
      <c r="F1215" t="s">
        <v>47</v>
      </c>
      <c r="G1215" t="s">
        <v>112</v>
      </c>
      <c r="H1215" t="s">
        <v>113</v>
      </c>
      <c r="I1215" t="s">
        <v>37</v>
      </c>
      <c r="J1215">
        <v>1499</v>
      </c>
      <c r="K1215">
        <v>1</v>
      </c>
      <c r="L1215">
        <v>1366.73</v>
      </c>
      <c r="M1215">
        <v>205.01</v>
      </c>
      <c r="N1215">
        <v>1366.73</v>
      </c>
      <c r="O1215">
        <v>1161.72</v>
      </c>
      <c r="P1215" t="s">
        <v>2111</v>
      </c>
      <c r="Q1215" t="s">
        <v>498</v>
      </c>
    </row>
    <row r="1216" spans="1:17" x14ac:dyDescent="0.3">
      <c r="A1216" t="s">
        <v>2734</v>
      </c>
      <c r="B1216" t="s">
        <v>2735</v>
      </c>
      <c r="C1216" s="1">
        <v>46068</v>
      </c>
      <c r="D1216" t="s">
        <v>41</v>
      </c>
      <c r="E1216" t="s">
        <v>17</v>
      </c>
      <c r="F1216" t="s">
        <v>60</v>
      </c>
      <c r="G1216" t="s">
        <v>43</v>
      </c>
      <c r="H1216" t="s">
        <v>44</v>
      </c>
      <c r="I1216" t="s">
        <v>45</v>
      </c>
      <c r="J1216">
        <v>3299</v>
      </c>
      <c r="K1216">
        <v>1</v>
      </c>
      <c r="L1216">
        <v>3450.27</v>
      </c>
      <c r="M1216">
        <v>0</v>
      </c>
      <c r="N1216">
        <v>3450.27</v>
      </c>
      <c r="O1216">
        <v>3450.27</v>
      </c>
      <c r="P1216" t="s">
        <v>2114</v>
      </c>
      <c r="Q1216" t="s">
        <v>498</v>
      </c>
    </row>
    <row r="1217" spans="1:17" x14ac:dyDescent="0.3">
      <c r="A1217" t="s">
        <v>2379</v>
      </c>
      <c r="B1217" t="s">
        <v>2380</v>
      </c>
      <c r="C1217" s="1">
        <v>46044</v>
      </c>
      <c r="D1217" t="s">
        <v>16</v>
      </c>
      <c r="E1217" t="s">
        <v>17</v>
      </c>
      <c r="F1217" t="s">
        <v>31</v>
      </c>
      <c r="G1217" t="s">
        <v>355</v>
      </c>
      <c r="H1217" t="s">
        <v>356</v>
      </c>
      <c r="I1217" t="s">
        <v>82</v>
      </c>
      <c r="J1217">
        <v>499</v>
      </c>
      <c r="K1217">
        <v>1</v>
      </c>
      <c r="L1217">
        <v>481.92</v>
      </c>
      <c r="M1217">
        <v>120.48</v>
      </c>
      <c r="N1217">
        <v>481.92</v>
      </c>
      <c r="O1217">
        <v>361.44</v>
      </c>
      <c r="P1217" t="s">
        <v>2111</v>
      </c>
      <c r="Q1217" t="s">
        <v>23</v>
      </c>
    </row>
    <row r="1218" spans="1:17" x14ac:dyDescent="0.3">
      <c r="A1218" t="s">
        <v>2443</v>
      </c>
      <c r="B1218" t="s">
        <v>607</v>
      </c>
      <c r="C1218" s="1">
        <v>46098</v>
      </c>
      <c r="D1218" t="s">
        <v>63</v>
      </c>
      <c r="E1218" t="s">
        <v>17</v>
      </c>
      <c r="F1218" t="s">
        <v>47</v>
      </c>
      <c r="G1218" t="s">
        <v>160</v>
      </c>
      <c r="H1218" t="s">
        <v>161</v>
      </c>
      <c r="I1218" t="s">
        <v>82</v>
      </c>
      <c r="J1218">
        <v>799</v>
      </c>
      <c r="K1218">
        <v>1</v>
      </c>
      <c r="L1218">
        <v>823.53</v>
      </c>
      <c r="M1218">
        <v>123.53</v>
      </c>
      <c r="N1218">
        <v>823.53</v>
      </c>
      <c r="O1218">
        <v>700</v>
      </c>
      <c r="P1218" t="s">
        <v>2111</v>
      </c>
      <c r="Q1218" t="s">
        <v>789</v>
      </c>
    </row>
    <row r="1219" spans="1:17" x14ac:dyDescent="0.3">
      <c r="A1219" t="s">
        <v>2548</v>
      </c>
      <c r="B1219" t="s">
        <v>1068</v>
      </c>
      <c r="C1219" s="1">
        <v>46133</v>
      </c>
      <c r="D1219" t="s">
        <v>26</v>
      </c>
      <c r="E1219" t="s">
        <v>17</v>
      </c>
      <c r="F1219" t="s">
        <v>22</v>
      </c>
      <c r="G1219" t="s">
        <v>43</v>
      </c>
      <c r="H1219" t="s">
        <v>44</v>
      </c>
      <c r="I1219" t="s">
        <v>45</v>
      </c>
      <c r="J1219">
        <v>3299</v>
      </c>
      <c r="K1219">
        <v>2</v>
      </c>
      <c r="L1219">
        <v>3153.58</v>
      </c>
      <c r="M1219">
        <v>1261.43</v>
      </c>
      <c r="N1219">
        <v>6307.16</v>
      </c>
      <c r="O1219">
        <v>5045.7299999999996</v>
      </c>
      <c r="P1219" t="s">
        <v>2111</v>
      </c>
      <c r="Q1219" t="s">
        <v>1170</v>
      </c>
    </row>
    <row r="1220" spans="1:17" x14ac:dyDescent="0.3">
      <c r="A1220" t="s">
        <v>241</v>
      </c>
      <c r="B1220" t="s">
        <v>240</v>
      </c>
      <c r="C1220" s="1">
        <v>46034</v>
      </c>
      <c r="D1220" t="s">
        <v>26</v>
      </c>
      <c r="E1220" t="s">
        <v>17</v>
      </c>
      <c r="F1220" t="s">
        <v>22</v>
      </c>
      <c r="G1220" t="s">
        <v>101</v>
      </c>
      <c r="H1220" t="s">
        <v>102</v>
      </c>
      <c r="I1220" t="s">
        <v>45</v>
      </c>
      <c r="J1220">
        <v>4999</v>
      </c>
      <c r="K1220">
        <v>1</v>
      </c>
      <c r="L1220">
        <v>5069.7299999999996</v>
      </c>
      <c r="M1220">
        <v>0</v>
      </c>
      <c r="N1220">
        <v>5069.7299999999996</v>
      </c>
      <c r="O1220">
        <v>5069.7299999999996</v>
      </c>
      <c r="P1220" t="s">
        <v>2111</v>
      </c>
      <c r="Q1220" t="s">
        <v>23</v>
      </c>
    </row>
    <row r="1221" spans="1:17" x14ac:dyDescent="0.3">
      <c r="A1221" t="s">
        <v>369</v>
      </c>
      <c r="B1221" t="s">
        <v>368</v>
      </c>
      <c r="C1221" s="1">
        <v>46042</v>
      </c>
      <c r="D1221" t="s">
        <v>63</v>
      </c>
      <c r="E1221" t="s">
        <v>17</v>
      </c>
      <c r="F1221" t="s">
        <v>31</v>
      </c>
      <c r="G1221" t="s">
        <v>96</v>
      </c>
      <c r="H1221" t="s">
        <v>97</v>
      </c>
      <c r="I1221" t="s">
        <v>58</v>
      </c>
      <c r="J1221">
        <v>7499</v>
      </c>
      <c r="K1221">
        <v>2</v>
      </c>
      <c r="L1221">
        <v>7907.17</v>
      </c>
      <c r="M1221">
        <v>3162.87</v>
      </c>
      <c r="N1221">
        <v>15814.34</v>
      </c>
      <c r="O1221">
        <v>12651.47</v>
      </c>
      <c r="P1221" t="s">
        <v>2111</v>
      </c>
      <c r="Q1221" t="s">
        <v>23</v>
      </c>
    </row>
    <row r="1222" spans="1:17" x14ac:dyDescent="0.3">
      <c r="A1222" t="s">
        <v>2602</v>
      </c>
      <c r="B1222" t="s">
        <v>2603</v>
      </c>
      <c r="C1222" s="1">
        <v>46063</v>
      </c>
      <c r="D1222" t="s">
        <v>26</v>
      </c>
      <c r="E1222" t="s">
        <v>17</v>
      </c>
      <c r="F1222" t="s">
        <v>22</v>
      </c>
      <c r="G1222" t="s">
        <v>96</v>
      </c>
      <c r="H1222" t="s">
        <v>97</v>
      </c>
      <c r="I1222" t="s">
        <v>58</v>
      </c>
      <c r="J1222">
        <v>7499</v>
      </c>
      <c r="K1222">
        <v>2</v>
      </c>
      <c r="L1222">
        <v>8140.93</v>
      </c>
      <c r="M1222">
        <v>2442.2800000000002</v>
      </c>
      <c r="N1222">
        <v>16281.86</v>
      </c>
      <c r="O1222">
        <v>13839.58</v>
      </c>
      <c r="P1222" t="s">
        <v>2111</v>
      </c>
      <c r="Q1222" t="s">
        <v>498</v>
      </c>
    </row>
    <row r="1223" spans="1:17" x14ac:dyDescent="0.3">
      <c r="A1223" t="s">
        <v>2676</v>
      </c>
      <c r="B1223" t="s">
        <v>2677</v>
      </c>
      <c r="C1223" s="1">
        <v>46069</v>
      </c>
      <c r="D1223" t="s">
        <v>16</v>
      </c>
      <c r="E1223" t="s">
        <v>17</v>
      </c>
      <c r="F1223" t="s">
        <v>22</v>
      </c>
      <c r="G1223" t="s">
        <v>27</v>
      </c>
      <c r="H1223" t="s">
        <v>28</v>
      </c>
      <c r="I1223" t="s">
        <v>29</v>
      </c>
      <c r="J1223">
        <v>1599</v>
      </c>
      <c r="K1223">
        <v>1</v>
      </c>
      <c r="L1223">
        <v>1522.61</v>
      </c>
      <c r="M1223">
        <v>304.52</v>
      </c>
      <c r="N1223">
        <v>1522.61</v>
      </c>
      <c r="O1223">
        <v>1218.0899999999999</v>
      </c>
      <c r="P1223" t="s">
        <v>2111</v>
      </c>
      <c r="Q1223" t="s">
        <v>498</v>
      </c>
    </row>
    <row r="1224" spans="1:17" x14ac:dyDescent="0.3">
      <c r="A1224" t="s">
        <v>2730</v>
      </c>
      <c r="B1224" t="s">
        <v>530</v>
      </c>
      <c r="C1224" s="1">
        <v>46034</v>
      </c>
      <c r="D1224" t="s">
        <v>26</v>
      </c>
      <c r="E1224" t="s">
        <v>42</v>
      </c>
      <c r="F1224" t="s">
        <v>47</v>
      </c>
      <c r="G1224" t="s">
        <v>101</v>
      </c>
      <c r="H1224" t="s">
        <v>102</v>
      </c>
      <c r="I1224" t="s">
        <v>45</v>
      </c>
      <c r="J1224">
        <v>4999</v>
      </c>
      <c r="K1224">
        <v>2</v>
      </c>
      <c r="L1224">
        <v>4833.8900000000003</v>
      </c>
      <c r="M1224">
        <v>0</v>
      </c>
      <c r="N1224">
        <v>9667.7800000000007</v>
      </c>
      <c r="O1224">
        <v>9667.7800000000007</v>
      </c>
      <c r="P1224" t="s">
        <v>2111</v>
      </c>
      <c r="Q1224" t="s">
        <v>23</v>
      </c>
    </row>
    <row r="1225" spans="1:17" x14ac:dyDescent="0.3">
      <c r="A1225" t="s">
        <v>452</v>
      </c>
      <c r="B1225" t="s">
        <v>451</v>
      </c>
      <c r="C1225" s="1">
        <v>46049</v>
      </c>
      <c r="D1225" t="s">
        <v>41</v>
      </c>
      <c r="E1225" t="s">
        <v>17</v>
      </c>
      <c r="F1225" t="s">
        <v>31</v>
      </c>
      <c r="G1225" t="s">
        <v>355</v>
      </c>
      <c r="H1225" t="s">
        <v>356</v>
      </c>
      <c r="I1225" t="s">
        <v>82</v>
      </c>
      <c r="J1225">
        <v>499</v>
      </c>
      <c r="K1225">
        <v>2</v>
      </c>
      <c r="L1225">
        <v>495.43</v>
      </c>
      <c r="M1225">
        <v>148.63</v>
      </c>
      <c r="N1225">
        <v>990.86</v>
      </c>
      <c r="O1225">
        <v>842.23</v>
      </c>
      <c r="P1225" t="s">
        <v>2111</v>
      </c>
      <c r="Q1225" t="s">
        <v>23</v>
      </c>
    </row>
    <row r="1226" spans="1:17" x14ac:dyDescent="0.3">
      <c r="A1226" t="s">
        <v>344</v>
      </c>
      <c r="B1226" t="s">
        <v>343</v>
      </c>
      <c r="C1226" s="1">
        <v>46041</v>
      </c>
      <c r="D1226" t="s">
        <v>41</v>
      </c>
      <c r="E1226" t="s">
        <v>50</v>
      </c>
      <c r="F1226" t="s">
        <v>74</v>
      </c>
      <c r="G1226" t="s">
        <v>160</v>
      </c>
      <c r="H1226" t="s">
        <v>161</v>
      </c>
      <c r="I1226" t="s">
        <v>82</v>
      </c>
      <c r="J1226">
        <v>799</v>
      </c>
      <c r="K1226">
        <v>1</v>
      </c>
      <c r="L1226">
        <v>867.26</v>
      </c>
      <c r="M1226">
        <v>216.82</v>
      </c>
      <c r="N1226">
        <v>867.26</v>
      </c>
      <c r="O1226">
        <v>650.44000000000005</v>
      </c>
      <c r="P1226" t="s">
        <v>2111</v>
      </c>
      <c r="Q1226" t="s">
        <v>23</v>
      </c>
    </row>
    <row r="1227" spans="1:17" x14ac:dyDescent="0.3">
      <c r="A1227" t="s">
        <v>798</v>
      </c>
      <c r="B1227" t="s">
        <v>797</v>
      </c>
      <c r="C1227" s="1">
        <v>46082</v>
      </c>
      <c r="D1227" t="s">
        <v>34</v>
      </c>
      <c r="E1227" t="s">
        <v>17</v>
      </c>
      <c r="F1227" t="s">
        <v>60</v>
      </c>
      <c r="G1227" t="s">
        <v>43</v>
      </c>
      <c r="H1227" t="s">
        <v>44</v>
      </c>
      <c r="I1227" t="s">
        <v>45</v>
      </c>
      <c r="J1227">
        <v>3299</v>
      </c>
      <c r="K1227">
        <v>2</v>
      </c>
      <c r="L1227">
        <v>3563.84</v>
      </c>
      <c r="M1227">
        <v>1069.1500000000001</v>
      </c>
      <c r="N1227">
        <v>7127.68</v>
      </c>
      <c r="O1227">
        <v>6058.53</v>
      </c>
      <c r="P1227" t="s">
        <v>2111</v>
      </c>
      <c r="Q1227" t="s">
        <v>789</v>
      </c>
    </row>
    <row r="1228" spans="1:17" x14ac:dyDescent="0.3">
      <c r="A1228" t="s">
        <v>2350</v>
      </c>
      <c r="B1228" t="s">
        <v>2351</v>
      </c>
      <c r="C1228" s="1">
        <v>46106</v>
      </c>
      <c r="D1228" t="s">
        <v>34</v>
      </c>
      <c r="E1228" t="s">
        <v>17</v>
      </c>
      <c r="F1228" t="s">
        <v>60</v>
      </c>
      <c r="G1228" t="s">
        <v>106</v>
      </c>
      <c r="H1228" t="s">
        <v>107</v>
      </c>
      <c r="I1228" t="s">
        <v>108</v>
      </c>
      <c r="J1228">
        <v>599</v>
      </c>
      <c r="K1228">
        <v>1</v>
      </c>
      <c r="L1228">
        <v>549.87</v>
      </c>
      <c r="M1228">
        <v>54.99</v>
      </c>
      <c r="N1228">
        <v>549.87</v>
      </c>
      <c r="O1228">
        <v>494.88</v>
      </c>
      <c r="P1228" t="s">
        <v>2111</v>
      </c>
      <c r="Q1228" t="s">
        <v>789</v>
      </c>
    </row>
    <row r="1229" spans="1:17" x14ac:dyDescent="0.3">
      <c r="A1229" t="s">
        <v>1399</v>
      </c>
      <c r="B1229" t="s">
        <v>1039</v>
      </c>
      <c r="C1229" s="1">
        <v>46136</v>
      </c>
      <c r="D1229" t="s">
        <v>41</v>
      </c>
      <c r="E1229" t="s">
        <v>50</v>
      </c>
      <c r="F1229" t="s">
        <v>74</v>
      </c>
      <c r="G1229" t="s">
        <v>43</v>
      </c>
      <c r="H1229" t="s">
        <v>44</v>
      </c>
      <c r="I1229" t="s">
        <v>45</v>
      </c>
      <c r="J1229">
        <v>3299</v>
      </c>
      <c r="K1229">
        <v>1</v>
      </c>
      <c r="L1229">
        <v>3056.15</v>
      </c>
      <c r="M1229">
        <v>611.23</v>
      </c>
      <c r="N1229">
        <v>3056.15</v>
      </c>
      <c r="O1229">
        <v>2444.92</v>
      </c>
      <c r="P1229" t="s">
        <v>2111</v>
      </c>
      <c r="Q1229" t="s">
        <v>1170</v>
      </c>
    </row>
    <row r="1230" spans="1:17" x14ac:dyDescent="0.3">
      <c r="A1230" t="s">
        <v>2708</v>
      </c>
      <c r="B1230" t="s">
        <v>436</v>
      </c>
      <c r="C1230" s="1">
        <v>46099</v>
      </c>
      <c r="D1230" t="s">
        <v>26</v>
      </c>
      <c r="E1230" t="s">
        <v>17</v>
      </c>
      <c r="F1230" t="s">
        <v>60</v>
      </c>
      <c r="G1230" t="s">
        <v>91</v>
      </c>
      <c r="H1230" t="s">
        <v>92</v>
      </c>
      <c r="I1230" t="s">
        <v>37</v>
      </c>
      <c r="J1230">
        <v>1899</v>
      </c>
      <c r="K1230">
        <v>2</v>
      </c>
      <c r="L1230">
        <v>1897.29</v>
      </c>
      <c r="M1230">
        <v>379.46</v>
      </c>
      <c r="N1230">
        <v>3794.58</v>
      </c>
      <c r="O1230">
        <v>3415.12</v>
      </c>
      <c r="P1230" t="s">
        <v>2114</v>
      </c>
      <c r="Q1230" t="s">
        <v>789</v>
      </c>
    </row>
    <row r="1231" spans="1:17" x14ac:dyDescent="0.3">
      <c r="A1231" t="s">
        <v>2736</v>
      </c>
      <c r="B1231" t="s">
        <v>1631</v>
      </c>
      <c r="C1231" s="1">
        <v>46180</v>
      </c>
      <c r="D1231" t="s">
        <v>16</v>
      </c>
      <c r="E1231" t="s">
        <v>17</v>
      </c>
      <c r="F1231" t="s">
        <v>31</v>
      </c>
      <c r="G1231" t="s">
        <v>126</v>
      </c>
      <c r="H1231" t="s">
        <v>127</v>
      </c>
      <c r="I1231" t="s">
        <v>45</v>
      </c>
      <c r="J1231">
        <v>2499</v>
      </c>
      <c r="K1231">
        <v>1</v>
      </c>
      <c r="L1231">
        <v>2302.39</v>
      </c>
      <c r="M1231">
        <v>230.24</v>
      </c>
      <c r="N1231">
        <v>2302.39</v>
      </c>
      <c r="O1231">
        <v>2072.15</v>
      </c>
      <c r="P1231" t="s">
        <v>2111</v>
      </c>
      <c r="Q1231" t="s">
        <v>1809</v>
      </c>
    </row>
    <row r="1232" spans="1:17" x14ac:dyDescent="0.3">
      <c r="A1232" t="s">
        <v>2737</v>
      </c>
      <c r="B1232" t="s">
        <v>2738</v>
      </c>
      <c r="C1232" s="1">
        <v>46089</v>
      </c>
      <c r="D1232" t="s">
        <v>16</v>
      </c>
      <c r="E1232" t="s">
        <v>42</v>
      </c>
      <c r="F1232" t="s">
        <v>22</v>
      </c>
      <c r="G1232" t="s">
        <v>51</v>
      </c>
      <c r="H1232" t="s">
        <v>52</v>
      </c>
      <c r="I1232" t="s">
        <v>20</v>
      </c>
      <c r="J1232">
        <v>999</v>
      </c>
      <c r="K1232">
        <v>1</v>
      </c>
      <c r="L1232">
        <v>968.15</v>
      </c>
      <c r="M1232">
        <v>96.82</v>
      </c>
      <c r="N1232">
        <v>968.15</v>
      </c>
      <c r="O1232">
        <v>871.33</v>
      </c>
      <c r="P1232" t="s">
        <v>2111</v>
      </c>
      <c r="Q1232" t="s">
        <v>789</v>
      </c>
    </row>
    <row r="1233" spans="1:17" x14ac:dyDescent="0.3">
      <c r="A1233" t="s">
        <v>425</v>
      </c>
      <c r="B1233" t="s">
        <v>424</v>
      </c>
      <c r="C1233" s="1">
        <v>46047</v>
      </c>
      <c r="D1233" t="s">
        <v>16</v>
      </c>
      <c r="E1233" t="s">
        <v>50</v>
      </c>
      <c r="F1233" t="s">
        <v>31</v>
      </c>
      <c r="G1233" t="s">
        <v>80</v>
      </c>
      <c r="H1233" t="s">
        <v>81</v>
      </c>
      <c r="I1233" t="s">
        <v>82</v>
      </c>
      <c r="J1233">
        <v>4299</v>
      </c>
      <c r="K1233">
        <v>1</v>
      </c>
      <c r="L1233">
        <v>3996.68</v>
      </c>
      <c r="M1233">
        <v>799.34</v>
      </c>
      <c r="N1233">
        <v>3996.68</v>
      </c>
      <c r="O1233">
        <v>3197.34</v>
      </c>
      <c r="P1233" t="s">
        <v>2111</v>
      </c>
      <c r="Q1233" t="s">
        <v>23</v>
      </c>
    </row>
    <row r="1234" spans="1:17" x14ac:dyDescent="0.3">
      <c r="A1234" t="s">
        <v>2739</v>
      </c>
      <c r="B1234" t="s">
        <v>2740</v>
      </c>
      <c r="C1234" s="1">
        <v>46203</v>
      </c>
      <c r="D1234" t="s">
        <v>16</v>
      </c>
      <c r="E1234" t="s">
        <v>17</v>
      </c>
      <c r="F1234" t="s">
        <v>47</v>
      </c>
      <c r="G1234" t="s">
        <v>165</v>
      </c>
      <c r="H1234" t="s">
        <v>166</v>
      </c>
      <c r="I1234" t="s">
        <v>29</v>
      </c>
      <c r="J1234">
        <v>449</v>
      </c>
      <c r="K1234">
        <v>2</v>
      </c>
      <c r="L1234">
        <v>461.22</v>
      </c>
      <c r="M1234">
        <v>0</v>
      </c>
      <c r="N1234">
        <v>922.44</v>
      </c>
      <c r="O1234">
        <v>922.44</v>
      </c>
      <c r="P1234" t="s">
        <v>2111</v>
      </c>
      <c r="Q1234" t="s">
        <v>1809</v>
      </c>
    </row>
    <row r="1235" spans="1:17" x14ac:dyDescent="0.3">
      <c r="A1235" t="s">
        <v>2741</v>
      </c>
      <c r="B1235" t="s">
        <v>2063</v>
      </c>
      <c r="C1235" s="1">
        <v>46094</v>
      </c>
      <c r="D1235" t="s">
        <v>16</v>
      </c>
      <c r="E1235" t="s">
        <v>17</v>
      </c>
      <c r="F1235" t="s">
        <v>22</v>
      </c>
      <c r="G1235" t="s">
        <v>35</v>
      </c>
      <c r="H1235" t="s">
        <v>36</v>
      </c>
      <c r="I1235" t="s">
        <v>37</v>
      </c>
      <c r="J1235">
        <v>799</v>
      </c>
      <c r="K1235">
        <v>3</v>
      </c>
      <c r="L1235">
        <v>870.83</v>
      </c>
      <c r="M1235">
        <v>261.25</v>
      </c>
      <c r="N1235">
        <v>2612.4899999999998</v>
      </c>
      <c r="O1235">
        <v>2351.2399999999998</v>
      </c>
      <c r="P1235" t="s">
        <v>2111</v>
      </c>
      <c r="Q1235" t="s">
        <v>789</v>
      </c>
    </row>
    <row r="1236" spans="1:17" x14ac:dyDescent="0.3">
      <c r="A1236" t="s">
        <v>2052</v>
      </c>
      <c r="B1236" t="s">
        <v>178</v>
      </c>
      <c r="C1236" s="1">
        <v>46199</v>
      </c>
      <c r="D1236" t="s">
        <v>16</v>
      </c>
      <c r="E1236" t="s">
        <v>42</v>
      </c>
      <c r="F1236" t="s">
        <v>31</v>
      </c>
      <c r="G1236" t="s">
        <v>160</v>
      </c>
      <c r="H1236" t="s">
        <v>161</v>
      </c>
      <c r="I1236" t="s">
        <v>82</v>
      </c>
      <c r="J1236">
        <v>799</v>
      </c>
      <c r="K1236">
        <v>1</v>
      </c>
      <c r="L1236">
        <v>878.38</v>
      </c>
      <c r="M1236">
        <v>131.76</v>
      </c>
      <c r="N1236">
        <v>878.38</v>
      </c>
      <c r="O1236">
        <v>746.62</v>
      </c>
      <c r="P1236" t="s">
        <v>2111</v>
      </c>
      <c r="Q1236" t="s">
        <v>1809</v>
      </c>
    </row>
    <row r="1237" spans="1:17" x14ac:dyDescent="0.3">
      <c r="A1237" t="s">
        <v>1784</v>
      </c>
      <c r="B1237" t="s">
        <v>219</v>
      </c>
      <c r="C1237" s="1">
        <v>46170</v>
      </c>
      <c r="D1237" t="s">
        <v>63</v>
      </c>
      <c r="E1237" t="s">
        <v>17</v>
      </c>
      <c r="F1237" t="s">
        <v>22</v>
      </c>
      <c r="G1237" t="s">
        <v>51</v>
      </c>
      <c r="H1237" t="s">
        <v>52</v>
      </c>
      <c r="I1237" t="s">
        <v>20</v>
      </c>
      <c r="J1237">
        <v>999</v>
      </c>
      <c r="K1237">
        <v>2</v>
      </c>
      <c r="L1237">
        <v>974.07</v>
      </c>
      <c r="M1237">
        <v>292.22000000000003</v>
      </c>
      <c r="N1237">
        <v>1948.14</v>
      </c>
      <c r="O1237">
        <v>1655.92</v>
      </c>
      <c r="P1237" t="s">
        <v>2111</v>
      </c>
      <c r="Q1237" t="s">
        <v>1479</v>
      </c>
    </row>
    <row r="1238" spans="1:17" x14ac:dyDescent="0.3">
      <c r="A1238" t="s">
        <v>1892</v>
      </c>
      <c r="B1238" t="s">
        <v>1891</v>
      </c>
      <c r="C1238" s="1">
        <v>46181</v>
      </c>
      <c r="D1238" t="s">
        <v>26</v>
      </c>
      <c r="E1238" t="s">
        <v>17</v>
      </c>
      <c r="F1238" t="s">
        <v>22</v>
      </c>
      <c r="G1238" t="s">
        <v>126</v>
      </c>
      <c r="H1238" t="s">
        <v>127</v>
      </c>
      <c r="I1238" t="s">
        <v>45</v>
      </c>
      <c r="J1238">
        <v>2499</v>
      </c>
      <c r="K1238">
        <v>3</v>
      </c>
      <c r="L1238">
        <v>2548.4899999999998</v>
      </c>
      <c r="M1238">
        <v>764.55</v>
      </c>
      <c r="N1238">
        <v>7645.47</v>
      </c>
      <c r="O1238">
        <v>6880.92</v>
      </c>
      <c r="P1238" t="s">
        <v>2111</v>
      </c>
      <c r="Q1238" t="s">
        <v>1809</v>
      </c>
    </row>
    <row r="1239" spans="1:17" x14ac:dyDescent="0.3">
      <c r="A1239" t="s">
        <v>1237</v>
      </c>
      <c r="B1239" t="s">
        <v>1236</v>
      </c>
      <c r="C1239" s="1">
        <v>46121</v>
      </c>
      <c r="D1239" t="s">
        <v>26</v>
      </c>
      <c r="E1239" t="s">
        <v>50</v>
      </c>
      <c r="F1239" t="s">
        <v>74</v>
      </c>
      <c r="G1239" t="s">
        <v>250</v>
      </c>
      <c r="H1239" t="s">
        <v>251</v>
      </c>
      <c r="I1239" t="s">
        <v>108</v>
      </c>
      <c r="J1239">
        <v>899</v>
      </c>
      <c r="K1239">
        <v>1</v>
      </c>
      <c r="L1239">
        <v>963.06</v>
      </c>
      <c r="M1239">
        <v>192.61</v>
      </c>
      <c r="N1239">
        <v>963.06</v>
      </c>
      <c r="O1239">
        <v>770.45</v>
      </c>
      <c r="P1239" t="s">
        <v>2111</v>
      </c>
      <c r="Q1239" t="s">
        <v>1170</v>
      </c>
    </row>
    <row r="1240" spans="1:17" x14ac:dyDescent="0.3">
      <c r="A1240" t="s">
        <v>1854</v>
      </c>
      <c r="B1240" t="s">
        <v>1853</v>
      </c>
      <c r="C1240" s="1">
        <v>46177</v>
      </c>
      <c r="D1240" t="s">
        <v>34</v>
      </c>
      <c r="E1240" t="s">
        <v>17</v>
      </c>
      <c r="F1240" t="s">
        <v>74</v>
      </c>
      <c r="G1240" t="s">
        <v>18</v>
      </c>
      <c r="H1240" t="s">
        <v>19</v>
      </c>
      <c r="I1240" t="s">
        <v>20</v>
      </c>
      <c r="J1240">
        <v>2799</v>
      </c>
      <c r="K1240">
        <v>1</v>
      </c>
      <c r="L1240">
        <v>2584.86</v>
      </c>
      <c r="M1240">
        <v>516.97</v>
      </c>
      <c r="N1240">
        <v>2584.86</v>
      </c>
      <c r="O1240">
        <v>2067.89</v>
      </c>
      <c r="P1240" t="s">
        <v>2114</v>
      </c>
      <c r="Q1240" t="s">
        <v>1809</v>
      </c>
    </row>
    <row r="1241" spans="1:17" x14ac:dyDescent="0.3">
      <c r="A1241" t="s">
        <v>497</v>
      </c>
      <c r="B1241" t="s">
        <v>496</v>
      </c>
      <c r="C1241" s="1">
        <v>46054</v>
      </c>
      <c r="D1241" t="s">
        <v>16</v>
      </c>
      <c r="E1241" t="s">
        <v>17</v>
      </c>
      <c r="F1241" t="s">
        <v>74</v>
      </c>
      <c r="G1241" t="s">
        <v>101</v>
      </c>
      <c r="H1241" t="s">
        <v>102</v>
      </c>
      <c r="I1241" t="s">
        <v>45</v>
      </c>
      <c r="J1241">
        <v>4999</v>
      </c>
      <c r="K1241">
        <v>2</v>
      </c>
      <c r="L1241">
        <v>5188.53</v>
      </c>
      <c r="M1241">
        <v>0</v>
      </c>
      <c r="N1241">
        <v>10377.06</v>
      </c>
      <c r="O1241">
        <v>10377.06</v>
      </c>
      <c r="P1241" t="s">
        <v>2111</v>
      </c>
      <c r="Q1241" t="s">
        <v>498</v>
      </c>
    </row>
    <row r="1242" spans="1:17" x14ac:dyDescent="0.3">
      <c r="A1242" t="s">
        <v>1869</v>
      </c>
      <c r="B1242" t="s">
        <v>1868</v>
      </c>
      <c r="C1242" s="1">
        <v>46178</v>
      </c>
      <c r="D1242" t="s">
        <v>16</v>
      </c>
      <c r="E1242" t="s">
        <v>42</v>
      </c>
      <c r="F1242" t="s">
        <v>47</v>
      </c>
      <c r="G1242" t="s">
        <v>250</v>
      </c>
      <c r="H1242" t="s">
        <v>251</v>
      </c>
      <c r="I1242" t="s">
        <v>108</v>
      </c>
      <c r="J1242">
        <v>899</v>
      </c>
      <c r="K1242">
        <v>2</v>
      </c>
      <c r="L1242">
        <v>882.61</v>
      </c>
      <c r="M1242">
        <v>176.52</v>
      </c>
      <c r="N1242">
        <v>1765.22</v>
      </c>
      <c r="O1242">
        <v>1588.7</v>
      </c>
      <c r="P1242" t="s">
        <v>2111</v>
      </c>
      <c r="Q1242" t="s">
        <v>1809</v>
      </c>
    </row>
    <row r="1243" spans="1:17" x14ac:dyDescent="0.3">
      <c r="A1243" t="s">
        <v>2288</v>
      </c>
      <c r="B1243" t="s">
        <v>2289</v>
      </c>
      <c r="C1243" s="1">
        <v>46132</v>
      </c>
      <c r="D1243" t="s">
        <v>41</v>
      </c>
      <c r="E1243" t="s">
        <v>17</v>
      </c>
      <c r="F1243" t="s">
        <v>60</v>
      </c>
      <c r="G1243" t="s">
        <v>355</v>
      </c>
      <c r="H1243" t="s">
        <v>356</v>
      </c>
      <c r="I1243" t="s">
        <v>82</v>
      </c>
      <c r="J1243">
        <v>499</v>
      </c>
      <c r="K1243">
        <v>2</v>
      </c>
      <c r="L1243">
        <v>469.67</v>
      </c>
      <c r="M1243">
        <v>0</v>
      </c>
      <c r="N1243">
        <v>939.34</v>
      </c>
      <c r="O1243">
        <v>939.34</v>
      </c>
      <c r="P1243" t="s">
        <v>2111</v>
      </c>
      <c r="Q1243" t="s">
        <v>1170</v>
      </c>
    </row>
    <row r="1244" spans="1:17" x14ac:dyDescent="0.3">
      <c r="A1244" t="s">
        <v>2023</v>
      </c>
      <c r="B1244" t="s">
        <v>55</v>
      </c>
      <c r="C1244" s="1">
        <v>46196</v>
      </c>
      <c r="D1244" t="s">
        <v>34</v>
      </c>
      <c r="E1244" t="s">
        <v>17</v>
      </c>
      <c r="F1244" t="s">
        <v>22</v>
      </c>
      <c r="G1244" t="s">
        <v>112</v>
      </c>
      <c r="H1244" t="s">
        <v>113</v>
      </c>
      <c r="I1244" t="s">
        <v>37</v>
      </c>
      <c r="J1244">
        <v>1499</v>
      </c>
      <c r="K1244">
        <v>1</v>
      </c>
      <c r="L1244">
        <v>1469.85</v>
      </c>
      <c r="M1244">
        <v>73.489999999999995</v>
      </c>
      <c r="N1244">
        <v>1469.85</v>
      </c>
      <c r="O1244">
        <v>1396.36</v>
      </c>
      <c r="P1244" t="s">
        <v>2111</v>
      </c>
      <c r="Q1244" t="s">
        <v>1809</v>
      </c>
    </row>
    <row r="1245" spans="1:17" x14ac:dyDescent="0.3">
      <c r="A1245" t="s">
        <v>1614</v>
      </c>
      <c r="B1245" t="s">
        <v>1613</v>
      </c>
      <c r="C1245" s="1">
        <v>46154</v>
      </c>
      <c r="D1245" t="s">
        <v>26</v>
      </c>
      <c r="E1245" t="s">
        <v>17</v>
      </c>
      <c r="F1245" t="s">
        <v>47</v>
      </c>
      <c r="G1245" t="s">
        <v>91</v>
      </c>
      <c r="H1245" t="s">
        <v>92</v>
      </c>
      <c r="I1245" t="s">
        <v>37</v>
      </c>
      <c r="J1245">
        <v>1899</v>
      </c>
      <c r="K1245">
        <v>1</v>
      </c>
      <c r="L1245">
        <v>1737.95</v>
      </c>
      <c r="M1245">
        <v>173.8</v>
      </c>
      <c r="N1245">
        <v>1737.95</v>
      </c>
      <c r="O1245">
        <v>1564.15</v>
      </c>
      <c r="P1245" t="s">
        <v>2111</v>
      </c>
      <c r="Q1245" t="s">
        <v>1479</v>
      </c>
    </row>
    <row r="1246" spans="1:17" x14ac:dyDescent="0.3">
      <c r="A1246" t="s">
        <v>2742</v>
      </c>
      <c r="B1246" t="s">
        <v>1321</v>
      </c>
      <c r="C1246" s="1">
        <v>46024</v>
      </c>
      <c r="D1246" t="s">
        <v>41</v>
      </c>
      <c r="E1246" t="s">
        <v>42</v>
      </c>
      <c r="F1246" t="s">
        <v>74</v>
      </c>
      <c r="G1246" t="s">
        <v>56</v>
      </c>
      <c r="H1246" t="s">
        <v>57</v>
      </c>
      <c r="I1246" t="s">
        <v>58</v>
      </c>
      <c r="J1246">
        <v>8999</v>
      </c>
      <c r="K1246">
        <v>1</v>
      </c>
      <c r="L1246">
        <v>9350.69</v>
      </c>
      <c r="M1246">
        <v>1870.14</v>
      </c>
      <c r="N1246">
        <v>9350.69</v>
      </c>
      <c r="O1246">
        <v>7480.55</v>
      </c>
      <c r="P1246" t="s">
        <v>2111</v>
      </c>
      <c r="Q1246" t="s">
        <v>23</v>
      </c>
    </row>
    <row r="1247" spans="1:17" x14ac:dyDescent="0.3">
      <c r="A1247" t="s">
        <v>1123</v>
      </c>
      <c r="B1247" t="s">
        <v>1122</v>
      </c>
      <c r="C1247" s="1">
        <v>46108</v>
      </c>
      <c r="D1247" t="s">
        <v>16</v>
      </c>
      <c r="E1247" t="s">
        <v>17</v>
      </c>
      <c r="F1247" t="s">
        <v>47</v>
      </c>
      <c r="G1247" t="s">
        <v>160</v>
      </c>
      <c r="H1247" t="s">
        <v>161</v>
      </c>
      <c r="I1247" t="s">
        <v>82</v>
      </c>
      <c r="J1247">
        <v>799</v>
      </c>
      <c r="K1247">
        <v>1</v>
      </c>
      <c r="L1247">
        <v>759.49</v>
      </c>
      <c r="M1247">
        <v>151.9</v>
      </c>
      <c r="N1247">
        <v>759.49</v>
      </c>
      <c r="O1247">
        <v>607.59</v>
      </c>
      <c r="P1247" t="s">
        <v>2111</v>
      </c>
      <c r="Q1247" t="s">
        <v>789</v>
      </c>
    </row>
    <row r="1248" spans="1:17" x14ac:dyDescent="0.3">
      <c r="A1248" t="s">
        <v>2143</v>
      </c>
      <c r="B1248" t="s">
        <v>2144</v>
      </c>
      <c r="C1248" s="1">
        <v>46066</v>
      </c>
      <c r="D1248" t="s">
        <v>26</v>
      </c>
      <c r="E1248" t="s">
        <v>50</v>
      </c>
      <c r="F1248" t="s">
        <v>47</v>
      </c>
      <c r="G1248" t="s">
        <v>96</v>
      </c>
      <c r="H1248" t="s">
        <v>97</v>
      </c>
      <c r="I1248" t="s">
        <v>58</v>
      </c>
      <c r="J1248">
        <v>7499</v>
      </c>
      <c r="K1248">
        <v>1</v>
      </c>
      <c r="L1248">
        <v>7216.15</v>
      </c>
      <c r="M1248">
        <v>0</v>
      </c>
      <c r="N1248">
        <v>7216.15</v>
      </c>
      <c r="O1248">
        <v>7216.15</v>
      </c>
      <c r="P1248" t="s">
        <v>2111</v>
      </c>
      <c r="Q1248" t="s">
        <v>498</v>
      </c>
    </row>
    <row r="1249" spans="1:17" x14ac:dyDescent="0.3">
      <c r="A1249" t="s">
        <v>2743</v>
      </c>
      <c r="B1249" t="s">
        <v>1374</v>
      </c>
      <c r="C1249" s="1">
        <v>46071</v>
      </c>
      <c r="D1249" t="s">
        <v>16</v>
      </c>
      <c r="E1249" t="s">
        <v>50</v>
      </c>
      <c r="F1249" t="s">
        <v>47</v>
      </c>
      <c r="G1249" t="s">
        <v>18</v>
      </c>
      <c r="H1249" t="s">
        <v>19</v>
      </c>
      <c r="I1249" t="s">
        <v>20</v>
      </c>
      <c r="J1249">
        <v>2799</v>
      </c>
      <c r="K1249">
        <v>2</v>
      </c>
      <c r="L1249">
        <v>2586.88</v>
      </c>
      <c r="M1249">
        <v>0</v>
      </c>
      <c r="N1249">
        <v>5173.76</v>
      </c>
      <c r="O1249">
        <v>5173.76</v>
      </c>
      <c r="P1249" t="s">
        <v>2111</v>
      </c>
      <c r="Q1249" t="s">
        <v>498</v>
      </c>
    </row>
    <row r="1250" spans="1:17" x14ac:dyDescent="0.3">
      <c r="A1250" t="s">
        <v>2744</v>
      </c>
      <c r="B1250" t="s">
        <v>2745</v>
      </c>
      <c r="C1250" s="1">
        <v>46176</v>
      </c>
      <c r="D1250" t="s">
        <v>26</v>
      </c>
      <c r="E1250" t="s">
        <v>50</v>
      </c>
      <c r="F1250" t="s">
        <v>74</v>
      </c>
      <c r="G1250" t="s">
        <v>250</v>
      </c>
      <c r="H1250" t="s">
        <v>251</v>
      </c>
      <c r="I1250" t="s">
        <v>108</v>
      </c>
      <c r="J1250">
        <v>899</v>
      </c>
      <c r="K1250">
        <v>1</v>
      </c>
      <c r="L1250">
        <v>964.57</v>
      </c>
      <c r="M1250">
        <v>96.46</v>
      </c>
      <c r="N1250">
        <v>964.57</v>
      </c>
      <c r="O1250">
        <v>868.11</v>
      </c>
      <c r="P1250" t="s">
        <v>2114</v>
      </c>
      <c r="Q1250" t="s">
        <v>1809</v>
      </c>
    </row>
    <row r="1251" spans="1:17" x14ac:dyDescent="0.3">
      <c r="A1251" t="s">
        <v>856</v>
      </c>
      <c r="B1251" t="s">
        <v>855</v>
      </c>
      <c r="C1251" s="1">
        <v>46086</v>
      </c>
      <c r="D1251" t="s">
        <v>16</v>
      </c>
      <c r="E1251" t="s">
        <v>50</v>
      </c>
      <c r="F1251" t="s">
        <v>22</v>
      </c>
      <c r="G1251" t="s">
        <v>106</v>
      </c>
      <c r="H1251" t="s">
        <v>107</v>
      </c>
      <c r="I1251" t="s">
        <v>108</v>
      </c>
      <c r="J1251">
        <v>599</v>
      </c>
      <c r="K1251">
        <v>2</v>
      </c>
      <c r="L1251">
        <v>598.21</v>
      </c>
      <c r="M1251">
        <v>119.64</v>
      </c>
      <c r="N1251">
        <v>1196.42</v>
      </c>
      <c r="O1251">
        <v>1076.78</v>
      </c>
      <c r="P1251" t="s">
        <v>2111</v>
      </c>
      <c r="Q1251" t="s">
        <v>789</v>
      </c>
    </row>
    <row r="1252" spans="1:17" x14ac:dyDescent="0.3">
      <c r="A1252" t="s">
        <v>2536</v>
      </c>
      <c r="B1252" t="s">
        <v>2537</v>
      </c>
      <c r="C1252" s="1">
        <v>46053</v>
      </c>
      <c r="D1252" t="s">
        <v>16</v>
      </c>
      <c r="E1252" t="s">
        <v>17</v>
      </c>
      <c r="F1252" t="s">
        <v>47</v>
      </c>
      <c r="G1252" t="s">
        <v>35</v>
      </c>
      <c r="H1252" t="s">
        <v>36</v>
      </c>
      <c r="I1252" t="s">
        <v>37</v>
      </c>
      <c r="J1252">
        <v>799</v>
      </c>
      <c r="K1252">
        <v>1</v>
      </c>
      <c r="L1252">
        <v>810.53</v>
      </c>
      <c r="M1252">
        <v>40.53</v>
      </c>
      <c r="N1252">
        <v>810.53</v>
      </c>
      <c r="O1252">
        <v>770</v>
      </c>
      <c r="P1252" t="s">
        <v>2111</v>
      </c>
      <c r="Q1252" t="s">
        <v>23</v>
      </c>
    </row>
    <row r="1253" spans="1:17" x14ac:dyDescent="0.3">
      <c r="A1253" t="s">
        <v>2746</v>
      </c>
      <c r="B1253" t="s">
        <v>439</v>
      </c>
      <c r="C1253" s="1">
        <v>46054</v>
      </c>
      <c r="D1253" t="s">
        <v>63</v>
      </c>
      <c r="E1253" t="s">
        <v>17</v>
      </c>
      <c r="F1253" t="s">
        <v>31</v>
      </c>
      <c r="G1253" t="s">
        <v>355</v>
      </c>
      <c r="H1253" t="s">
        <v>356</v>
      </c>
      <c r="I1253" t="s">
        <v>82</v>
      </c>
      <c r="J1253">
        <v>499</v>
      </c>
      <c r="K1253">
        <v>1</v>
      </c>
      <c r="L1253">
        <v>505.93</v>
      </c>
      <c r="M1253">
        <v>101.19</v>
      </c>
      <c r="N1253">
        <v>505.93</v>
      </c>
      <c r="O1253">
        <v>404.74</v>
      </c>
      <c r="P1253" t="s">
        <v>2111</v>
      </c>
      <c r="Q1253" t="s">
        <v>498</v>
      </c>
    </row>
    <row r="1254" spans="1:17" x14ac:dyDescent="0.3">
      <c r="A1254" t="s">
        <v>2055</v>
      </c>
      <c r="B1254" t="s">
        <v>2054</v>
      </c>
      <c r="C1254" s="1">
        <v>46199</v>
      </c>
      <c r="D1254" t="s">
        <v>16</v>
      </c>
      <c r="E1254" t="s">
        <v>17</v>
      </c>
      <c r="F1254" t="s">
        <v>22</v>
      </c>
      <c r="G1254" t="s">
        <v>355</v>
      </c>
      <c r="H1254" t="s">
        <v>356</v>
      </c>
      <c r="I1254" t="s">
        <v>82</v>
      </c>
      <c r="J1254">
        <v>499</v>
      </c>
      <c r="K1254">
        <v>1</v>
      </c>
      <c r="L1254">
        <v>490.07</v>
      </c>
      <c r="M1254">
        <v>98.01</v>
      </c>
      <c r="N1254">
        <v>490.07</v>
      </c>
      <c r="O1254">
        <v>392.06</v>
      </c>
      <c r="P1254" t="s">
        <v>2111</v>
      </c>
      <c r="Q1254" t="s">
        <v>1809</v>
      </c>
    </row>
    <row r="1255" spans="1:17" x14ac:dyDescent="0.3">
      <c r="A1255" t="s">
        <v>1228</v>
      </c>
      <c r="B1255" t="s">
        <v>1227</v>
      </c>
      <c r="C1255" s="1">
        <v>46120</v>
      </c>
      <c r="D1255" t="s">
        <v>16</v>
      </c>
      <c r="E1255" t="s">
        <v>17</v>
      </c>
      <c r="F1255" t="s">
        <v>74</v>
      </c>
      <c r="G1255" t="s">
        <v>126</v>
      </c>
      <c r="H1255" t="s">
        <v>127</v>
      </c>
      <c r="I1255" t="s">
        <v>45</v>
      </c>
      <c r="J1255">
        <v>2499</v>
      </c>
      <c r="K1255">
        <v>1</v>
      </c>
      <c r="L1255">
        <v>2345.33</v>
      </c>
      <c r="M1255">
        <v>234.53</v>
      </c>
      <c r="N1255">
        <v>2345.33</v>
      </c>
      <c r="O1255">
        <v>2110.8000000000002</v>
      </c>
      <c r="P1255" t="s">
        <v>2111</v>
      </c>
      <c r="Q1255" t="s">
        <v>1170</v>
      </c>
    </row>
    <row r="1256" spans="1:17" x14ac:dyDescent="0.3">
      <c r="A1256" t="s">
        <v>982</v>
      </c>
      <c r="B1256" t="s">
        <v>981</v>
      </c>
      <c r="C1256" s="1">
        <v>46096</v>
      </c>
      <c r="D1256" t="s">
        <v>34</v>
      </c>
      <c r="E1256" t="s">
        <v>17</v>
      </c>
      <c r="F1256" t="s">
        <v>60</v>
      </c>
      <c r="G1256" t="s">
        <v>191</v>
      </c>
      <c r="H1256" t="s">
        <v>192</v>
      </c>
      <c r="I1256" t="s">
        <v>45</v>
      </c>
      <c r="J1256">
        <v>699</v>
      </c>
      <c r="K1256">
        <v>1</v>
      </c>
      <c r="L1256">
        <v>733.27</v>
      </c>
      <c r="M1256">
        <v>146.65</v>
      </c>
      <c r="N1256">
        <v>733.27</v>
      </c>
      <c r="O1256">
        <v>586.62</v>
      </c>
      <c r="P1256" t="s">
        <v>2111</v>
      </c>
      <c r="Q1256" t="s">
        <v>789</v>
      </c>
    </row>
    <row r="1257" spans="1:17" x14ac:dyDescent="0.3">
      <c r="A1257" t="s">
        <v>1747</v>
      </c>
      <c r="B1257" t="s">
        <v>1746</v>
      </c>
      <c r="C1257" s="1">
        <v>46167</v>
      </c>
      <c r="D1257" t="s">
        <v>16</v>
      </c>
      <c r="E1257" t="s">
        <v>17</v>
      </c>
      <c r="F1257" t="s">
        <v>22</v>
      </c>
      <c r="G1257" t="s">
        <v>250</v>
      </c>
      <c r="H1257" t="s">
        <v>251</v>
      </c>
      <c r="I1257" t="s">
        <v>108</v>
      </c>
      <c r="J1257">
        <v>899</v>
      </c>
      <c r="K1257">
        <v>4</v>
      </c>
      <c r="L1257">
        <v>831.94</v>
      </c>
      <c r="M1257">
        <v>332.78</v>
      </c>
      <c r="N1257">
        <v>3327.76</v>
      </c>
      <c r="O1257">
        <v>2994.98</v>
      </c>
      <c r="P1257" t="s">
        <v>2111</v>
      </c>
      <c r="Q1257" t="s">
        <v>1479</v>
      </c>
    </row>
    <row r="1258" spans="1:17" x14ac:dyDescent="0.3">
      <c r="A1258" t="s">
        <v>2455</v>
      </c>
      <c r="B1258" t="s">
        <v>2456</v>
      </c>
      <c r="C1258" s="1">
        <v>46055</v>
      </c>
      <c r="D1258" t="s">
        <v>41</v>
      </c>
      <c r="E1258" t="s">
        <v>17</v>
      </c>
      <c r="F1258" t="s">
        <v>74</v>
      </c>
      <c r="G1258" t="s">
        <v>191</v>
      </c>
      <c r="H1258" t="s">
        <v>192</v>
      </c>
      <c r="I1258" t="s">
        <v>45</v>
      </c>
      <c r="J1258">
        <v>699</v>
      </c>
      <c r="K1258">
        <v>2</v>
      </c>
      <c r="L1258">
        <v>643.62</v>
      </c>
      <c r="M1258">
        <v>193.09</v>
      </c>
      <c r="N1258">
        <v>1287.24</v>
      </c>
      <c r="O1258">
        <v>1094.1500000000001</v>
      </c>
      <c r="P1258" t="s">
        <v>2111</v>
      </c>
      <c r="Q1258" t="s">
        <v>498</v>
      </c>
    </row>
    <row r="1259" spans="1:17" x14ac:dyDescent="0.3">
      <c r="A1259" t="s">
        <v>993</v>
      </c>
      <c r="B1259" t="s">
        <v>992</v>
      </c>
      <c r="C1259" s="1">
        <v>46097</v>
      </c>
      <c r="D1259" t="s">
        <v>34</v>
      </c>
      <c r="E1259" t="s">
        <v>17</v>
      </c>
      <c r="F1259" t="s">
        <v>31</v>
      </c>
      <c r="G1259" t="s">
        <v>27</v>
      </c>
      <c r="H1259" t="s">
        <v>28</v>
      </c>
      <c r="I1259" t="s">
        <v>29</v>
      </c>
      <c r="J1259">
        <v>1599</v>
      </c>
      <c r="K1259">
        <v>1</v>
      </c>
      <c r="L1259">
        <v>1666.2</v>
      </c>
      <c r="M1259">
        <v>166.62</v>
      </c>
      <c r="N1259">
        <v>1666.2</v>
      </c>
      <c r="O1259">
        <v>1499.58</v>
      </c>
      <c r="P1259" t="s">
        <v>2111</v>
      </c>
      <c r="Q1259" t="s">
        <v>789</v>
      </c>
    </row>
    <row r="1260" spans="1:17" x14ac:dyDescent="0.3">
      <c r="A1260" t="s">
        <v>703</v>
      </c>
      <c r="B1260" t="s">
        <v>187</v>
      </c>
      <c r="C1260" s="1">
        <v>46074</v>
      </c>
      <c r="D1260" t="s">
        <v>16</v>
      </c>
      <c r="E1260" t="s">
        <v>17</v>
      </c>
      <c r="F1260" t="s">
        <v>60</v>
      </c>
      <c r="G1260" t="s">
        <v>86</v>
      </c>
      <c r="H1260" t="s">
        <v>87</v>
      </c>
      <c r="I1260" t="s">
        <v>82</v>
      </c>
      <c r="J1260">
        <v>3499</v>
      </c>
      <c r="K1260">
        <v>1</v>
      </c>
      <c r="L1260">
        <v>3295.24</v>
      </c>
      <c r="M1260">
        <v>0</v>
      </c>
      <c r="N1260">
        <v>3295.24</v>
      </c>
      <c r="O1260">
        <v>3295.24</v>
      </c>
      <c r="P1260" t="s">
        <v>2111</v>
      </c>
      <c r="Q1260" t="s">
        <v>498</v>
      </c>
    </row>
    <row r="1261" spans="1:17" x14ac:dyDescent="0.3">
      <c r="A1261" t="s">
        <v>1485</v>
      </c>
      <c r="B1261" t="s">
        <v>225</v>
      </c>
      <c r="C1261" s="1">
        <v>46143</v>
      </c>
      <c r="D1261" t="s">
        <v>63</v>
      </c>
      <c r="E1261" t="s">
        <v>17</v>
      </c>
      <c r="F1261" t="s">
        <v>74</v>
      </c>
      <c r="G1261" t="s">
        <v>56</v>
      </c>
      <c r="H1261" t="s">
        <v>57</v>
      </c>
      <c r="I1261" t="s">
        <v>58</v>
      </c>
      <c r="J1261">
        <v>8999</v>
      </c>
      <c r="K1261">
        <v>3</v>
      </c>
      <c r="L1261">
        <v>8651.23</v>
      </c>
      <c r="M1261">
        <v>5190.74</v>
      </c>
      <c r="N1261">
        <v>25953.69</v>
      </c>
      <c r="O1261">
        <v>20762.95</v>
      </c>
      <c r="P1261" t="s">
        <v>2111</v>
      </c>
      <c r="Q1261" t="s">
        <v>1479</v>
      </c>
    </row>
    <row r="1262" spans="1:17" x14ac:dyDescent="0.3">
      <c r="A1262" t="s">
        <v>2343</v>
      </c>
      <c r="B1262" t="s">
        <v>2344</v>
      </c>
      <c r="C1262" s="1">
        <v>46120</v>
      </c>
      <c r="D1262" t="s">
        <v>16</v>
      </c>
      <c r="E1262" t="s">
        <v>42</v>
      </c>
      <c r="F1262" t="s">
        <v>60</v>
      </c>
      <c r="G1262" t="s">
        <v>56</v>
      </c>
      <c r="H1262" t="s">
        <v>57</v>
      </c>
      <c r="I1262" t="s">
        <v>58</v>
      </c>
      <c r="J1262">
        <v>8999</v>
      </c>
      <c r="K1262">
        <v>1</v>
      </c>
      <c r="L1262">
        <v>8954.41</v>
      </c>
      <c r="M1262">
        <v>895.44</v>
      </c>
      <c r="N1262">
        <v>8954.41</v>
      </c>
      <c r="O1262">
        <v>8058.97</v>
      </c>
      <c r="P1262" t="s">
        <v>2111</v>
      </c>
      <c r="Q1262" t="s">
        <v>1170</v>
      </c>
    </row>
    <row r="1263" spans="1:17" x14ac:dyDescent="0.3">
      <c r="A1263" t="s">
        <v>792</v>
      </c>
      <c r="B1263" t="s">
        <v>791</v>
      </c>
      <c r="C1263" s="1">
        <v>46082</v>
      </c>
      <c r="D1263" t="s">
        <v>16</v>
      </c>
      <c r="E1263" t="s">
        <v>17</v>
      </c>
      <c r="F1263" t="s">
        <v>31</v>
      </c>
      <c r="G1263" t="s">
        <v>149</v>
      </c>
      <c r="H1263" t="s">
        <v>150</v>
      </c>
      <c r="I1263" t="s">
        <v>37</v>
      </c>
      <c r="J1263">
        <v>2999</v>
      </c>
      <c r="K1263">
        <v>1</v>
      </c>
      <c r="L1263">
        <v>2968.62</v>
      </c>
      <c r="M1263">
        <v>445.29</v>
      </c>
      <c r="N1263">
        <v>2968.62</v>
      </c>
      <c r="O1263">
        <v>2523.33</v>
      </c>
      <c r="P1263" t="s">
        <v>2114</v>
      </c>
      <c r="Q1263" t="s">
        <v>789</v>
      </c>
    </row>
    <row r="1264" spans="1:17" x14ac:dyDescent="0.3">
      <c r="A1264" t="s">
        <v>619</v>
      </c>
      <c r="B1264" t="s">
        <v>231</v>
      </c>
      <c r="C1264" s="1">
        <v>46065</v>
      </c>
      <c r="D1264" t="s">
        <v>16</v>
      </c>
      <c r="E1264" t="s">
        <v>17</v>
      </c>
      <c r="F1264" t="s">
        <v>60</v>
      </c>
      <c r="G1264" t="s">
        <v>191</v>
      </c>
      <c r="H1264" t="s">
        <v>192</v>
      </c>
      <c r="I1264" t="s">
        <v>45</v>
      </c>
      <c r="J1264">
        <v>699</v>
      </c>
      <c r="K1264">
        <v>1</v>
      </c>
      <c r="L1264">
        <v>728.16</v>
      </c>
      <c r="M1264">
        <v>36.409999999999997</v>
      </c>
      <c r="N1264">
        <v>728.16</v>
      </c>
      <c r="O1264">
        <v>691.75</v>
      </c>
      <c r="P1264" t="s">
        <v>2114</v>
      </c>
      <c r="Q1264" t="s">
        <v>498</v>
      </c>
    </row>
    <row r="1265" spans="1:17" x14ac:dyDescent="0.3">
      <c r="A1265" t="s">
        <v>2187</v>
      </c>
      <c r="B1265" t="s">
        <v>750</v>
      </c>
      <c r="C1265" s="1">
        <v>46186</v>
      </c>
      <c r="D1265" t="s">
        <v>34</v>
      </c>
      <c r="E1265" t="s">
        <v>17</v>
      </c>
      <c r="F1265" t="s">
        <v>22</v>
      </c>
      <c r="G1265" t="s">
        <v>355</v>
      </c>
      <c r="H1265" t="s">
        <v>356</v>
      </c>
      <c r="I1265" t="s">
        <v>82</v>
      </c>
      <c r="J1265">
        <v>499</v>
      </c>
      <c r="K1265">
        <v>3</v>
      </c>
      <c r="L1265">
        <v>511.32</v>
      </c>
      <c r="M1265">
        <v>0</v>
      </c>
      <c r="N1265">
        <v>1533.96</v>
      </c>
      <c r="O1265">
        <v>1533.96</v>
      </c>
      <c r="P1265" t="s">
        <v>2111</v>
      </c>
      <c r="Q1265" t="s">
        <v>1809</v>
      </c>
    </row>
    <row r="1266" spans="1:17" x14ac:dyDescent="0.3">
      <c r="A1266" t="s">
        <v>950</v>
      </c>
      <c r="B1266" t="s">
        <v>809</v>
      </c>
      <c r="C1266" s="1">
        <v>46093</v>
      </c>
      <c r="D1266" t="s">
        <v>26</v>
      </c>
      <c r="E1266" t="s">
        <v>17</v>
      </c>
      <c r="F1266" t="s">
        <v>74</v>
      </c>
      <c r="G1266" t="s">
        <v>96</v>
      </c>
      <c r="H1266" t="s">
        <v>97</v>
      </c>
      <c r="I1266" t="s">
        <v>58</v>
      </c>
      <c r="J1266">
        <v>7499</v>
      </c>
      <c r="K1266">
        <v>1</v>
      </c>
      <c r="L1266">
        <v>7715.57</v>
      </c>
      <c r="M1266">
        <v>0</v>
      </c>
      <c r="N1266">
        <v>7715.57</v>
      </c>
      <c r="O1266">
        <v>7715.57</v>
      </c>
      <c r="P1266" t="s">
        <v>2111</v>
      </c>
      <c r="Q1266" t="s">
        <v>789</v>
      </c>
    </row>
    <row r="1267" spans="1:17" x14ac:dyDescent="0.3">
      <c r="A1267" t="s">
        <v>1048</v>
      </c>
      <c r="B1267" t="s">
        <v>1047</v>
      </c>
      <c r="C1267" s="1">
        <v>46101</v>
      </c>
      <c r="D1267" t="s">
        <v>34</v>
      </c>
      <c r="E1267" t="s">
        <v>17</v>
      </c>
      <c r="F1267" t="s">
        <v>22</v>
      </c>
      <c r="G1267" t="s">
        <v>355</v>
      </c>
      <c r="H1267" t="s">
        <v>356</v>
      </c>
      <c r="I1267" t="s">
        <v>82</v>
      </c>
      <c r="J1267">
        <v>499</v>
      </c>
      <c r="K1267">
        <v>1</v>
      </c>
      <c r="L1267">
        <v>520.36</v>
      </c>
      <c r="M1267">
        <v>52.04</v>
      </c>
      <c r="N1267">
        <v>520.36</v>
      </c>
      <c r="O1267">
        <v>468.32</v>
      </c>
      <c r="P1267" t="s">
        <v>2111</v>
      </c>
      <c r="Q1267" t="s">
        <v>789</v>
      </c>
    </row>
    <row r="1268" spans="1:17" x14ac:dyDescent="0.3">
      <c r="A1268" t="s">
        <v>628</v>
      </c>
      <c r="B1268" t="s">
        <v>627</v>
      </c>
      <c r="C1268" s="1">
        <v>46065</v>
      </c>
      <c r="D1268" t="s">
        <v>34</v>
      </c>
      <c r="E1268" t="s">
        <v>17</v>
      </c>
      <c r="F1268" t="s">
        <v>22</v>
      </c>
      <c r="G1268" t="s">
        <v>149</v>
      </c>
      <c r="H1268" t="s">
        <v>150</v>
      </c>
      <c r="I1268" t="s">
        <v>37</v>
      </c>
      <c r="J1268">
        <v>2999</v>
      </c>
      <c r="K1268">
        <v>3</v>
      </c>
      <c r="L1268">
        <v>2874.61</v>
      </c>
      <c r="M1268">
        <v>1293.57</v>
      </c>
      <c r="N1268">
        <v>8623.83</v>
      </c>
      <c r="O1268">
        <v>7330.26</v>
      </c>
      <c r="P1268" t="s">
        <v>2111</v>
      </c>
      <c r="Q1268" t="s">
        <v>498</v>
      </c>
    </row>
    <row r="1269" spans="1:17" x14ac:dyDescent="0.3">
      <c r="A1269" t="s">
        <v>709</v>
      </c>
      <c r="B1269" t="s">
        <v>708</v>
      </c>
      <c r="C1269" s="1">
        <v>46074</v>
      </c>
      <c r="D1269" t="s">
        <v>63</v>
      </c>
      <c r="E1269" t="s">
        <v>17</v>
      </c>
      <c r="F1269" t="s">
        <v>31</v>
      </c>
      <c r="G1269" t="s">
        <v>43</v>
      </c>
      <c r="H1269" t="s">
        <v>44</v>
      </c>
      <c r="I1269" t="s">
        <v>45</v>
      </c>
      <c r="J1269">
        <v>3299</v>
      </c>
      <c r="K1269">
        <v>1</v>
      </c>
      <c r="L1269">
        <v>3181.78</v>
      </c>
      <c r="M1269">
        <v>159.09</v>
      </c>
      <c r="N1269">
        <v>3181.78</v>
      </c>
      <c r="O1269">
        <v>3022.69</v>
      </c>
      <c r="P1269" t="s">
        <v>2111</v>
      </c>
      <c r="Q1269" t="s">
        <v>498</v>
      </c>
    </row>
    <row r="1270" spans="1:17" x14ac:dyDescent="0.3">
      <c r="A1270" t="s">
        <v>2196</v>
      </c>
      <c r="B1270" t="s">
        <v>2197</v>
      </c>
      <c r="C1270" s="1">
        <v>46157</v>
      </c>
      <c r="D1270" t="s">
        <v>16</v>
      </c>
      <c r="E1270" t="s">
        <v>50</v>
      </c>
      <c r="F1270" t="s">
        <v>47</v>
      </c>
      <c r="G1270" t="s">
        <v>27</v>
      </c>
      <c r="H1270" t="s">
        <v>28</v>
      </c>
      <c r="I1270" t="s">
        <v>29</v>
      </c>
      <c r="J1270">
        <v>1599</v>
      </c>
      <c r="K1270">
        <v>1</v>
      </c>
      <c r="L1270">
        <v>1579.17</v>
      </c>
      <c r="M1270">
        <v>236.88</v>
      </c>
      <c r="N1270">
        <v>1579.17</v>
      </c>
      <c r="O1270">
        <v>1342.29</v>
      </c>
      <c r="P1270" t="s">
        <v>2111</v>
      </c>
      <c r="Q1270" t="s">
        <v>1479</v>
      </c>
    </row>
    <row r="1271" spans="1:17" x14ac:dyDescent="0.3">
      <c r="A1271" t="s">
        <v>2496</v>
      </c>
      <c r="B1271" t="s">
        <v>2497</v>
      </c>
      <c r="C1271" s="1">
        <v>46024</v>
      </c>
      <c r="D1271" t="s">
        <v>16</v>
      </c>
      <c r="E1271" t="s">
        <v>50</v>
      </c>
      <c r="F1271" t="s">
        <v>31</v>
      </c>
      <c r="G1271" t="s">
        <v>91</v>
      </c>
      <c r="H1271" t="s">
        <v>92</v>
      </c>
      <c r="I1271" t="s">
        <v>37</v>
      </c>
      <c r="J1271">
        <v>1899</v>
      </c>
      <c r="K1271">
        <v>1</v>
      </c>
      <c r="L1271">
        <v>1825.87</v>
      </c>
      <c r="M1271">
        <v>273.88</v>
      </c>
      <c r="N1271">
        <v>1825.87</v>
      </c>
      <c r="O1271">
        <v>1551.99</v>
      </c>
      <c r="P1271" t="s">
        <v>2111</v>
      </c>
      <c r="Q1271" t="s">
        <v>23</v>
      </c>
    </row>
    <row r="1272" spans="1:17" x14ac:dyDescent="0.3">
      <c r="A1272" t="s">
        <v>1582</v>
      </c>
      <c r="B1272" t="s">
        <v>1581</v>
      </c>
      <c r="C1272" s="1">
        <v>46151</v>
      </c>
      <c r="D1272" t="s">
        <v>16</v>
      </c>
      <c r="E1272" t="s">
        <v>17</v>
      </c>
      <c r="F1272" t="s">
        <v>47</v>
      </c>
      <c r="G1272" t="s">
        <v>355</v>
      </c>
      <c r="H1272" t="s">
        <v>356</v>
      </c>
      <c r="I1272" t="s">
        <v>82</v>
      </c>
      <c r="J1272">
        <v>499</v>
      </c>
      <c r="K1272">
        <v>2</v>
      </c>
      <c r="L1272">
        <v>547.4</v>
      </c>
      <c r="M1272">
        <v>164.22</v>
      </c>
      <c r="N1272">
        <v>1094.8</v>
      </c>
      <c r="O1272">
        <v>930.58</v>
      </c>
      <c r="P1272" t="s">
        <v>2111</v>
      </c>
      <c r="Q1272" t="s">
        <v>1479</v>
      </c>
    </row>
    <row r="1273" spans="1:17" x14ac:dyDescent="0.3">
      <c r="A1273" t="s">
        <v>1760</v>
      </c>
      <c r="B1273" t="s">
        <v>1759</v>
      </c>
      <c r="C1273" s="1">
        <v>46169</v>
      </c>
      <c r="D1273" t="s">
        <v>26</v>
      </c>
      <c r="E1273" t="s">
        <v>50</v>
      </c>
      <c r="F1273" t="s">
        <v>47</v>
      </c>
      <c r="G1273" t="s">
        <v>51</v>
      </c>
      <c r="H1273" t="s">
        <v>52</v>
      </c>
      <c r="I1273" t="s">
        <v>20</v>
      </c>
      <c r="J1273">
        <v>999</v>
      </c>
      <c r="K1273">
        <v>1</v>
      </c>
      <c r="L1273">
        <v>1061.75</v>
      </c>
      <c r="M1273">
        <v>106.18</v>
      </c>
      <c r="N1273">
        <v>1061.75</v>
      </c>
      <c r="O1273">
        <v>955.57</v>
      </c>
      <c r="P1273" t="s">
        <v>2111</v>
      </c>
      <c r="Q1273" t="s">
        <v>1479</v>
      </c>
    </row>
    <row r="1274" spans="1:17" x14ac:dyDescent="0.3">
      <c r="A1274" t="s">
        <v>2747</v>
      </c>
      <c r="B1274" t="s">
        <v>2163</v>
      </c>
      <c r="C1274" s="1">
        <v>46086</v>
      </c>
      <c r="D1274" t="s">
        <v>16</v>
      </c>
      <c r="E1274" t="s">
        <v>17</v>
      </c>
      <c r="F1274" t="s">
        <v>74</v>
      </c>
      <c r="G1274" t="s">
        <v>355</v>
      </c>
      <c r="H1274" t="s">
        <v>356</v>
      </c>
      <c r="I1274" t="s">
        <v>82</v>
      </c>
      <c r="J1274">
        <v>499</v>
      </c>
      <c r="K1274">
        <v>4</v>
      </c>
      <c r="L1274">
        <v>465.53</v>
      </c>
      <c r="M1274">
        <v>372.42</v>
      </c>
      <c r="N1274">
        <v>1862.12</v>
      </c>
      <c r="O1274">
        <v>1489.7</v>
      </c>
      <c r="P1274" t="s">
        <v>2111</v>
      </c>
      <c r="Q1274" t="s">
        <v>789</v>
      </c>
    </row>
    <row r="1275" spans="1:17" x14ac:dyDescent="0.3">
      <c r="A1275" t="s">
        <v>2345</v>
      </c>
      <c r="B1275" t="s">
        <v>1504</v>
      </c>
      <c r="C1275" s="1">
        <v>46039</v>
      </c>
      <c r="D1275" t="s">
        <v>26</v>
      </c>
      <c r="E1275" t="s">
        <v>17</v>
      </c>
      <c r="F1275" t="s">
        <v>74</v>
      </c>
      <c r="G1275" t="s">
        <v>191</v>
      </c>
      <c r="H1275" t="s">
        <v>192</v>
      </c>
      <c r="I1275" t="s">
        <v>45</v>
      </c>
      <c r="J1275">
        <v>699</v>
      </c>
      <c r="K1275">
        <v>2</v>
      </c>
      <c r="L1275">
        <v>629.88</v>
      </c>
      <c r="M1275">
        <v>125.98</v>
      </c>
      <c r="N1275">
        <v>1259.76</v>
      </c>
      <c r="O1275">
        <v>1133.78</v>
      </c>
      <c r="P1275" t="s">
        <v>2111</v>
      </c>
      <c r="Q1275" t="s">
        <v>23</v>
      </c>
    </row>
    <row r="1276" spans="1:17" x14ac:dyDescent="0.3">
      <c r="A1276" t="s">
        <v>1483</v>
      </c>
      <c r="B1276" t="s">
        <v>876</v>
      </c>
      <c r="C1276" s="1">
        <v>46143</v>
      </c>
      <c r="D1276" t="s">
        <v>16</v>
      </c>
      <c r="E1276" t="s">
        <v>50</v>
      </c>
      <c r="F1276" t="s">
        <v>47</v>
      </c>
      <c r="G1276" t="s">
        <v>149</v>
      </c>
      <c r="H1276" t="s">
        <v>150</v>
      </c>
      <c r="I1276" t="s">
        <v>37</v>
      </c>
      <c r="J1276">
        <v>2999</v>
      </c>
      <c r="K1276">
        <v>1</v>
      </c>
      <c r="L1276">
        <v>2724.76</v>
      </c>
      <c r="M1276">
        <v>272.48</v>
      </c>
      <c r="N1276">
        <v>2724.76</v>
      </c>
      <c r="O1276">
        <v>2452.2800000000002</v>
      </c>
      <c r="P1276" t="s">
        <v>2111</v>
      </c>
      <c r="Q1276" t="s">
        <v>1479</v>
      </c>
    </row>
    <row r="1277" spans="1:17" x14ac:dyDescent="0.3">
      <c r="A1277" t="s">
        <v>584</v>
      </c>
      <c r="B1277" t="s">
        <v>583</v>
      </c>
      <c r="C1277" s="1">
        <v>46062</v>
      </c>
      <c r="D1277" t="s">
        <v>16</v>
      </c>
      <c r="E1277" t="s">
        <v>17</v>
      </c>
      <c r="F1277" t="s">
        <v>47</v>
      </c>
      <c r="G1277" t="s">
        <v>191</v>
      </c>
      <c r="H1277" t="s">
        <v>192</v>
      </c>
      <c r="I1277" t="s">
        <v>45</v>
      </c>
      <c r="J1277">
        <v>699</v>
      </c>
      <c r="K1277">
        <v>4</v>
      </c>
      <c r="L1277">
        <v>663.22</v>
      </c>
      <c r="M1277">
        <v>0</v>
      </c>
      <c r="N1277">
        <v>2652.88</v>
      </c>
      <c r="O1277">
        <v>2652.88</v>
      </c>
      <c r="P1277" t="s">
        <v>2111</v>
      </c>
      <c r="Q1277" t="s">
        <v>498</v>
      </c>
    </row>
    <row r="1278" spans="1:17" x14ac:dyDescent="0.3">
      <c r="A1278" t="s">
        <v>297</v>
      </c>
      <c r="B1278" t="s">
        <v>296</v>
      </c>
      <c r="C1278" s="1">
        <v>46037</v>
      </c>
      <c r="D1278" t="s">
        <v>16</v>
      </c>
      <c r="E1278" t="s">
        <v>17</v>
      </c>
      <c r="F1278" t="s">
        <v>74</v>
      </c>
      <c r="G1278" t="s">
        <v>165</v>
      </c>
      <c r="H1278" t="s">
        <v>166</v>
      </c>
      <c r="I1278" t="s">
        <v>29</v>
      </c>
      <c r="J1278">
        <v>449</v>
      </c>
      <c r="K1278">
        <v>1</v>
      </c>
      <c r="L1278">
        <v>414.36</v>
      </c>
      <c r="M1278">
        <v>20.72</v>
      </c>
      <c r="N1278">
        <v>414.36</v>
      </c>
      <c r="O1278">
        <v>393.64</v>
      </c>
      <c r="P1278" t="s">
        <v>2114</v>
      </c>
      <c r="Q1278" t="s">
        <v>23</v>
      </c>
    </row>
    <row r="1279" spans="1:17" x14ac:dyDescent="0.3">
      <c r="A1279" t="s">
        <v>2748</v>
      </c>
      <c r="B1279" t="s">
        <v>2749</v>
      </c>
      <c r="C1279" s="1">
        <v>46164</v>
      </c>
      <c r="D1279" t="s">
        <v>16</v>
      </c>
      <c r="E1279" t="s">
        <v>50</v>
      </c>
      <c r="F1279" t="s">
        <v>31</v>
      </c>
      <c r="G1279" t="s">
        <v>112</v>
      </c>
      <c r="H1279" t="s">
        <v>113</v>
      </c>
      <c r="I1279" t="s">
        <v>37</v>
      </c>
      <c r="J1279">
        <v>1499</v>
      </c>
      <c r="K1279">
        <v>1</v>
      </c>
      <c r="L1279">
        <v>1508.99</v>
      </c>
      <c r="M1279">
        <v>0</v>
      </c>
      <c r="N1279">
        <v>1508.99</v>
      </c>
      <c r="O1279">
        <v>1508.99</v>
      </c>
      <c r="P1279" t="s">
        <v>2111</v>
      </c>
      <c r="Q1279" t="s">
        <v>1479</v>
      </c>
    </row>
    <row r="1280" spans="1:17" x14ac:dyDescent="0.3">
      <c r="A1280" t="s">
        <v>1710</v>
      </c>
      <c r="B1280" t="s">
        <v>1709</v>
      </c>
      <c r="C1280" s="1">
        <v>46163</v>
      </c>
      <c r="D1280" t="s">
        <v>16</v>
      </c>
      <c r="E1280" t="s">
        <v>17</v>
      </c>
      <c r="F1280" t="s">
        <v>60</v>
      </c>
      <c r="G1280" t="s">
        <v>35</v>
      </c>
      <c r="H1280" t="s">
        <v>36</v>
      </c>
      <c r="I1280" t="s">
        <v>37</v>
      </c>
      <c r="J1280">
        <v>799</v>
      </c>
      <c r="K1280">
        <v>1</v>
      </c>
      <c r="L1280">
        <v>856.21</v>
      </c>
      <c r="M1280">
        <v>128.43</v>
      </c>
      <c r="N1280">
        <v>856.21</v>
      </c>
      <c r="O1280">
        <v>727.78</v>
      </c>
      <c r="P1280" t="s">
        <v>2111</v>
      </c>
      <c r="Q1280" t="s">
        <v>1479</v>
      </c>
    </row>
    <row r="1281" spans="1:17" x14ac:dyDescent="0.3">
      <c r="A1281" t="s">
        <v>1729</v>
      </c>
      <c r="B1281" t="s">
        <v>1728</v>
      </c>
      <c r="C1281" s="1">
        <v>46165</v>
      </c>
      <c r="D1281" t="s">
        <v>41</v>
      </c>
      <c r="E1281" t="s">
        <v>17</v>
      </c>
      <c r="F1281" t="s">
        <v>47</v>
      </c>
      <c r="G1281" t="s">
        <v>355</v>
      </c>
      <c r="H1281" t="s">
        <v>356</v>
      </c>
      <c r="I1281" t="s">
        <v>82</v>
      </c>
      <c r="J1281">
        <v>499</v>
      </c>
      <c r="K1281">
        <v>1</v>
      </c>
      <c r="L1281">
        <v>522.63</v>
      </c>
      <c r="M1281">
        <v>26.13</v>
      </c>
      <c r="N1281">
        <v>522.63</v>
      </c>
      <c r="O1281">
        <v>496.5</v>
      </c>
      <c r="P1281" t="s">
        <v>2111</v>
      </c>
      <c r="Q1281" t="s">
        <v>1479</v>
      </c>
    </row>
    <row r="1282" spans="1:17" x14ac:dyDescent="0.3">
      <c r="A1282" t="s">
        <v>2750</v>
      </c>
      <c r="B1282" t="s">
        <v>2751</v>
      </c>
      <c r="C1282" s="1">
        <v>46118</v>
      </c>
      <c r="D1282" t="s">
        <v>63</v>
      </c>
      <c r="E1282" t="s">
        <v>50</v>
      </c>
      <c r="F1282" t="s">
        <v>22</v>
      </c>
      <c r="G1282" t="s">
        <v>96</v>
      </c>
      <c r="H1282" t="s">
        <v>97</v>
      </c>
      <c r="I1282" t="s">
        <v>58</v>
      </c>
      <c r="J1282">
        <v>7499</v>
      </c>
      <c r="K1282">
        <v>1</v>
      </c>
      <c r="L1282">
        <v>7072.47</v>
      </c>
      <c r="M1282">
        <v>353.62</v>
      </c>
      <c r="N1282">
        <v>7072.47</v>
      </c>
      <c r="O1282">
        <v>6718.85</v>
      </c>
      <c r="P1282" t="s">
        <v>2111</v>
      </c>
      <c r="Q1282" t="s">
        <v>1170</v>
      </c>
    </row>
    <row r="1283" spans="1:17" x14ac:dyDescent="0.3">
      <c r="A1283" t="s">
        <v>2752</v>
      </c>
      <c r="B1283" t="s">
        <v>2753</v>
      </c>
      <c r="C1283" s="1">
        <v>46180</v>
      </c>
      <c r="D1283" t="s">
        <v>26</v>
      </c>
      <c r="E1283" t="s">
        <v>17</v>
      </c>
      <c r="F1283" t="s">
        <v>60</v>
      </c>
      <c r="G1283" t="s">
        <v>27</v>
      </c>
      <c r="H1283" t="s">
        <v>28</v>
      </c>
      <c r="I1283" t="s">
        <v>29</v>
      </c>
      <c r="J1283">
        <v>1599</v>
      </c>
      <c r="K1283">
        <v>1</v>
      </c>
      <c r="L1283">
        <v>1566.8</v>
      </c>
      <c r="M1283">
        <v>235.02</v>
      </c>
      <c r="N1283">
        <v>1566.8</v>
      </c>
      <c r="O1283">
        <v>1331.78</v>
      </c>
      <c r="P1283" t="s">
        <v>2111</v>
      </c>
      <c r="Q1283" t="s">
        <v>1809</v>
      </c>
    </row>
    <row r="1284" spans="1:17" x14ac:dyDescent="0.3">
      <c r="A1284" t="s">
        <v>2754</v>
      </c>
      <c r="B1284" t="s">
        <v>2755</v>
      </c>
      <c r="C1284" s="1">
        <v>46124</v>
      </c>
      <c r="D1284" t="s">
        <v>63</v>
      </c>
      <c r="E1284" t="s">
        <v>17</v>
      </c>
      <c r="F1284" t="s">
        <v>74</v>
      </c>
      <c r="G1284" t="s">
        <v>96</v>
      </c>
      <c r="H1284" t="s">
        <v>97</v>
      </c>
      <c r="I1284" t="s">
        <v>58</v>
      </c>
      <c r="J1284">
        <v>7499</v>
      </c>
      <c r="K1284">
        <v>1</v>
      </c>
      <c r="L1284">
        <v>7510.84</v>
      </c>
      <c r="M1284">
        <v>375.54</v>
      </c>
      <c r="N1284">
        <v>7510.84</v>
      </c>
      <c r="O1284">
        <v>7135.3</v>
      </c>
      <c r="P1284" t="s">
        <v>2111</v>
      </c>
      <c r="Q1284" t="s">
        <v>1170</v>
      </c>
    </row>
    <row r="1285" spans="1:17" x14ac:dyDescent="0.3">
      <c r="A1285" t="s">
        <v>2251</v>
      </c>
      <c r="B1285" t="s">
        <v>1216</v>
      </c>
      <c r="C1285" s="1">
        <v>46084</v>
      </c>
      <c r="D1285" t="s">
        <v>26</v>
      </c>
      <c r="E1285" t="s">
        <v>17</v>
      </c>
      <c r="F1285" t="s">
        <v>60</v>
      </c>
      <c r="G1285" t="s">
        <v>35</v>
      </c>
      <c r="H1285" t="s">
        <v>36</v>
      </c>
      <c r="I1285" t="s">
        <v>37</v>
      </c>
      <c r="J1285">
        <v>799</v>
      </c>
      <c r="K1285">
        <v>2</v>
      </c>
      <c r="L1285">
        <v>848.57</v>
      </c>
      <c r="M1285">
        <v>84.86</v>
      </c>
      <c r="N1285">
        <v>1697.14</v>
      </c>
      <c r="O1285">
        <v>1612.28</v>
      </c>
      <c r="P1285" t="s">
        <v>2111</v>
      </c>
      <c r="Q1285" t="s">
        <v>789</v>
      </c>
    </row>
    <row r="1286" spans="1:17" x14ac:dyDescent="0.3">
      <c r="A1286" t="s">
        <v>2274</v>
      </c>
      <c r="B1286" t="s">
        <v>2275</v>
      </c>
      <c r="C1286" s="1">
        <v>46046</v>
      </c>
      <c r="D1286" t="s">
        <v>34</v>
      </c>
      <c r="E1286" t="s">
        <v>17</v>
      </c>
      <c r="F1286" t="s">
        <v>22</v>
      </c>
      <c r="G1286" t="s">
        <v>96</v>
      </c>
      <c r="H1286" t="s">
        <v>97</v>
      </c>
      <c r="I1286" t="s">
        <v>58</v>
      </c>
      <c r="J1286">
        <v>7499</v>
      </c>
      <c r="K1286">
        <v>1</v>
      </c>
      <c r="L1286">
        <v>8007.61</v>
      </c>
      <c r="M1286">
        <v>0</v>
      </c>
      <c r="N1286">
        <v>8007.61</v>
      </c>
      <c r="O1286">
        <v>8007.61</v>
      </c>
      <c r="P1286" t="s">
        <v>2114</v>
      </c>
      <c r="Q1286" t="s">
        <v>23</v>
      </c>
    </row>
    <row r="1287" spans="1:17" x14ac:dyDescent="0.3">
      <c r="A1287" t="s">
        <v>897</v>
      </c>
      <c r="B1287" t="s">
        <v>337</v>
      </c>
      <c r="C1287" s="1">
        <v>46089</v>
      </c>
      <c r="D1287" t="s">
        <v>41</v>
      </c>
      <c r="E1287" t="s">
        <v>50</v>
      </c>
      <c r="F1287" t="s">
        <v>31</v>
      </c>
      <c r="G1287" t="s">
        <v>43</v>
      </c>
      <c r="H1287" t="s">
        <v>44</v>
      </c>
      <c r="I1287" t="s">
        <v>45</v>
      </c>
      <c r="J1287">
        <v>3299</v>
      </c>
      <c r="K1287">
        <v>4</v>
      </c>
      <c r="L1287">
        <v>3569.33</v>
      </c>
      <c r="M1287">
        <v>2141.6</v>
      </c>
      <c r="N1287">
        <v>14277.32</v>
      </c>
      <c r="O1287">
        <v>12135.72</v>
      </c>
      <c r="P1287" t="s">
        <v>2111</v>
      </c>
      <c r="Q1287" t="s">
        <v>789</v>
      </c>
    </row>
    <row r="1288" spans="1:17" x14ac:dyDescent="0.3">
      <c r="A1288" t="s">
        <v>2756</v>
      </c>
      <c r="B1288" t="s">
        <v>2757</v>
      </c>
      <c r="C1288" s="1">
        <v>46188</v>
      </c>
      <c r="D1288" t="s">
        <v>63</v>
      </c>
      <c r="E1288" t="s">
        <v>50</v>
      </c>
      <c r="F1288" t="s">
        <v>22</v>
      </c>
      <c r="G1288" t="s">
        <v>355</v>
      </c>
      <c r="H1288" t="s">
        <v>356</v>
      </c>
      <c r="I1288" t="s">
        <v>82</v>
      </c>
      <c r="J1288">
        <v>499</v>
      </c>
      <c r="K1288">
        <v>1</v>
      </c>
      <c r="L1288">
        <v>499.92</v>
      </c>
      <c r="M1288">
        <v>0</v>
      </c>
      <c r="N1288">
        <v>499.92</v>
      </c>
      <c r="O1288">
        <v>499.92</v>
      </c>
      <c r="P1288" t="s">
        <v>2111</v>
      </c>
      <c r="Q1288" t="s">
        <v>1809</v>
      </c>
    </row>
    <row r="1289" spans="1:17" x14ac:dyDescent="0.3">
      <c r="A1289" t="s">
        <v>2758</v>
      </c>
      <c r="B1289" t="s">
        <v>2759</v>
      </c>
      <c r="C1289" s="1">
        <v>46190</v>
      </c>
      <c r="D1289" t="s">
        <v>63</v>
      </c>
      <c r="E1289" t="s">
        <v>17</v>
      </c>
      <c r="F1289" t="s">
        <v>60</v>
      </c>
      <c r="G1289" t="s">
        <v>149</v>
      </c>
      <c r="H1289" t="s">
        <v>150</v>
      </c>
      <c r="I1289" t="s">
        <v>37</v>
      </c>
      <c r="J1289">
        <v>2999</v>
      </c>
      <c r="K1289">
        <v>1</v>
      </c>
      <c r="L1289">
        <v>3115.53</v>
      </c>
      <c r="M1289">
        <v>311.55</v>
      </c>
      <c r="N1289">
        <v>3115.53</v>
      </c>
      <c r="O1289">
        <v>2803.98</v>
      </c>
      <c r="P1289" t="s">
        <v>2111</v>
      </c>
      <c r="Q1289" t="s">
        <v>1809</v>
      </c>
    </row>
    <row r="1290" spans="1:17" x14ac:dyDescent="0.3">
      <c r="A1290" t="s">
        <v>1026</v>
      </c>
      <c r="B1290" t="s">
        <v>1025</v>
      </c>
      <c r="C1290" s="1">
        <v>46098</v>
      </c>
      <c r="D1290" t="s">
        <v>34</v>
      </c>
      <c r="E1290" t="s">
        <v>17</v>
      </c>
      <c r="F1290" t="s">
        <v>22</v>
      </c>
      <c r="G1290" t="s">
        <v>191</v>
      </c>
      <c r="H1290" t="s">
        <v>192</v>
      </c>
      <c r="I1290" t="s">
        <v>45</v>
      </c>
      <c r="J1290">
        <v>699</v>
      </c>
      <c r="K1290">
        <v>1</v>
      </c>
      <c r="L1290">
        <v>644.73</v>
      </c>
      <c r="M1290">
        <v>64.47</v>
      </c>
      <c r="N1290">
        <v>644.73</v>
      </c>
      <c r="O1290">
        <v>580.26</v>
      </c>
      <c r="P1290" t="s">
        <v>2111</v>
      </c>
      <c r="Q1290" t="s">
        <v>789</v>
      </c>
    </row>
    <row r="1291" spans="1:17" x14ac:dyDescent="0.3">
      <c r="A1291" t="s">
        <v>2624</v>
      </c>
      <c r="B1291" t="s">
        <v>2625</v>
      </c>
      <c r="C1291" s="1">
        <v>46164</v>
      </c>
      <c r="D1291" t="s">
        <v>34</v>
      </c>
      <c r="E1291" t="s">
        <v>50</v>
      </c>
      <c r="F1291" t="s">
        <v>31</v>
      </c>
      <c r="G1291" t="s">
        <v>250</v>
      </c>
      <c r="H1291" t="s">
        <v>251</v>
      </c>
      <c r="I1291" t="s">
        <v>108</v>
      </c>
      <c r="J1291">
        <v>899</v>
      </c>
      <c r="K1291">
        <v>1</v>
      </c>
      <c r="L1291">
        <v>910.74</v>
      </c>
      <c r="M1291">
        <v>136.61000000000001</v>
      </c>
      <c r="N1291">
        <v>910.74</v>
      </c>
      <c r="O1291">
        <v>774.13</v>
      </c>
      <c r="P1291" t="s">
        <v>2111</v>
      </c>
      <c r="Q1291" t="s">
        <v>1479</v>
      </c>
    </row>
    <row r="1292" spans="1:17" x14ac:dyDescent="0.3">
      <c r="A1292" t="s">
        <v>323</v>
      </c>
      <c r="B1292" t="s">
        <v>322</v>
      </c>
      <c r="C1292" s="1">
        <v>46039</v>
      </c>
      <c r="D1292" t="s">
        <v>16</v>
      </c>
      <c r="E1292" t="s">
        <v>17</v>
      </c>
      <c r="F1292" t="s">
        <v>31</v>
      </c>
      <c r="G1292" t="s">
        <v>43</v>
      </c>
      <c r="H1292" t="s">
        <v>44</v>
      </c>
      <c r="I1292" t="s">
        <v>45</v>
      </c>
      <c r="J1292">
        <v>3299</v>
      </c>
      <c r="K1292">
        <v>1</v>
      </c>
      <c r="L1292">
        <v>3133.19</v>
      </c>
      <c r="M1292">
        <v>469.98</v>
      </c>
      <c r="N1292">
        <v>3133.19</v>
      </c>
      <c r="O1292">
        <v>2663.21</v>
      </c>
      <c r="P1292" t="s">
        <v>2111</v>
      </c>
      <c r="Q1292" t="s">
        <v>23</v>
      </c>
    </row>
    <row r="1293" spans="1:17" x14ac:dyDescent="0.3">
      <c r="A1293" t="s">
        <v>2006</v>
      </c>
      <c r="B1293" t="s">
        <v>2005</v>
      </c>
      <c r="C1293" s="1">
        <v>46195</v>
      </c>
      <c r="D1293" t="s">
        <v>16</v>
      </c>
      <c r="E1293" t="s">
        <v>50</v>
      </c>
      <c r="F1293" t="s">
        <v>74</v>
      </c>
      <c r="G1293" t="s">
        <v>165</v>
      </c>
      <c r="H1293" t="s">
        <v>166</v>
      </c>
      <c r="I1293" t="s">
        <v>29</v>
      </c>
      <c r="J1293">
        <v>449</v>
      </c>
      <c r="K1293">
        <v>2</v>
      </c>
      <c r="L1293">
        <v>442.87</v>
      </c>
      <c r="M1293">
        <v>132.86000000000001</v>
      </c>
      <c r="N1293">
        <v>885.74</v>
      </c>
      <c r="O1293">
        <v>752.88</v>
      </c>
      <c r="P1293" t="s">
        <v>2111</v>
      </c>
      <c r="Q1293" t="s">
        <v>1809</v>
      </c>
    </row>
    <row r="1294" spans="1:17" x14ac:dyDescent="0.3">
      <c r="A1294" t="s">
        <v>859</v>
      </c>
      <c r="B1294" t="s">
        <v>858</v>
      </c>
      <c r="C1294" s="1">
        <v>46086</v>
      </c>
      <c r="D1294" t="s">
        <v>34</v>
      </c>
      <c r="E1294" t="s">
        <v>17</v>
      </c>
      <c r="F1294" t="s">
        <v>22</v>
      </c>
      <c r="G1294" t="s">
        <v>106</v>
      </c>
      <c r="H1294" t="s">
        <v>107</v>
      </c>
      <c r="I1294" t="s">
        <v>108</v>
      </c>
      <c r="J1294">
        <v>599</v>
      </c>
      <c r="K1294">
        <v>3</v>
      </c>
      <c r="L1294">
        <v>615.05999999999995</v>
      </c>
      <c r="M1294">
        <v>0</v>
      </c>
      <c r="N1294">
        <v>1845.18</v>
      </c>
      <c r="O1294">
        <v>1845.18</v>
      </c>
      <c r="P1294" t="s">
        <v>2111</v>
      </c>
      <c r="Q1294" t="s">
        <v>789</v>
      </c>
    </row>
    <row r="1295" spans="1:17" x14ac:dyDescent="0.3">
      <c r="A1295" t="s">
        <v>2035</v>
      </c>
      <c r="B1295" t="s">
        <v>2034</v>
      </c>
      <c r="C1295" s="1">
        <v>46198</v>
      </c>
      <c r="D1295" t="s">
        <v>16</v>
      </c>
      <c r="E1295" t="s">
        <v>17</v>
      </c>
      <c r="F1295" t="s">
        <v>31</v>
      </c>
      <c r="G1295" t="s">
        <v>106</v>
      </c>
      <c r="H1295" t="s">
        <v>107</v>
      </c>
      <c r="I1295" t="s">
        <v>108</v>
      </c>
      <c r="J1295">
        <v>599</v>
      </c>
      <c r="K1295">
        <v>4</v>
      </c>
      <c r="L1295">
        <v>569.89</v>
      </c>
      <c r="M1295">
        <v>113.98</v>
      </c>
      <c r="N1295">
        <v>2279.56</v>
      </c>
      <c r="O1295">
        <v>2165.58</v>
      </c>
      <c r="P1295" t="s">
        <v>2114</v>
      </c>
      <c r="Q1295" t="s">
        <v>1809</v>
      </c>
    </row>
    <row r="1296" spans="1:17" x14ac:dyDescent="0.3">
      <c r="A1296" t="s">
        <v>703</v>
      </c>
      <c r="B1296" t="s">
        <v>187</v>
      </c>
      <c r="C1296" s="1">
        <v>46074</v>
      </c>
      <c r="D1296" t="s">
        <v>16</v>
      </c>
      <c r="E1296" t="s">
        <v>17</v>
      </c>
      <c r="F1296" t="s">
        <v>60</v>
      </c>
      <c r="G1296" t="s">
        <v>18</v>
      </c>
      <c r="H1296" t="s">
        <v>19</v>
      </c>
      <c r="I1296" t="s">
        <v>20</v>
      </c>
      <c r="J1296">
        <v>2799</v>
      </c>
      <c r="K1296">
        <v>1</v>
      </c>
      <c r="L1296">
        <v>2548.31</v>
      </c>
      <c r="M1296">
        <v>127.42</v>
      </c>
      <c r="N1296">
        <v>2548.31</v>
      </c>
      <c r="O1296">
        <v>2420.89</v>
      </c>
      <c r="P1296" t="s">
        <v>2111</v>
      </c>
      <c r="Q1296" t="s">
        <v>498</v>
      </c>
    </row>
    <row r="1297" spans="1:17" x14ac:dyDescent="0.3">
      <c r="A1297" t="s">
        <v>483</v>
      </c>
      <c r="B1297" t="s">
        <v>482</v>
      </c>
      <c r="C1297" s="1">
        <v>46053</v>
      </c>
      <c r="D1297" t="s">
        <v>63</v>
      </c>
      <c r="E1297" t="s">
        <v>17</v>
      </c>
      <c r="F1297" t="s">
        <v>31</v>
      </c>
      <c r="G1297" t="s">
        <v>106</v>
      </c>
      <c r="H1297" t="s">
        <v>107</v>
      </c>
      <c r="I1297" t="s">
        <v>108</v>
      </c>
      <c r="J1297">
        <v>599</v>
      </c>
      <c r="K1297">
        <v>3</v>
      </c>
      <c r="L1297">
        <v>540.33000000000004</v>
      </c>
      <c r="M1297">
        <v>0</v>
      </c>
      <c r="N1297">
        <v>1620.99</v>
      </c>
      <c r="O1297">
        <v>1620.99</v>
      </c>
      <c r="P1297" t="s">
        <v>2111</v>
      </c>
      <c r="Q1297" t="s">
        <v>23</v>
      </c>
    </row>
    <row r="1298" spans="1:17" x14ac:dyDescent="0.3">
      <c r="A1298" t="s">
        <v>2378</v>
      </c>
      <c r="B1298" t="s">
        <v>365</v>
      </c>
      <c r="C1298" s="1">
        <v>46082</v>
      </c>
      <c r="D1298" t="s">
        <v>26</v>
      </c>
      <c r="E1298" t="s">
        <v>17</v>
      </c>
      <c r="F1298" t="s">
        <v>74</v>
      </c>
      <c r="G1298" t="s">
        <v>149</v>
      </c>
      <c r="H1298" t="s">
        <v>150</v>
      </c>
      <c r="I1298" t="s">
        <v>37</v>
      </c>
      <c r="J1298">
        <v>2999</v>
      </c>
      <c r="K1298">
        <v>1</v>
      </c>
      <c r="L1298">
        <v>2712.39</v>
      </c>
      <c r="M1298">
        <v>135.62</v>
      </c>
      <c r="N1298">
        <v>2712.39</v>
      </c>
      <c r="O1298">
        <v>2576.77</v>
      </c>
      <c r="P1298" t="s">
        <v>2111</v>
      </c>
      <c r="Q1298" t="s">
        <v>789</v>
      </c>
    </row>
    <row r="1299" spans="1:17" x14ac:dyDescent="0.3">
      <c r="A1299" t="s">
        <v>2635</v>
      </c>
      <c r="B1299" t="s">
        <v>2636</v>
      </c>
      <c r="C1299" s="1">
        <v>46144</v>
      </c>
      <c r="D1299" t="s">
        <v>34</v>
      </c>
      <c r="E1299" t="s">
        <v>50</v>
      </c>
      <c r="F1299" t="s">
        <v>47</v>
      </c>
      <c r="G1299" t="s">
        <v>101</v>
      </c>
      <c r="H1299" t="s">
        <v>102</v>
      </c>
      <c r="I1299" t="s">
        <v>45</v>
      </c>
      <c r="J1299">
        <v>4999</v>
      </c>
      <c r="K1299">
        <v>1</v>
      </c>
      <c r="L1299">
        <v>4507.45</v>
      </c>
      <c r="M1299">
        <v>225.37</v>
      </c>
      <c r="N1299">
        <v>4507.45</v>
      </c>
      <c r="O1299">
        <v>4282.08</v>
      </c>
      <c r="P1299" t="s">
        <v>2111</v>
      </c>
      <c r="Q1299" t="s">
        <v>1479</v>
      </c>
    </row>
    <row r="1300" spans="1:17" x14ac:dyDescent="0.3">
      <c r="A1300" t="s">
        <v>2345</v>
      </c>
      <c r="B1300" t="s">
        <v>1504</v>
      </c>
      <c r="C1300" s="1">
        <v>46039</v>
      </c>
      <c r="D1300" t="s">
        <v>26</v>
      </c>
      <c r="E1300" t="s">
        <v>17</v>
      </c>
      <c r="F1300" t="s">
        <v>74</v>
      </c>
      <c r="G1300" t="s">
        <v>35</v>
      </c>
      <c r="H1300" t="s">
        <v>36</v>
      </c>
      <c r="I1300" t="s">
        <v>37</v>
      </c>
      <c r="J1300">
        <v>799</v>
      </c>
      <c r="K1300">
        <v>3</v>
      </c>
      <c r="L1300">
        <v>736.73</v>
      </c>
      <c r="M1300">
        <v>221.02</v>
      </c>
      <c r="N1300">
        <v>2210.19</v>
      </c>
      <c r="O1300">
        <v>1989.17</v>
      </c>
      <c r="P1300" t="s">
        <v>2111</v>
      </c>
      <c r="Q1300" t="s">
        <v>23</v>
      </c>
    </row>
    <row r="1301" spans="1:17" x14ac:dyDescent="0.3">
      <c r="A1301" t="s">
        <v>1838</v>
      </c>
      <c r="B1301" t="s">
        <v>1604</v>
      </c>
      <c r="C1301" s="1">
        <v>46176</v>
      </c>
      <c r="D1301" t="s">
        <v>16</v>
      </c>
      <c r="E1301" t="s">
        <v>42</v>
      </c>
      <c r="F1301" t="s">
        <v>60</v>
      </c>
      <c r="G1301" t="s">
        <v>27</v>
      </c>
      <c r="H1301" t="s">
        <v>28</v>
      </c>
      <c r="I1301" t="s">
        <v>29</v>
      </c>
      <c r="J1301">
        <v>1599</v>
      </c>
      <c r="K1301">
        <v>2</v>
      </c>
      <c r="L1301">
        <v>1515.69</v>
      </c>
      <c r="M1301">
        <v>454.71</v>
      </c>
      <c r="N1301">
        <v>3031.38</v>
      </c>
      <c r="O1301">
        <v>2576.67</v>
      </c>
      <c r="P1301" t="s">
        <v>2111</v>
      </c>
      <c r="Q1301" t="s">
        <v>1809</v>
      </c>
    </row>
    <row r="1302" spans="1:17" x14ac:dyDescent="0.3">
      <c r="A1302" t="s">
        <v>471</v>
      </c>
      <c r="B1302" t="s">
        <v>470</v>
      </c>
      <c r="C1302" s="1">
        <v>46052</v>
      </c>
      <c r="D1302" t="s">
        <v>41</v>
      </c>
      <c r="E1302" t="s">
        <v>17</v>
      </c>
      <c r="F1302" t="s">
        <v>60</v>
      </c>
      <c r="G1302" t="s">
        <v>160</v>
      </c>
      <c r="H1302" t="s">
        <v>161</v>
      </c>
      <c r="I1302" t="s">
        <v>82</v>
      </c>
      <c r="J1302">
        <v>799</v>
      </c>
      <c r="K1302">
        <v>1</v>
      </c>
      <c r="L1302">
        <v>754.45</v>
      </c>
      <c r="M1302">
        <v>75.45</v>
      </c>
      <c r="N1302">
        <v>754.45</v>
      </c>
      <c r="O1302">
        <v>679</v>
      </c>
      <c r="P1302" t="s">
        <v>2111</v>
      </c>
      <c r="Q1302" t="s">
        <v>23</v>
      </c>
    </row>
    <row r="1303" spans="1:17" x14ac:dyDescent="0.3">
      <c r="A1303" t="s">
        <v>2204</v>
      </c>
      <c r="B1303" t="s">
        <v>957</v>
      </c>
      <c r="C1303" s="1">
        <v>46077</v>
      </c>
      <c r="D1303" t="s">
        <v>41</v>
      </c>
      <c r="E1303" t="s">
        <v>17</v>
      </c>
      <c r="F1303" t="s">
        <v>22</v>
      </c>
      <c r="G1303" t="s">
        <v>43</v>
      </c>
      <c r="H1303" t="s">
        <v>44</v>
      </c>
      <c r="I1303" t="s">
        <v>45</v>
      </c>
      <c r="J1303">
        <v>3299</v>
      </c>
      <c r="K1303">
        <v>1</v>
      </c>
      <c r="L1303">
        <v>3620.19</v>
      </c>
      <c r="M1303">
        <v>543.03</v>
      </c>
      <c r="N1303">
        <v>3620.19</v>
      </c>
      <c r="O1303">
        <v>3077.16</v>
      </c>
      <c r="P1303" t="s">
        <v>2111</v>
      </c>
      <c r="Q1303" t="s">
        <v>498</v>
      </c>
    </row>
    <row r="1304" spans="1:17" x14ac:dyDescent="0.3">
      <c r="A1304" t="s">
        <v>1485</v>
      </c>
      <c r="B1304" t="s">
        <v>225</v>
      </c>
      <c r="C1304" s="1">
        <v>46143</v>
      </c>
      <c r="D1304" t="s">
        <v>63</v>
      </c>
      <c r="E1304" t="s">
        <v>17</v>
      </c>
      <c r="F1304" t="s">
        <v>74</v>
      </c>
      <c r="G1304" t="s">
        <v>18</v>
      </c>
      <c r="H1304" t="s">
        <v>19</v>
      </c>
      <c r="I1304" t="s">
        <v>20</v>
      </c>
      <c r="J1304">
        <v>2799</v>
      </c>
      <c r="K1304">
        <v>1</v>
      </c>
      <c r="L1304">
        <v>2690.4</v>
      </c>
      <c r="M1304">
        <v>134.52000000000001</v>
      </c>
      <c r="N1304">
        <v>2690.4</v>
      </c>
      <c r="O1304">
        <v>2555.88</v>
      </c>
      <c r="P1304" t="s">
        <v>2111</v>
      </c>
      <c r="Q1304" t="s">
        <v>1479</v>
      </c>
    </row>
    <row r="1305" spans="1:17" x14ac:dyDescent="0.3">
      <c r="A1305" t="s">
        <v>2040</v>
      </c>
      <c r="B1305" t="s">
        <v>1096</v>
      </c>
      <c r="C1305" s="1">
        <v>46198</v>
      </c>
      <c r="D1305" t="s">
        <v>16</v>
      </c>
      <c r="E1305" t="s">
        <v>17</v>
      </c>
      <c r="F1305" t="s">
        <v>31</v>
      </c>
      <c r="G1305" t="s">
        <v>56</v>
      </c>
      <c r="H1305" t="s">
        <v>57</v>
      </c>
      <c r="I1305" t="s">
        <v>58</v>
      </c>
      <c r="J1305">
        <v>8999</v>
      </c>
      <c r="K1305">
        <v>2</v>
      </c>
      <c r="L1305">
        <v>8328.43</v>
      </c>
      <c r="M1305">
        <v>832.84</v>
      </c>
      <c r="N1305">
        <v>16656.86</v>
      </c>
      <c r="O1305">
        <v>15824.02</v>
      </c>
      <c r="P1305" t="s">
        <v>2111</v>
      </c>
      <c r="Q1305" t="s">
        <v>1809</v>
      </c>
    </row>
    <row r="1306" spans="1:17" x14ac:dyDescent="0.3">
      <c r="A1306" t="s">
        <v>837</v>
      </c>
      <c r="B1306" t="s">
        <v>836</v>
      </c>
      <c r="C1306" s="1">
        <v>46084</v>
      </c>
      <c r="D1306" t="s">
        <v>16</v>
      </c>
      <c r="E1306" t="s">
        <v>17</v>
      </c>
      <c r="F1306" t="s">
        <v>74</v>
      </c>
      <c r="G1306" t="s">
        <v>18</v>
      </c>
      <c r="H1306" t="s">
        <v>19</v>
      </c>
      <c r="I1306" t="s">
        <v>20</v>
      </c>
      <c r="J1306">
        <v>2799</v>
      </c>
      <c r="K1306">
        <v>1</v>
      </c>
      <c r="L1306">
        <v>2824.51</v>
      </c>
      <c r="M1306">
        <v>282.45</v>
      </c>
      <c r="N1306">
        <v>2824.51</v>
      </c>
      <c r="O1306">
        <v>2542.06</v>
      </c>
      <c r="P1306" t="s">
        <v>2111</v>
      </c>
      <c r="Q1306" t="s">
        <v>789</v>
      </c>
    </row>
    <row r="1307" spans="1:17" x14ac:dyDescent="0.3">
      <c r="A1307" t="s">
        <v>622</v>
      </c>
      <c r="B1307" t="s">
        <v>621</v>
      </c>
      <c r="C1307" s="1">
        <v>46065</v>
      </c>
      <c r="D1307" t="s">
        <v>63</v>
      </c>
      <c r="E1307" t="s">
        <v>50</v>
      </c>
      <c r="F1307" t="s">
        <v>22</v>
      </c>
      <c r="G1307" t="s">
        <v>112</v>
      </c>
      <c r="H1307" t="s">
        <v>113</v>
      </c>
      <c r="I1307" t="s">
        <v>37</v>
      </c>
      <c r="J1307">
        <v>1499</v>
      </c>
      <c r="K1307">
        <v>4</v>
      </c>
      <c r="L1307">
        <v>1606.32</v>
      </c>
      <c r="M1307">
        <v>0</v>
      </c>
      <c r="N1307">
        <v>6425.28</v>
      </c>
      <c r="O1307">
        <v>6425.28</v>
      </c>
      <c r="P1307" t="s">
        <v>2111</v>
      </c>
      <c r="Q1307" t="s">
        <v>498</v>
      </c>
    </row>
    <row r="1308" spans="1:17" x14ac:dyDescent="0.3">
      <c r="A1308" t="s">
        <v>1889</v>
      </c>
      <c r="B1308" t="s">
        <v>932</v>
      </c>
      <c r="C1308" s="1">
        <v>46180</v>
      </c>
      <c r="D1308" t="s">
        <v>16</v>
      </c>
      <c r="E1308" t="s">
        <v>17</v>
      </c>
      <c r="F1308" t="s">
        <v>74</v>
      </c>
      <c r="G1308" t="s">
        <v>56</v>
      </c>
      <c r="H1308" t="s">
        <v>57</v>
      </c>
      <c r="I1308" t="s">
        <v>58</v>
      </c>
      <c r="J1308">
        <v>8999</v>
      </c>
      <c r="K1308">
        <v>1</v>
      </c>
      <c r="L1308">
        <v>9319.4699999999993</v>
      </c>
      <c r="M1308">
        <v>0</v>
      </c>
      <c r="N1308">
        <v>9319.4699999999993</v>
      </c>
      <c r="O1308">
        <v>9319.4699999999993</v>
      </c>
      <c r="P1308" t="s">
        <v>2111</v>
      </c>
      <c r="Q1308" t="s">
        <v>1809</v>
      </c>
    </row>
    <row r="1309" spans="1:17" x14ac:dyDescent="0.3">
      <c r="A1309" t="s">
        <v>2473</v>
      </c>
      <c r="B1309" t="s">
        <v>2474</v>
      </c>
      <c r="C1309" s="1">
        <v>46159</v>
      </c>
      <c r="D1309" t="s">
        <v>26</v>
      </c>
      <c r="E1309" t="s">
        <v>17</v>
      </c>
      <c r="F1309" t="s">
        <v>22</v>
      </c>
      <c r="G1309" t="s">
        <v>165</v>
      </c>
      <c r="H1309" t="s">
        <v>166</v>
      </c>
      <c r="I1309" t="s">
        <v>29</v>
      </c>
      <c r="J1309">
        <v>449</v>
      </c>
      <c r="K1309">
        <v>1</v>
      </c>
      <c r="L1309">
        <v>430.69</v>
      </c>
      <c r="M1309">
        <v>43.07</v>
      </c>
      <c r="N1309">
        <v>430.69</v>
      </c>
      <c r="O1309">
        <v>387.62</v>
      </c>
      <c r="P1309" t="s">
        <v>2111</v>
      </c>
      <c r="Q1309" t="s">
        <v>1479</v>
      </c>
    </row>
    <row r="1310" spans="1:17" x14ac:dyDescent="0.3">
      <c r="A1310" t="s">
        <v>2716</v>
      </c>
      <c r="B1310" t="s">
        <v>2717</v>
      </c>
      <c r="C1310" s="1">
        <v>46064</v>
      </c>
      <c r="D1310" t="s">
        <v>16</v>
      </c>
      <c r="E1310" t="s">
        <v>17</v>
      </c>
      <c r="F1310" t="s">
        <v>31</v>
      </c>
      <c r="G1310" t="s">
        <v>18</v>
      </c>
      <c r="H1310" t="s">
        <v>19</v>
      </c>
      <c r="I1310" t="s">
        <v>20</v>
      </c>
      <c r="J1310">
        <v>2799</v>
      </c>
      <c r="K1310">
        <v>1</v>
      </c>
      <c r="L1310">
        <v>2833.49</v>
      </c>
      <c r="M1310">
        <v>566.70000000000005</v>
      </c>
      <c r="N1310">
        <v>2833.49</v>
      </c>
      <c r="O1310">
        <v>2266.79</v>
      </c>
      <c r="P1310" t="s">
        <v>2111</v>
      </c>
      <c r="Q1310" t="s">
        <v>498</v>
      </c>
    </row>
    <row r="1311" spans="1:17" x14ac:dyDescent="0.3">
      <c r="A1311" t="s">
        <v>2327</v>
      </c>
      <c r="B1311" t="s">
        <v>2328</v>
      </c>
      <c r="C1311" s="1">
        <v>46024</v>
      </c>
      <c r="D1311" t="s">
        <v>16</v>
      </c>
      <c r="E1311" t="s">
        <v>50</v>
      </c>
      <c r="F1311" t="s">
        <v>22</v>
      </c>
      <c r="G1311" t="s">
        <v>86</v>
      </c>
      <c r="H1311" t="s">
        <v>87</v>
      </c>
      <c r="I1311" t="s">
        <v>82</v>
      </c>
      <c r="J1311">
        <v>3499</v>
      </c>
      <c r="K1311">
        <v>1</v>
      </c>
      <c r="L1311">
        <v>3649.36</v>
      </c>
      <c r="M1311">
        <v>547.4</v>
      </c>
      <c r="N1311">
        <v>3649.36</v>
      </c>
      <c r="O1311">
        <v>3101.96</v>
      </c>
      <c r="P1311" t="s">
        <v>2111</v>
      </c>
      <c r="Q1311" t="s">
        <v>23</v>
      </c>
    </row>
    <row r="1312" spans="1:17" x14ac:dyDescent="0.3">
      <c r="A1312" t="s">
        <v>1274</v>
      </c>
      <c r="B1312" t="s">
        <v>1273</v>
      </c>
      <c r="C1312" s="1">
        <v>46124</v>
      </c>
      <c r="D1312" t="s">
        <v>16</v>
      </c>
      <c r="E1312" t="s">
        <v>50</v>
      </c>
      <c r="F1312" t="s">
        <v>47</v>
      </c>
      <c r="G1312" t="s">
        <v>35</v>
      </c>
      <c r="H1312" t="s">
        <v>36</v>
      </c>
      <c r="I1312" t="s">
        <v>37</v>
      </c>
      <c r="J1312">
        <v>799</v>
      </c>
      <c r="K1312">
        <v>1</v>
      </c>
      <c r="L1312">
        <v>835.45</v>
      </c>
      <c r="M1312">
        <v>0</v>
      </c>
      <c r="N1312">
        <v>835.45</v>
      </c>
      <c r="O1312">
        <v>835.45</v>
      </c>
      <c r="P1312" t="s">
        <v>2111</v>
      </c>
      <c r="Q1312" t="s">
        <v>1170</v>
      </c>
    </row>
    <row r="1313" spans="1:17" x14ac:dyDescent="0.3">
      <c r="A1313" t="s">
        <v>2246</v>
      </c>
      <c r="B1313" t="s">
        <v>272</v>
      </c>
      <c r="C1313" s="1">
        <v>46026</v>
      </c>
      <c r="D1313" t="s">
        <v>26</v>
      </c>
      <c r="E1313" t="s">
        <v>50</v>
      </c>
      <c r="F1313" t="s">
        <v>31</v>
      </c>
      <c r="G1313" t="s">
        <v>43</v>
      </c>
      <c r="H1313" t="s">
        <v>44</v>
      </c>
      <c r="I1313" t="s">
        <v>45</v>
      </c>
      <c r="J1313">
        <v>3299</v>
      </c>
      <c r="K1313">
        <v>2</v>
      </c>
      <c r="L1313">
        <v>3408.88</v>
      </c>
      <c r="M1313">
        <v>1363.55</v>
      </c>
      <c r="N1313">
        <v>6817.76</v>
      </c>
      <c r="O1313">
        <v>5454.21</v>
      </c>
      <c r="P1313" t="s">
        <v>2111</v>
      </c>
      <c r="Q1313" t="s">
        <v>23</v>
      </c>
    </row>
    <row r="1314" spans="1:17" x14ac:dyDescent="0.3">
      <c r="A1314" t="s">
        <v>1511</v>
      </c>
      <c r="B1314" t="s">
        <v>1510</v>
      </c>
      <c r="C1314" s="1">
        <v>46145</v>
      </c>
      <c r="D1314" t="s">
        <v>63</v>
      </c>
      <c r="E1314" t="s">
        <v>17</v>
      </c>
      <c r="F1314" t="s">
        <v>74</v>
      </c>
      <c r="G1314" t="s">
        <v>149</v>
      </c>
      <c r="H1314" t="s">
        <v>150</v>
      </c>
      <c r="I1314" t="s">
        <v>37</v>
      </c>
      <c r="J1314">
        <v>2999</v>
      </c>
      <c r="K1314">
        <v>3</v>
      </c>
      <c r="L1314">
        <v>3221.41</v>
      </c>
      <c r="M1314">
        <v>1449.63</v>
      </c>
      <c r="N1314">
        <v>9664.23</v>
      </c>
      <c r="O1314">
        <v>8214.6</v>
      </c>
      <c r="P1314" t="s">
        <v>2111</v>
      </c>
      <c r="Q1314" t="s">
        <v>1479</v>
      </c>
    </row>
    <row r="1315" spans="1:17" x14ac:dyDescent="0.3">
      <c r="A1315" t="s">
        <v>143</v>
      </c>
      <c r="B1315" t="s">
        <v>142</v>
      </c>
      <c r="C1315" s="1">
        <v>46028</v>
      </c>
      <c r="D1315" t="s">
        <v>34</v>
      </c>
      <c r="E1315" t="s">
        <v>50</v>
      </c>
      <c r="F1315" t="s">
        <v>60</v>
      </c>
      <c r="G1315" t="s">
        <v>106</v>
      </c>
      <c r="H1315" t="s">
        <v>107</v>
      </c>
      <c r="I1315" t="s">
        <v>108</v>
      </c>
      <c r="J1315">
        <v>599</v>
      </c>
      <c r="K1315">
        <v>3</v>
      </c>
      <c r="L1315">
        <v>643.34</v>
      </c>
      <c r="M1315">
        <v>193</v>
      </c>
      <c r="N1315">
        <v>1930.02</v>
      </c>
      <c r="O1315">
        <v>1737.02</v>
      </c>
      <c r="P1315" t="s">
        <v>2111</v>
      </c>
      <c r="Q1315" t="s">
        <v>23</v>
      </c>
    </row>
    <row r="1316" spans="1:17" x14ac:dyDescent="0.3">
      <c r="A1316" t="s">
        <v>2035</v>
      </c>
      <c r="B1316" t="s">
        <v>2034</v>
      </c>
      <c r="C1316" s="1">
        <v>46198</v>
      </c>
      <c r="D1316" t="s">
        <v>16</v>
      </c>
      <c r="E1316" t="s">
        <v>17</v>
      </c>
      <c r="F1316" t="s">
        <v>31</v>
      </c>
      <c r="G1316" t="s">
        <v>112</v>
      </c>
      <c r="H1316" t="s">
        <v>113</v>
      </c>
      <c r="I1316" t="s">
        <v>37</v>
      </c>
      <c r="J1316">
        <v>1499</v>
      </c>
      <c r="K1316">
        <v>2</v>
      </c>
      <c r="L1316">
        <v>1522.67</v>
      </c>
      <c r="M1316">
        <v>456.8</v>
      </c>
      <c r="N1316">
        <v>3045.34</v>
      </c>
      <c r="O1316">
        <v>2588.54</v>
      </c>
      <c r="P1316" t="s">
        <v>2111</v>
      </c>
      <c r="Q1316" t="s">
        <v>1809</v>
      </c>
    </row>
    <row r="1317" spans="1:17" x14ac:dyDescent="0.3">
      <c r="A1317" t="s">
        <v>2568</v>
      </c>
      <c r="B1317" t="s">
        <v>2139</v>
      </c>
      <c r="C1317" s="1">
        <v>46111</v>
      </c>
      <c r="D1317" t="s">
        <v>41</v>
      </c>
      <c r="E1317" t="s">
        <v>50</v>
      </c>
      <c r="F1317" t="s">
        <v>22</v>
      </c>
      <c r="G1317" t="s">
        <v>355</v>
      </c>
      <c r="H1317" t="s">
        <v>356</v>
      </c>
      <c r="I1317" t="s">
        <v>82</v>
      </c>
      <c r="J1317">
        <v>499</v>
      </c>
      <c r="K1317">
        <v>2</v>
      </c>
      <c r="L1317">
        <v>492</v>
      </c>
      <c r="M1317">
        <v>98.4</v>
      </c>
      <c r="N1317">
        <v>984</v>
      </c>
      <c r="O1317">
        <v>885.6</v>
      </c>
      <c r="P1317" t="s">
        <v>2111</v>
      </c>
      <c r="Q1317" t="s">
        <v>789</v>
      </c>
    </row>
    <row r="1318" spans="1:17" x14ac:dyDescent="0.3">
      <c r="A1318" t="s">
        <v>1684</v>
      </c>
      <c r="B1318" t="s">
        <v>1683</v>
      </c>
      <c r="C1318" s="1">
        <v>46160</v>
      </c>
      <c r="D1318" t="s">
        <v>41</v>
      </c>
      <c r="E1318" t="s">
        <v>17</v>
      </c>
      <c r="F1318" t="s">
        <v>60</v>
      </c>
      <c r="G1318" t="s">
        <v>165</v>
      </c>
      <c r="H1318" t="s">
        <v>166</v>
      </c>
      <c r="I1318" t="s">
        <v>29</v>
      </c>
      <c r="J1318">
        <v>449</v>
      </c>
      <c r="K1318">
        <v>1</v>
      </c>
      <c r="L1318">
        <v>461.71</v>
      </c>
      <c r="M1318">
        <v>23.09</v>
      </c>
      <c r="N1318">
        <v>461.71</v>
      </c>
      <c r="O1318">
        <v>438.62</v>
      </c>
      <c r="P1318" t="s">
        <v>2111</v>
      </c>
      <c r="Q1318" t="s">
        <v>1479</v>
      </c>
    </row>
    <row r="1319" spans="1:17" x14ac:dyDescent="0.3">
      <c r="A1319" t="s">
        <v>788</v>
      </c>
      <c r="B1319" t="s">
        <v>278</v>
      </c>
      <c r="C1319" s="1">
        <v>46082</v>
      </c>
      <c r="D1319" t="s">
        <v>63</v>
      </c>
      <c r="E1319" t="s">
        <v>42</v>
      </c>
      <c r="F1319" t="s">
        <v>31</v>
      </c>
      <c r="G1319" t="s">
        <v>191</v>
      </c>
      <c r="H1319" t="s">
        <v>192</v>
      </c>
      <c r="I1319" t="s">
        <v>45</v>
      </c>
      <c r="J1319">
        <v>699</v>
      </c>
      <c r="K1319">
        <v>2</v>
      </c>
      <c r="L1319">
        <v>743.49</v>
      </c>
      <c r="M1319">
        <v>148.69999999999999</v>
      </c>
      <c r="N1319">
        <v>1486.98</v>
      </c>
      <c r="O1319">
        <v>1338.28</v>
      </c>
      <c r="P1319" t="s">
        <v>2111</v>
      </c>
      <c r="Q1319" t="s">
        <v>789</v>
      </c>
    </row>
    <row r="1320" spans="1:17" x14ac:dyDescent="0.3">
      <c r="A1320" t="s">
        <v>2760</v>
      </c>
      <c r="B1320" t="s">
        <v>2761</v>
      </c>
      <c r="C1320" s="1">
        <v>46202</v>
      </c>
      <c r="D1320" t="s">
        <v>34</v>
      </c>
      <c r="E1320" t="s">
        <v>50</v>
      </c>
      <c r="F1320" t="s">
        <v>47</v>
      </c>
      <c r="G1320" t="s">
        <v>112</v>
      </c>
      <c r="H1320" t="s">
        <v>113</v>
      </c>
      <c r="I1320" t="s">
        <v>37</v>
      </c>
      <c r="J1320">
        <v>1499</v>
      </c>
      <c r="K1320">
        <v>1</v>
      </c>
      <c r="L1320">
        <v>1350.79</v>
      </c>
      <c r="M1320">
        <v>135.08000000000001</v>
      </c>
      <c r="N1320">
        <v>1350.79</v>
      </c>
      <c r="O1320">
        <v>1215.71</v>
      </c>
      <c r="P1320" t="s">
        <v>2111</v>
      </c>
      <c r="Q1320" t="s">
        <v>1809</v>
      </c>
    </row>
    <row r="1321" spans="1:17" x14ac:dyDescent="0.3">
      <c r="A1321" t="s">
        <v>2762</v>
      </c>
      <c r="B1321" t="s">
        <v>490</v>
      </c>
      <c r="C1321" s="1">
        <v>46163</v>
      </c>
      <c r="D1321" t="s">
        <v>16</v>
      </c>
      <c r="E1321" t="s">
        <v>17</v>
      </c>
      <c r="F1321" t="s">
        <v>22</v>
      </c>
      <c r="G1321" t="s">
        <v>43</v>
      </c>
      <c r="H1321" t="s">
        <v>44</v>
      </c>
      <c r="I1321" t="s">
        <v>45</v>
      </c>
      <c r="J1321">
        <v>3299</v>
      </c>
      <c r="K1321">
        <v>1</v>
      </c>
      <c r="L1321">
        <v>3623.62</v>
      </c>
      <c r="M1321">
        <v>362.36</v>
      </c>
      <c r="N1321">
        <v>3623.62</v>
      </c>
      <c r="O1321">
        <v>3261.26</v>
      </c>
      <c r="P1321" t="s">
        <v>2111</v>
      </c>
      <c r="Q1321" t="s">
        <v>1479</v>
      </c>
    </row>
    <row r="1322" spans="1:17" x14ac:dyDescent="0.3">
      <c r="A1322" t="s">
        <v>567</v>
      </c>
      <c r="B1322" t="s">
        <v>566</v>
      </c>
      <c r="C1322" s="1">
        <v>46060</v>
      </c>
      <c r="D1322" t="s">
        <v>16</v>
      </c>
      <c r="E1322" t="s">
        <v>17</v>
      </c>
      <c r="F1322" t="s">
        <v>31</v>
      </c>
      <c r="G1322" t="s">
        <v>126</v>
      </c>
      <c r="H1322" t="s">
        <v>127</v>
      </c>
      <c r="I1322" t="s">
        <v>45</v>
      </c>
      <c r="J1322">
        <v>2499</v>
      </c>
      <c r="K1322">
        <v>1</v>
      </c>
      <c r="L1322">
        <v>2340.5100000000002</v>
      </c>
      <c r="M1322">
        <v>234.05</v>
      </c>
      <c r="N1322">
        <v>2340.5100000000002</v>
      </c>
      <c r="O1322">
        <v>2106.46</v>
      </c>
      <c r="P1322" t="s">
        <v>2111</v>
      </c>
      <c r="Q1322" t="s">
        <v>498</v>
      </c>
    </row>
    <row r="1323" spans="1:17" x14ac:dyDescent="0.3">
      <c r="A1323" t="s">
        <v>2763</v>
      </c>
      <c r="B1323" t="s">
        <v>2135</v>
      </c>
      <c r="C1323" s="1">
        <v>46150</v>
      </c>
      <c r="D1323" t="s">
        <v>34</v>
      </c>
      <c r="E1323" t="s">
        <v>17</v>
      </c>
      <c r="F1323" t="s">
        <v>60</v>
      </c>
      <c r="G1323" t="s">
        <v>250</v>
      </c>
      <c r="H1323" t="s">
        <v>251</v>
      </c>
      <c r="I1323" t="s">
        <v>108</v>
      </c>
      <c r="J1323">
        <v>899</v>
      </c>
      <c r="K1323">
        <v>1</v>
      </c>
      <c r="L1323">
        <v>893.65</v>
      </c>
      <c r="M1323">
        <v>178.73</v>
      </c>
      <c r="N1323">
        <v>893.65</v>
      </c>
      <c r="O1323">
        <v>714.92</v>
      </c>
      <c r="P1323" t="s">
        <v>2111</v>
      </c>
      <c r="Q1323" t="s">
        <v>1479</v>
      </c>
    </row>
    <row r="1324" spans="1:17" x14ac:dyDescent="0.3">
      <c r="A1324" t="s">
        <v>2399</v>
      </c>
      <c r="B1324" t="s">
        <v>1207</v>
      </c>
      <c r="C1324" s="1">
        <v>46194</v>
      </c>
      <c r="D1324" t="s">
        <v>41</v>
      </c>
      <c r="E1324" t="s">
        <v>17</v>
      </c>
      <c r="F1324" t="s">
        <v>31</v>
      </c>
      <c r="G1324" t="s">
        <v>165</v>
      </c>
      <c r="H1324" t="s">
        <v>166</v>
      </c>
      <c r="I1324" t="s">
        <v>29</v>
      </c>
      <c r="J1324">
        <v>449</v>
      </c>
      <c r="K1324">
        <v>1</v>
      </c>
      <c r="L1324">
        <v>482.41</v>
      </c>
      <c r="M1324">
        <v>96.48</v>
      </c>
      <c r="N1324">
        <v>482.41</v>
      </c>
      <c r="O1324">
        <v>385.93</v>
      </c>
      <c r="P1324" t="s">
        <v>2111</v>
      </c>
      <c r="Q1324" t="s">
        <v>1809</v>
      </c>
    </row>
    <row r="1325" spans="1:17" x14ac:dyDescent="0.3">
      <c r="A1325" t="s">
        <v>2687</v>
      </c>
      <c r="B1325" t="s">
        <v>2645</v>
      </c>
      <c r="C1325" s="1">
        <v>46147</v>
      </c>
      <c r="D1325" t="s">
        <v>16</v>
      </c>
      <c r="E1325" t="s">
        <v>50</v>
      </c>
      <c r="F1325" t="s">
        <v>47</v>
      </c>
      <c r="G1325" t="s">
        <v>80</v>
      </c>
      <c r="H1325" t="s">
        <v>81</v>
      </c>
      <c r="I1325" t="s">
        <v>82</v>
      </c>
      <c r="J1325">
        <v>4299</v>
      </c>
      <c r="K1325">
        <v>4</v>
      </c>
      <c r="L1325">
        <v>4062.59</v>
      </c>
      <c r="M1325">
        <v>3250.07</v>
      </c>
      <c r="N1325">
        <v>16250.36</v>
      </c>
      <c r="O1325">
        <v>13000.29</v>
      </c>
      <c r="P1325" t="s">
        <v>2111</v>
      </c>
      <c r="Q1325" t="s">
        <v>1479</v>
      </c>
    </row>
    <row r="1326" spans="1:17" x14ac:dyDescent="0.3">
      <c r="A1326" t="s">
        <v>2089</v>
      </c>
      <c r="B1326" t="s">
        <v>2088</v>
      </c>
      <c r="C1326" s="1">
        <v>46202</v>
      </c>
      <c r="D1326" t="s">
        <v>16</v>
      </c>
      <c r="E1326" t="s">
        <v>17</v>
      </c>
      <c r="F1326" t="s">
        <v>74</v>
      </c>
      <c r="G1326" t="s">
        <v>18</v>
      </c>
      <c r="H1326" t="s">
        <v>19</v>
      </c>
      <c r="I1326" t="s">
        <v>20</v>
      </c>
      <c r="J1326">
        <v>2799</v>
      </c>
      <c r="K1326">
        <v>1</v>
      </c>
      <c r="L1326">
        <v>2786.01</v>
      </c>
      <c r="M1326">
        <v>417.9</v>
      </c>
      <c r="N1326">
        <v>2786.01</v>
      </c>
      <c r="O1326">
        <v>2368.11</v>
      </c>
      <c r="P1326" t="s">
        <v>2111</v>
      </c>
      <c r="Q1326" t="s">
        <v>1809</v>
      </c>
    </row>
    <row r="1327" spans="1:17" x14ac:dyDescent="0.3">
      <c r="A1327" t="s">
        <v>756</v>
      </c>
      <c r="B1327" t="s">
        <v>505</v>
      </c>
      <c r="C1327" s="1">
        <v>46079</v>
      </c>
      <c r="D1327" t="s">
        <v>16</v>
      </c>
      <c r="E1327" t="s">
        <v>17</v>
      </c>
      <c r="F1327" t="s">
        <v>47</v>
      </c>
      <c r="G1327" t="s">
        <v>165</v>
      </c>
      <c r="H1327" t="s">
        <v>166</v>
      </c>
      <c r="I1327" t="s">
        <v>29</v>
      </c>
      <c r="J1327">
        <v>449</v>
      </c>
      <c r="K1327">
        <v>1</v>
      </c>
      <c r="L1327">
        <v>416.01</v>
      </c>
      <c r="M1327">
        <v>83.2</v>
      </c>
      <c r="N1327">
        <v>416.01</v>
      </c>
      <c r="O1327">
        <v>332.81</v>
      </c>
      <c r="P1327" t="s">
        <v>2111</v>
      </c>
      <c r="Q1327" t="s">
        <v>498</v>
      </c>
    </row>
    <row r="1328" spans="1:17" x14ac:dyDescent="0.3">
      <c r="A1328" t="s">
        <v>2764</v>
      </c>
      <c r="B1328" t="s">
        <v>2333</v>
      </c>
      <c r="C1328" s="1">
        <v>46102</v>
      </c>
      <c r="D1328" t="s">
        <v>16</v>
      </c>
      <c r="E1328" t="s">
        <v>50</v>
      </c>
      <c r="F1328" t="s">
        <v>22</v>
      </c>
      <c r="G1328" t="s">
        <v>355</v>
      </c>
      <c r="H1328" t="s">
        <v>356</v>
      </c>
      <c r="I1328" t="s">
        <v>82</v>
      </c>
      <c r="J1328">
        <v>499</v>
      </c>
      <c r="K1328">
        <v>1</v>
      </c>
      <c r="L1328">
        <v>488.53</v>
      </c>
      <c r="M1328">
        <v>0</v>
      </c>
      <c r="N1328">
        <v>488.53</v>
      </c>
      <c r="O1328">
        <v>488.53</v>
      </c>
      <c r="P1328" t="s">
        <v>2111</v>
      </c>
      <c r="Q1328" t="s">
        <v>789</v>
      </c>
    </row>
    <row r="1329" spans="1:17" x14ac:dyDescent="0.3">
      <c r="A1329" t="s">
        <v>1871</v>
      </c>
      <c r="B1329" t="s">
        <v>442</v>
      </c>
      <c r="C1329" s="1">
        <v>46178</v>
      </c>
      <c r="D1329" t="s">
        <v>26</v>
      </c>
      <c r="E1329" t="s">
        <v>50</v>
      </c>
      <c r="F1329" t="s">
        <v>22</v>
      </c>
      <c r="G1329" t="s">
        <v>160</v>
      </c>
      <c r="H1329" t="s">
        <v>161</v>
      </c>
      <c r="I1329" t="s">
        <v>82</v>
      </c>
      <c r="J1329">
        <v>799</v>
      </c>
      <c r="K1329">
        <v>1</v>
      </c>
      <c r="L1329">
        <v>747.41</v>
      </c>
      <c r="M1329">
        <v>37.369999999999997</v>
      </c>
      <c r="N1329">
        <v>747.41</v>
      </c>
      <c r="O1329">
        <v>710.04</v>
      </c>
      <c r="P1329" t="s">
        <v>2111</v>
      </c>
      <c r="Q1329" t="s">
        <v>1809</v>
      </c>
    </row>
    <row r="1330" spans="1:17" x14ac:dyDescent="0.3">
      <c r="A1330" t="s">
        <v>2692</v>
      </c>
      <c r="B1330" t="s">
        <v>2515</v>
      </c>
      <c r="C1330" s="1">
        <v>46086</v>
      </c>
      <c r="D1330" t="s">
        <v>34</v>
      </c>
      <c r="E1330" t="s">
        <v>50</v>
      </c>
      <c r="F1330" t="s">
        <v>74</v>
      </c>
      <c r="G1330" t="s">
        <v>149</v>
      </c>
      <c r="H1330" t="s">
        <v>150</v>
      </c>
      <c r="I1330" t="s">
        <v>37</v>
      </c>
      <c r="J1330">
        <v>2999</v>
      </c>
      <c r="K1330">
        <v>1</v>
      </c>
      <c r="L1330">
        <v>2917.2</v>
      </c>
      <c r="M1330">
        <v>291.72000000000003</v>
      </c>
      <c r="N1330">
        <v>2917.2</v>
      </c>
      <c r="O1330">
        <v>2625.48</v>
      </c>
      <c r="P1330" t="s">
        <v>2111</v>
      </c>
      <c r="Q1330" t="s">
        <v>789</v>
      </c>
    </row>
    <row r="1331" spans="1:17" x14ac:dyDescent="0.3">
      <c r="A1331" t="s">
        <v>2727</v>
      </c>
      <c r="B1331" t="s">
        <v>2728</v>
      </c>
      <c r="C1331" s="1">
        <v>46179</v>
      </c>
      <c r="D1331" t="s">
        <v>16</v>
      </c>
      <c r="E1331" t="s">
        <v>17</v>
      </c>
      <c r="F1331" t="s">
        <v>60</v>
      </c>
      <c r="G1331" t="s">
        <v>126</v>
      </c>
      <c r="H1331" t="s">
        <v>127</v>
      </c>
      <c r="I1331" t="s">
        <v>45</v>
      </c>
      <c r="J1331">
        <v>2499</v>
      </c>
      <c r="K1331">
        <v>1</v>
      </c>
      <c r="L1331">
        <v>2435.7600000000002</v>
      </c>
      <c r="M1331">
        <v>487.15</v>
      </c>
      <c r="N1331">
        <v>2435.7600000000002</v>
      </c>
      <c r="O1331">
        <v>1948.61</v>
      </c>
      <c r="P1331" t="s">
        <v>2111</v>
      </c>
      <c r="Q1331" t="s">
        <v>1809</v>
      </c>
    </row>
    <row r="1332" spans="1:17" x14ac:dyDescent="0.3">
      <c r="A1332" t="s">
        <v>1617</v>
      </c>
      <c r="B1332" t="s">
        <v>1616</v>
      </c>
      <c r="C1332" s="1">
        <v>46154</v>
      </c>
      <c r="D1332" t="s">
        <v>26</v>
      </c>
      <c r="E1332" t="s">
        <v>42</v>
      </c>
      <c r="F1332" t="s">
        <v>74</v>
      </c>
      <c r="G1332" t="s">
        <v>27</v>
      </c>
      <c r="H1332" t="s">
        <v>28</v>
      </c>
      <c r="I1332" t="s">
        <v>29</v>
      </c>
      <c r="J1332">
        <v>1599</v>
      </c>
      <c r="K1332">
        <v>1</v>
      </c>
      <c r="L1332">
        <v>1756.72</v>
      </c>
      <c r="M1332">
        <v>175.67</v>
      </c>
      <c r="N1332">
        <v>1756.72</v>
      </c>
      <c r="O1332">
        <v>1581.05</v>
      </c>
      <c r="P1332" t="s">
        <v>2111</v>
      </c>
      <c r="Q1332" t="s">
        <v>1479</v>
      </c>
    </row>
    <row r="1333" spans="1:17" x14ac:dyDescent="0.3">
      <c r="A1333" t="s">
        <v>2006</v>
      </c>
      <c r="B1333" t="s">
        <v>2005</v>
      </c>
      <c r="C1333" s="1">
        <v>46195</v>
      </c>
      <c r="D1333" t="s">
        <v>16</v>
      </c>
      <c r="E1333" t="s">
        <v>50</v>
      </c>
      <c r="F1333" t="s">
        <v>74</v>
      </c>
      <c r="G1333" t="s">
        <v>86</v>
      </c>
      <c r="H1333" t="s">
        <v>87</v>
      </c>
      <c r="I1333" t="s">
        <v>82</v>
      </c>
      <c r="J1333">
        <v>3499</v>
      </c>
      <c r="K1333">
        <v>1</v>
      </c>
      <c r="L1333">
        <v>3845.27</v>
      </c>
      <c r="M1333">
        <v>576.79</v>
      </c>
      <c r="N1333">
        <v>3845.27</v>
      </c>
      <c r="O1333">
        <v>3268.48</v>
      </c>
      <c r="P1333" t="s">
        <v>2111</v>
      </c>
      <c r="Q1333" t="s">
        <v>1809</v>
      </c>
    </row>
    <row r="1334" spans="1:17" x14ac:dyDescent="0.3">
      <c r="A1334" t="s">
        <v>2765</v>
      </c>
      <c r="B1334" t="s">
        <v>2766</v>
      </c>
      <c r="C1334" s="1">
        <v>46067</v>
      </c>
      <c r="D1334" t="s">
        <v>16</v>
      </c>
      <c r="E1334" t="s">
        <v>17</v>
      </c>
      <c r="F1334" t="s">
        <v>60</v>
      </c>
      <c r="G1334" t="s">
        <v>355</v>
      </c>
      <c r="H1334" t="s">
        <v>356</v>
      </c>
      <c r="I1334" t="s">
        <v>82</v>
      </c>
      <c r="J1334">
        <v>499</v>
      </c>
      <c r="K1334">
        <v>2</v>
      </c>
      <c r="L1334">
        <v>460.56</v>
      </c>
      <c r="M1334">
        <v>0</v>
      </c>
      <c r="N1334">
        <v>921.12</v>
      </c>
      <c r="O1334">
        <v>921.12</v>
      </c>
      <c r="P1334" t="s">
        <v>2111</v>
      </c>
      <c r="Q1334" t="s">
        <v>498</v>
      </c>
    </row>
    <row r="1335" spans="1:17" x14ac:dyDescent="0.3">
      <c r="A1335" t="s">
        <v>1173</v>
      </c>
      <c r="B1335" t="s">
        <v>1172</v>
      </c>
      <c r="C1335" s="1">
        <v>46113</v>
      </c>
      <c r="D1335" t="s">
        <v>16</v>
      </c>
      <c r="E1335" t="s">
        <v>17</v>
      </c>
      <c r="F1335" t="s">
        <v>74</v>
      </c>
      <c r="G1335" t="s">
        <v>250</v>
      </c>
      <c r="H1335" t="s">
        <v>251</v>
      </c>
      <c r="I1335" t="s">
        <v>108</v>
      </c>
      <c r="J1335">
        <v>899</v>
      </c>
      <c r="K1335">
        <v>2</v>
      </c>
      <c r="L1335">
        <v>939.63</v>
      </c>
      <c r="M1335">
        <v>93.96</v>
      </c>
      <c r="N1335">
        <v>1879.26</v>
      </c>
      <c r="O1335">
        <v>1785.3</v>
      </c>
      <c r="P1335" t="s">
        <v>2111</v>
      </c>
      <c r="Q1335" t="s">
        <v>1170</v>
      </c>
    </row>
    <row r="1336" spans="1:17" x14ac:dyDescent="0.3">
      <c r="A1336" t="s">
        <v>1358</v>
      </c>
      <c r="B1336" t="s">
        <v>1357</v>
      </c>
      <c r="C1336" s="1">
        <v>46133</v>
      </c>
      <c r="D1336" t="s">
        <v>41</v>
      </c>
      <c r="E1336" t="s">
        <v>17</v>
      </c>
      <c r="F1336" t="s">
        <v>31</v>
      </c>
      <c r="G1336" t="s">
        <v>80</v>
      </c>
      <c r="H1336" t="s">
        <v>81</v>
      </c>
      <c r="I1336" t="s">
        <v>82</v>
      </c>
      <c r="J1336">
        <v>4299</v>
      </c>
      <c r="K1336">
        <v>1</v>
      </c>
      <c r="L1336">
        <v>3913.59</v>
      </c>
      <c r="M1336">
        <v>587.04</v>
      </c>
      <c r="N1336">
        <v>3913.59</v>
      </c>
      <c r="O1336">
        <v>3326.55</v>
      </c>
      <c r="P1336" t="s">
        <v>2111</v>
      </c>
      <c r="Q1336" t="s">
        <v>1170</v>
      </c>
    </row>
    <row r="1337" spans="1:17" x14ac:dyDescent="0.3">
      <c r="A1337" t="s">
        <v>1635</v>
      </c>
      <c r="B1337" t="s">
        <v>1634</v>
      </c>
      <c r="C1337" s="1">
        <v>46155</v>
      </c>
      <c r="D1337" t="s">
        <v>34</v>
      </c>
      <c r="E1337" t="s">
        <v>50</v>
      </c>
      <c r="F1337" t="s">
        <v>60</v>
      </c>
      <c r="G1337" t="s">
        <v>51</v>
      </c>
      <c r="H1337" t="s">
        <v>52</v>
      </c>
      <c r="I1337" t="s">
        <v>20</v>
      </c>
      <c r="J1337">
        <v>999</v>
      </c>
      <c r="K1337">
        <v>1</v>
      </c>
      <c r="L1337">
        <v>905.13</v>
      </c>
      <c r="M1337">
        <v>0</v>
      </c>
      <c r="N1337">
        <v>905.13</v>
      </c>
      <c r="O1337">
        <v>905.13</v>
      </c>
      <c r="P1337" t="s">
        <v>2111</v>
      </c>
      <c r="Q1337" t="s">
        <v>1479</v>
      </c>
    </row>
    <row r="1338" spans="1:17" x14ac:dyDescent="0.3">
      <c r="A1338" t="s">
        <v>2258</v>
      </c>
      <c r="B1338" t="s">
        <v>394</v>
      </c>
      <c r="C1338" s="1">
        <v>46056</v>
      </c>
      <c r="D1338" t="s">
        <v>34</v>
      </c>
      <c r="E1338" t="s">
        <v>50</v>
      </c>
      <c r="F1338" t="s">
        <v>31</v>
      </c>
      <c r="G1338" t="s">
        <v>126</v>
      </c>
      <c r="H1338" t="s">
        <v>127</v>
      </c>
      <c r="I1338" t="s">
        <v>45</v>
      </c>
      <c r="J1338">
        <v>2499</v>
      </c>
      <c r="K1338">
        <v>1</v>
      </c>
      <c r="L1338">
        <v>2301.75</v>
      </c>
      <c r="M1338">
        <v>115.09</v>
      </c>
      <c r="N1338">
        <v>2301.75</v>
      </c>
      <c r="O1338">
        <v>2186.66</v>
      </c>
      <c r="P1338" t="s">
        <v>2111</v>
      </c>
      <c r="Q1338" t="s">
        <v>498</v>
      </c>
    </row>
    <row r="1339" spans="1:17" x14ac:dyDescent="0.3">
      <c r="A1339" t="s">
        <v>1478</v>
      </c>
      <c r="B1339" t="s">
        <v>1477</v>
      </c>
      <c r="C1339" s="1">
        <v>46143</v>
      </c>
      <c r="D1339" t="s">
        <v>26</v>
      </c>
      <c r="E1339" t="s">
        <v>17</v>
      </c>
      <c r="F1339" t="s">
        <v>31</v>
      </c>
      <c r="G1339" t="s">
        <v>149</v>
      </c>
      <c r="H1339" t="s">
        <v>150</v>
      </c>
      <c r="I1339" t="s">
        <v>37</v>
      </c>
      <c r="J1339">
        <v>2999</v>
      </c>
      <c r="K1339">
        <v>2</v>
      </c>
      <c r="L1339">
        <v>3278.2</v>
      </c>
      <c r="M1339">
        <v>327.82</v>
      </c>
      <c r="N1339">
        <v>6556.4</v>
      </c>
      <c r="O1339">
        <v>6228.58</v>
      </c>
      <c r="P1339" t="s">
        <v>2111</v>
      </c>
      <c r="Q1339" t="s">
        <v>1479</v>
      </c>
    </row>
    <row r="1340" spans="1:17" x14ac:dyDescent="0.3">
      <c r="A1340" t="s">
        <v>2767</v>
      </c>
      <c r="B1340" t="s">
        <v>2596</v>
      </c>
      <c r="C1340" s="1">
        <v>46195</v>
      </c>
      <c r="D1340" t="s">
        <v>41</v>
      </c>
      <c r="E1340" t="s">
        <v>50</v>
      </c>
      <c r="F1340" t="s">
        <v>60</v>
      </c>
      <c r="G1340" t="s">
        <v>355</v>
      </c>
      <c r="H1340" t="s">
        <v>356</v>
      </c>
      <c r="I1340" t="s">
        <v>82</v>
      </c>
      <c r="J1340">
        <v>499</v>
      </c>
      <c r="K1340">
        <v>1</v>
      </c>
      <c r="L1340">
        <v>543</v>
      </c>
      <c r="M1340">
        <v>27.15</v>
      </c>
      <c r="N1340">
        <v>543</v>
      </c>
      <c r="O1340">
        <v>515.85</v>
      </c>
      <c r="P1340" t="s">
        <v>2111</v>
      </c>
      <c r="Q1340" t="s">
        <v>1809</v>
      </c>
    </row>
    <row r="1341" spans="1:17" x14ac:dyDescent="0.3">
      <c r="A1341" t="s">
        <v>640</v>
      </c>
      <c r="B1341" t="s">
        <v>639</v>
      </c>
      <c r="C1341" s="1">
        <v>46066</v>
      </c>
      <c r="D1341" t="s">
        <v>34</v>
      </c>
      <c r="E1341" t="s">
        <v>17</v>
      </c>
      <c r="F1341" t="s">
        <v>47</v>
      </c>
      <c r="G1341" t="s">
        <v>126</v>
      </c>
      <c r="H1341" t="s">
        <v>127</v>
      </c>
      <c r="I1341" t="s">
        <v>45</v>
      </c>
      <c r="J1341">
        <v>2499</v>
      </c>
      <c r="K1341">
        <v>1</v>
      </c>
      <c r="L1341">
        <v>2346.0300000000002</v>
      </c>
      <c r="M1341">
        <v>351.9</v>
      </c>
      <c r="N1341">
        <v>2346.0300000000002</v>
      </c>
      <c r="O1341">
        <v>1994.13</v>
      </c>
      <c r="P1341" t="s">
        <v>2111</v>
      </c>
      <c r="Q1341" t="s">
        <v>498</v>
      </c>
    </row>
    <row r="1342" spans="1:17" x14ac:dyDescent="0.3">
      <c r="A1342" t="s">
        <v>734</v>
      </c>
      <c r="B1342" t="s">
        <v>733</v>
      </c>
      <c r="C1342" s="1">
        <v>46076</v>
      </c>
      <c r="D1342" t="s">
        <v>41</v>
      </c>
      <c r="E1342" t="s">
        <v>50</v>
      </c>
      <c r="F1342" t="s">
        <v>47</v>
      </c>
      <c r="G1342" t="s">
        <v>35</v>
      </c>
      <c r="H1342" t="s">
        <v>36</v>
      </c>
      <c r="I1342" t="s">
        <v>37</v>
      </c>
      <c r="J1342">
        <v>799</v>
      </c>
      <c r="K1342">
        <v>2</v>
      </c>
      <c r="L1342">
        <v>744.94</v>
      </c>
      <c r="M1342">
        <v>74.489999999999995</v>
      </c>
      <c r="N1342">
        <v>1489.88</v>
      </c>
      <c r="O1342">
        <v>1415.39</v>
      </c>
      <c r="P1342" t="s">
        <v>2111</v>
      </c>
      <c r="Q1342" t="s">
        <v>498</v>
      </c>
    </row>
    <row r="1343" spans="1:17" x14ac:dyDescent="0.3">
      <c r="A1343" t="s">
        <v>2768</v>
      </c>
      <c r="B1343" t="s">
        <v>2049</v>
      </c>
      <c r="C1343" s="1">
        <v>46032</v>
      </c>
      <c r="D1343" t="s">
        <v>34</v>
      </c>
      <c r="E1343" t="s">
        <v>50</v>
      </c>
      <c r="F1343" t="s">
        <v>31</v>
      </c>
      <c r="G1343" t="s">
        <v>96</v>
      </c>
      <c r="H1343" t="s">
        <v>97</v>
      </c>
      <c r="I1343" t="s">
        <v>58</v>
      </c>
      <c r="J1343">
        <v>7499</v>
      </c>
      <c r="K1343">
        <v>1</v>
      </c>
      <c r="L1343">
        <v>7109.85</v>
      </c>
      <c r="M1343">
        <v>710.99</v>
      </c>
      <c r="N1343">
        <v>7109.85</v>
      </c>
      <c r="O1343">
        <v>6398.86</v>
      </c>
      <c r="P1343" t="s">
        <v>2111</v>
      </c>
      <c r="Q1343" t="s">
        <v>23</v>
      </c>
    </row>
    <row r="1344" spans="1:17" x14ac:dyDescent="0.3">
      <c r="A1344" t="s">
        <v>491</v>
      </c>
      <c r="B1344" t="s">
        <v>490</v>
      </c>
      <c r="C1344" s="1">
        <v>46053</v>
      </c>
      <c r="D1344" t="s">
        <v>34</v>
      </c>
      <c r="E1344" t="s">
        <v>17</v>
      </c>
      <c r="F1344" t="s">
        <v>31</v>
      </c>
      <c r="G1344" t="s">
        <v>43</v>
      </c>
      <c r="H1344" t="s">
        <v>44</v>
      </c>
      <c r="I1344" t="s">
        <v>45</v>
      </c>
      <c r="J1344">
        <v>3299</v>
      </c>
      <c r="K1344">
        <v>1</v>
      </c>
      <c r="L1344">
        <v>3309.26</v>
      </c>
      <c r="M1344">
        <v>0</v>
      </c>
      <c r="N1344">
        <v>3309.26</v>
      </c>
      <c r="O1344">
        <v>3309.26</v>
      </c>
      <c r="P1344" t="s">
        <v>2111</v>
      </c>
      <c r="Q1344" t="s">
        <v>23</v>
      </c>
    </row>
    <row r="1345" spans="1:17" x14ac:dyDescent="0.3">
      <c r="A1345" t="s">
        <v>2731</v>
      </c>
      <c r="B1345" t="s">
        <v>861</v>
      </c>
      <c r="C1345" s="1">
        <v>46051</v>
      </c>
      <c r="D1345" t="s">
        <v>34</v>
      </c>
      <c r="E1345" t="s">
        <v>42</v>
      </c>
      <c r="F1345" t="s">
        <v>60</v>
      </c>
      <c r="G1345" t="s">
        <v>43</v>
      </c>
      <c r="H1345" t="s">
        <v>44</v>
      </c>
      <c r="I1345" t="s">
        <v>45</v>
      </c>
      <c r="J1345">
        <v>3299</v>
      </c>
      <c r="K1345">
        <v>1</v>
      </c>
      <c r="L1345">
        <v>3344.99</v>
      </c>
      <c r="M1345">
        <v>501.75</v>
      </c>
      <c r="N1345">
        <v>3344.99</v>
      </c>
      <c r="O1345">
        <v>2843.24</v>
      </c>
      <c r="P1345" t="s">
        <v>2111</v>
      </c>
      <c r="Q1345" t="s">
        <v>23</v>
      </c>
    </row>
    <row r="1346" spans="1:17" x14ac:dyDescent="0.3">
      <c r="A1346" t="s">
        <v>1773</v>
      </c>
      <c r="B1346" t="s">
        <v>1772</v>
      </c>
      <c r="C1346" s="1">
        <v>46170</v>
      </c>
      <c r="D1346" t="s">
        <v>34</v>
      </c>
      <c r="E1346" t="s">
        <v>17</v>
      </c>
      <c r="F1346" t="s">
        <v>47</v>
      </c>
      <c r="G1346" t="s">
        <v>86</v>
      </c>
      <c r="H1346" t="s">
        <v>87</v>
      </c>
      <c r="I1346" t="s">
        <v>82</v>
      </c>
      <c r="J1346">
        <v>3499</v>
      </c>
      <c r="K1346">
        <v>3</v>
      </c>
      <c r="L1346">
        <v>3304.17</v>
      </c>
      <c r="M1346">
        <v>495.63</v>
      </c>
      <c r="N1346">
        <v>9912.51</v>
      </c>
      <c r="O1346">
        <v>9416.8799999999992</v>
      </c>
      <c r="P1346" t="s">
        <v>2111</v>
      </c>
      <c r="Q1346" t="s">
        <v>1479</v>
      </c>
    </row>
    <row r="1347" spans="1:17" x14ac:dyDescent="0.3">
      <c r="A1347" t="s">
        <v>2255</v>
      </c>
      <c r="B1347" t="s">
        <v>119</v>
      </c>
      <c r="C1347" s="1">
        <v>46146</v>
      </c>
      <c r="D1347" t="s">
        <v>63</v>
      </c>
      <c r="E1347" t="s">
        <v>17</v>
      </c>
      <c r="F1347" t="s">
        <v>22</v>
      </c>
      <c r="G1347" t="s">
        <v>91</v>
      </c>
      <c r="H1347" t="s">
        <v>92</v>
      </c>
      <c r="I1347" t="s">
        <v>37</v>
      </c>
      <c r="J1347">
        <v>1899</v>
      </c>
      <c r="K1347">
        <v>2</v>
      </c>
      <c r="L1347">
        <v>1996.47</v>
      </c>
      <c r="M1347">
        <v>598.94000000000005</v>
      </c>
      <c r="N1347">
        <v>3992.94</v>
      </c>
      <c r="O1347">
        <v>3394</v>
      </c>
      <c r="P1347" t="s">
        <v>2111</v>
      </c>
      <c r="Q1347" t="s">
        <v>1479</v>
      </c>
    </row>
    <row r="1348" spans="1:17" x14ac:dyDescent="0.3">
      <c r="A1348" t="s">
        <v>2769</v>
      </c>
      <c r="B1348" t="s">
        <v>2770</v>
      </c>
      <c r="C1348" s="1">
        <v>46146</v>
      </c>
      <c r="D1348" t="s">
        <v>16</v>
      </c>
      <c r="E1348" t="s">
        <v>17</v>
      </c>
      <c r="F1348" t="s">
        <v>60</v>
      </c>
      <c r="G1348" t="s">
        <v>149</v>
      </c>
      <c r="H1348" t="s">
        <v>150</v>
      </c>
      <c r="I1348" t="s">
        <v>37</v>
      </c>
      <c r="J1348">
        <v>2999</v>
      </c>
      <c r="K1348">
        <v>2</v>
      </c>
      <c r="L1348">
        <v>2884.77</v>
      </c>
      <c r="M1348">
        <v>865.43</v>
      </c>
      <c r="N1348">
        <v>5769.54</v>
      </c>
      <c r="O1348">
        <v>4904.1099999999997</v>
      </c>
      <c r="P1348" t="s">
        <v>2111</v>
      </c>
      <c r="Q1348" t="s">
        <v>1479</v>
      </c>
    </row>
    <row r="1349" spans="1:17" x14ac:dyDescent="0.3">
      <c r="A1349" t="s">
        <v>2771</v>
      </c>
      <c r="B1349" t="s">
        <v>2772</v>
      </c>
      <c r="C1349" s="1">
        <v>46084</v>
      </c>
      <c r="D1349" t="s">
        <v>41</v>
      </c>
      <c r="E1349" t="s">
        <v>17</v>
      </c>
      <c r="F1349" t="s">
        <v>31</v>
      </c>
      <c r="G1349" t="s">
        <v>43</v>
      </c>
      <c r="H1349" t="s">
        <v>44</v>
      </c>
      <c r="I1349" t="s">
        <v>45</v>
      </c>
      <c r="J1349">
        <v>3299</v>
      </c>
      <c r="K1349">
        <v>1</v>
      </c>
      <c r="L1349">
        <v>3577.52</v>
      </c>
      <c r="M1349">
        <v>178.88</v>
      </c>
      <c r="N1349">
        <v>3577.52</v>
      </c>
      <c r="O1349">
        <v>3398.64</v>
      </c>
      <c r="P1349" t="s">
        <v>2111</v>
      </c>
      <c r="Q1349" t="s">
        <v>789</v>
      </c>
    </row>
    <row r="1350" spans="1:17" x14ac:dyDescent="0.3">
      <c r="A1350" t="s">
        <v>389</v>
      </c>
      <c r="B1350" t="s">
        <v>388</v>
      </c>
      <c r="C1350" s="1">
        <v>46044</v>
      </c>
      <c r="D1350" t="s">
        <v>26</v>
      </c>
      <c r="E1350" t="s">
        <v>50</v>
      </c>
      <c r="F1350" t="s">
        <v>60</v>
      </c>
      <c r="G1350" t="s">
        <v>250</v>
      </c>
      <c r="H1350" t="s">
        <v>251</v>
      </c>
      <c r="I1350" t="s">
        <v>108</v>
      </c>
      <c r="J1350">
        <v>899</v>
      </c>
      <c r="K1350">
        <v>1</v>
      </c>
      <c r="L1350">
        <v>927.18</v>
      </c>
      <c r="M1350">
        <v>185.44</v>
      </c>
      <c r="N1350">
        <v>927.18</v>
      </c>
      <c r="O1350">
        <v>741.74</v>
      </c>
      <c r="P1350" t="s">
        <v>2111</v>
      </c>
      <c r="Q1350" t="s">
        <v>23</v>
      </c>
    </row>
    <row r="1351" spans="1:17" x14ac:dyDescent="0.3">
      <c r="A1351" t="s">
        <v>1907</v>
      </c>
      <c r="B1351" t="s">
        <v>1906</v>
      </c>
      <c r="C1351" s="1">
        <v>46182</v>
      </c>
      <c r="D1351" t="s">
        <v>16</v>
      </c>
      <c r="E1351" t="s">
        <v>17</v>
      </c>
      <c r="F1351" t="s">
        <v>74</v>
      </c>
      <c r="G1351" t="s">
        <v>191</v>
      </c>
      <c r="H1351" t="s">
        <v>192</v>
      </c>
      <c r="I1351" t="s">
        <v>45</v>
      </c>
      <c r="J1351">
        <v>699</v>
      </c>
      <c r="K1351">
        <v>4</v>
      </c>
      <c r="L1351">
        <v>690.1</v>
      </c>
      <c r="M1351">
        <v>276.04000000000002</v>
      </c>
      <c r="N1351">
        <v>2760.4</v>
      </c>
      <c r="O1351">
        <v>2484.36</v>
      </c>
      <c r="P1351" t="s">
        <v>2111</v>
      </c>
      <c r="Q1351" t="s">
        <v>1809</v>
      </c>
    </row>
    <row r="1352" spans="1:17" x14ac:dyDescent="0.3">
      <c r="A1352" t="s">
        <v>1535</v>
      </c>
      <c r="B1352" t="s">
        <v>1534</v>
      </c>
      <c r="C1352" s="1">
        <v>46147</v>
      </c>
      <c r="D1352" t="s">
        <v>16</v>
      </c>
      <c r="E1352" t="s">
        <v>42</v>
      </c>
      <c r="F1352" t="s">
        <v>60</v>
      </c>
      <c r="G1352" t="s">
        <v>27</v>
      </c>
      <c r="H1352" t="s">
        <v>28</v>
      </c>
      <c r="I1352" t="s">
        <v>29</v>
      </c>
      <c r="J1352">
        <v>1599</v>
      </c>
      <c r="K1352">
        <v>4</v>
      </c>
      <c r="L1352">
        <v>1691.71</v>
      </c>
      <c r="M1352">
        <v>676.68</v>
      </c>
      <c r="N1352">
        <v>6766.84</v>
      </c>
      <c r="O1352">
        <v>6090.16</v>
      </c>
      <c r="P1352" t="s">
        <v>2111</v>
      </c>
      <c r="Q1352" t="s">
        <v>1479</v>
      </c>
    </row>
    <row r="1353" spans="1:17" x14ac:dyDescent="0.3">
      <c r="A1353" t="s">
        <v>2472</v>
      </c>
      <c r="B1353" t="s">
        <v>1065</v>
      </c>
      <c r="C1353" s="1">
        <v>46089</v>
      </c>
      <c r="D1353" t="s">
        <v>26</v>
      </c>
      <c r="E1353" t="s">
        <v>50</v>
      </c>
      <c r="F1353" t="s">
        <v>22</v>
      </c>
      <c r="G1353" t="s">
        <v>112</v>
      </c>
      <c r="H1353" t="s">
        <v>113</v>
      </c>
      <c r="I1353" t="s">
        <v>37</v>
      </c>
      <c r="J1353">
        <v>1499</v>
      </c>
      <c r="K1353">
        <v>1</v>
      </c>
      <c r="L1353">
        <v>1594.31</v>
      </c>
      <c r="M1353">
        <v>0</v>
      </c>
      <c r="N1353">
        <v>1594.31</v>
      </c>
      <c r="O1353">
        <v>1594.31</v>
      </c>
      <c r="P1353" t="s">
        <v>2114</v>
      </c>
      <c r="Q1353" t="s">
        <v>789</v>
      </c>
    </row>
    <row r="1354" spans="1:17" x14ac:dyDescent="0.3">
      <c r="A1354" t="s">
        <v>1472</v>
      </c>
      <c r="B1354" t="s">
        <v>1471</v>
      </c>
      <c r="C1354" s="1">
        <v>46142</v>
      </c>
      <c r="D1354" t="s">
        <v>41</v>
      </c>
      <c r="E1354" t="s">
        <v>50</v>
      </c>
      <c r="F1354" t="s">
        <v>47</v>
      </c>
      <c r="G1354" t="s">
        <v>51</v>
      </c>
      <c r="H1354" t="s">
        <v>52</v>
      </c>
      <c r="I1354" t="s">
        <v>20</v>
      </c>
      <c r="J1354">
        <v>999</v>
      </c>
      <c r="K1354">
        <v>2</v>
      </c>
      <c r="L1354">
        <v>957.14</v>
      </c>
      <c r="M1354">
        <v>382.86</v>
      </c>
      <c r="N1354">
        <v>1914.28</v>
      </c>
      <c r="O1354">
        <v>1531.42</v>
      </c>
      <c r="P1354" t="s">
        <v>2111</v>
      </c>
      <c r="Q1354" t="s">
        <v>1170</v>
      </c>
    </row>
    <row r="1355" spans="1:17" x14ac:dyDescent="0.3">
      <c r="A1355" t="s">
        <v>2150</v>
      </c>
      <c r="B1355" t="s">
        <v>2151</v>
      </c>
      <c r="C1355" s="1">
        <v>46145</v>
      </c>
      <c r="D1355" t="s">
        <v>34</v>
      </c>
      <c r="E1355" t="s">
        <v>17</v>
      </c>
      <c r="F1355" t="s">
        <v>74</v>
      </c>
      <c r="G1355" t="s">
        <v>86</v>
      </c>
      <c r="H1355" t="s">
        <v>87</v>
      </c>
      <c r="I1355" t="s">
        <v>82</v>
      </c>
      <c r="J1355">
        <v>3499</v>
      </c>
      <c r="K1355">
        <v>1</v>
      </c>
      <c r="L1355">
        <v>3386.83</v>
      </c>
      <c r="M1355">
        <v>508.02</v>
      </c>
      <c r="N1355">
        <v>3386.83</v>
      </c>
      <c r="O1355">
        <v>2878.81</v>
      </c>
      <c r="P1355" t="s">
        <v>2111</v>
      </c>
      <c r="Q1355" t="s">
        <v>1479</v>
      </c>
    </row>
    <row r="1356" spans="1:17" x14ac:dyDescent="0.3">
      <c r="A1356" t="s">
        <v>608</v>
      </c>
      <c r="B1356" t="s">
        <v>607</v>
      </c>
      <c r="C1356" s="1">
        <v>46063</v>
      </c>
      <c r="D1356" t="s">
        <v>16</v>
      </c>
      <c r="E1356" t="s">
        <v>17</v>
      </c>
      <c r="F1356" t="s">
        <v>47</v>
      </c>
      <c r="G1356" t="s">
        <v>18</v>
      </c>
      <c r="H1356" t="s">
        <v>19</v>
      </c>
      <c r="I1356" t="s">
        <v>20</v>
      </c>
      <c r="J1356">
        <v>2799</v>
      </c>
      <c r="K1356">
        <v>1</v>
      </c>
      <c r="L1356">
        <v>3043.05</v>
      </c>
      <c r="M1356">
        <v>152.15</v>
      </c>
      <c r="N1356">
        <v>3043.05</v>
      </c>
      <c r="O1356">
        <v>2890.9</v>
      </c>
      <c r="P1356" t="s">
        <v>2111</v>
      </c>
      <c r="Q1356" t="s">
        <v>498</v>
      </c>
    </row>
    <row r="1357" spans="1:17" x14ac:dyDescent="0.3">
      <c r="A1357" t="s">
        <v>2622</v>
      </c>
      <c r="B1357" t="s">
        <v>2623</v>
      </c>
      <c r="C1357" s="1">
        <v>46037</v>
      </c>
      <c r="D1357" t="s">
        <v>26</v>
      </c>
      <c r="E1357" t="s">
        <v>17</v>
      </c>
      <c r="F1357" t="s">
        <v>74</v>
      </c>
      <c r="G1357" t="s">
        <v>86</v>
      </c>
      <c r="H1357" t="s">
        <v>87</v>
      </c>
      <c r="I1357" t="s">
        <v>82</v>
      </c>
      <c r="J1357">
        <v>3499</v>
      </c>
      <c r="K1357">
        <v>2</v>
      </c>
      <c r="L1357">
        <v>3264.39</v>
      </c>
      <c r="M1357">
        <v>326.44</v>
      </c>
      <c r="N1357">
        <v>6528.78</v>
      </c>
      <c r="O1357">
        <v>6202.34</v>
      </c>
      <c r="P1357" t="s">
        <v>2111</v>
      </c>
      <c r="Q1357" t="s">
        <v>23</v>
      </c>
    </row>
    <row r="1358" spans="1:17" x14ac:dyDescent="0.3">
      <c r="A1358" t="s">
        <v>199</v>
      </c>
      <c r="B1358" t="s">
        <v>198</v>
      </c>
      <c r="C1358" s="1">
        <v>46030</v>
      </c>
      <c r="D1358" t="s">
        <v>16</v>
      </c>
      <c r="E1358" t="s">
        <v>17</v>
      </c>
      <c r="F1358" t="s">
        <v>31</v>
      </c>
      <c r="G1358" t="s">
        <v>86</v>
      </c>
      <c r="H1358" t="s">
        <v>87</v>
      </c>
      <c r="I1358" t="s">
        <v>82</v>
      </c>
      <c r="J1358">
        <v>3499</v>
      </c>
      <c r="K1358">
        <v>1</v>
      </c>
      <c r="L1358">
        <v>3178.6</v>
      </c>
      <c r="M1358">
        <v>476.79</v>
      </c>
      <c r="N1358">
        <v>3178.6</v>
      </c>
      <c r="O1358">
        <v>2701.81</v>
      </c>
      <c r="P1358" t="s">
        <v>2111</v>
      </c>
      <c r="Q1358" t="s">
        <v>23</v>
      </c>
    </row>
    <row r="1359" spans="1:17" x14ac:dyDescent="0.3">
      <c r="A1359" t="s">
        <v>2207</v>
      </c>
      <c r="B1359" t="s">
        <v>2208</v>
      </c>
      <c r="C1359" s="1">
        <v>46034</v>
      </c>
      <c r="D1359" t="s">
        <v>16</v>
      </c>
      <c r="E1359" t="s">
        <v>17</v>
      </c>
      <c r="F1359" t="s">
        <v>31</v>
      </c>
      <c r="G1359" t="s">
        <v>18</v>
      </c>
      <c r="H1359" t="s">
        <v>19</v>
      </c>
      <c r="I1359" t="s">
        <v>20</v>
      </c>
      <c r="J1359">
        <v>2799</v>
      </c>
      <c r="K1359">
        <v>3</v>
      </c>
      <c r="L1359">
        <v>2773.28</v>
      </c>
      <c r="M1359">
        <v>1247.98</v>
      </c>
      <c r="N1359">
        <v>8319.84</v>
      </c>
      <c r="O1359">
        <v>7071.86</v>
      </c>
      <c r="P1359" t="s">
        <v>2111</v>
      </c>
      <c r="Q1359" t="s">
        <v>23</v>
      </c>
    </row>
    <row r="1360" spans="1:17" x14ac:dyDescent="0.3">
      <c r="A1360" t="s">
        <v>1089</v>
      </c>
      <c r="B1360" t="s">
        <v>1088</v>
      </c>
      <c r="C1360" s="1">
        <v>46105</v>
      </c>
      <c r="D1360" t="s">
        <v>63</v>
      </c>
      <c r="E1360" t="s">
        <v>50</v>
      </c>
      <c r="F1360" t="s">
        <v>31</v>
      </c>
      <c r="G1360" t="s">
        <v>149</v>
      </c>
      <c r="H1360" t="s">
        <v>150</v>
      </c>
      <c r="I1360" t="s">
        <v>37</v>
      </c>
      <c r="J1360">
        <v>2999</v>
      </c>
      <c r="K1360">
        <v>1</v>
      </c>
      <c r="L1360">
        <v>3179.67</v>
      </c>
      <c r="M1360">
        <v>476.95</v>
      </c>
      <c r="N1360">
        <v>3179.67</v>
      </c>
      <c r="O1360">
        <v>2702.72</v>
      </c>
      <c r="P1360" t="s">
        <v>2111</v>
      </c>
      <c r="Q1360" t="s">
        <v>789</v>
      </c>
    </row>
    <row r="1361" spans="1:17" x14ac:dyDescent="0.3">
      <c r="A1361" t="s">
        <v>2773</v>
      </c>
      <c r="B1361" t="s">
        <v>779</v>
      </c>
      <c r="C1361" s="1">
        <v>46200</v>
      </c>
      <c r="D1361" t="s">
        <v>34</v>
      </c>
      <c r="E1361" t="s">
        <v>17</v>
      </c>
      <c r="F1361" t="s">
        <v>60</v>
      </c>
      <c r="G1361" t="s">
        <v>56</v>
      </c>
      <c r="H1361" t="s">
        <v>57</v>
      </c>
      <c r="I1361" t="s">
        <v>58</v>
      </c>
      <c r="J1361">
        <v>8999</v>
      </c>
      <c r="K1361">
        <v>1</v>
      </c>
      <c r="L1361">
        <v>9487.9500000000007</v>
      </c>
      <c r="M1361">
        <v>948.8</v>
      </c>
      <c r="N1361">
        <v>9487.9500000000007</v>
      </c>
      <c r="O1361">
        <v>8539.15</v>
      </c>
      <c r="P1361" t="s">
        <v>2111</v>
      </c>
      <c r="Q1361" t="s">
        <v>1809</v>
      </c>
    </row>
    <row r="1362" spans="1:17" x14ac:dyDescent="0.3">
      <c r="A1362" t="s">
        <v>522</v>
      </c>
      <c r="B1362" t="s">
        <v>311</v>
      </c>
      <c r="C1362" s="1">
        <v>46056</v>
      </c>
      <c r="D1362" t="s">
        <v>26</v>
      </c>
      <c r="E1362" t="s">
        <v>17</v>
      </c>
      <c r="F1362" t="s">
        <v>47</v>
      </c>
      <c r="G1362" t="s">
        <v>80</v>
      </c>
      <c r="H1362" t="s">
        <v>81</v>
      </c>
      <c r="I1362" t="s">
        <v>82</v>
      </c>
      <c r="J1362">
        <v>4299</v>
      </c>
      <c r="K1362">
        <v>3</v>
      </c>
      <c r="L1362">
        <v>4659.71</v>
      </c>
      <c r="M1362">
        <v>2096.87</v>
      </c>
      <c r="N1362">
        <v>13979.13</v>
      </c>
      <c r="O1362">
        <v>11882.26</v>
      </c>
      <c r="P1362" t="s">
        <v>2111</v>
      </c>
      <c r="Q1362" t="s">
        <v>498</v>
      </c>
    </row>
    <row r="1363" spans="1:17" x14ac:dyDescent="0.3">
      <c r="A1363" t="s">
        <v>1713</v>
      </c>
      <c r="B1363" t="s">
        <v>1712</v>
      </c>
      <c r="C1363" s="1">
        <v>46164</v>
      </c>
      <c r="D1363" t="s">
        <v>16</v>
      </c>
      <c r="E1363" t="s">
        <v>50</v>
      </c>
      <c r="F1363" t="s">
        <v>74</v>
      </c>
      <c r="G1363" t="s">
        <v>43</v>
      </c>
      <c r="H1363" t="s">
        <v>44</v>
      </c>
      <c r="I1363" t="s">
        <v>45</v>
      </c>
      <c r="J1363">
        <v>3299</v>
      </c>
      <c r="K1363">
        <v>3</v>
      </c>
      <c r="L1363">
        <v>3320.91</v>
      </c>
      <c r="M1363">
        <v>996.27</v>
      </c>
      <c r="N1363">
        <v>9962.73</v>
      </c>
      <c r="O1363">
        <v>8966.4599999999991</v>
      </c>
      <c r="P1363" t="s">
        <v>2111</v>
      </c>
      <c r="Q1363" t="s">
        <v>1479</v>
      </c>
    </row>
    <row r="1364" spans="1:17" x14ac:dyDescent="0.3">
      <c r="A1364" t="s">
        <v>837</v>
      </c>
      <c r="B1364" t="s">
        <v>836</v>
      </c>
      <c r="C1364" s="1">
        <v>46084</v>
      </c>
      <c r="D1364" t="s">
        <v>16</v>
      </c>
      <c r="E1364" t="s">
        <v>17</v>
      </c>
      <c r="F1364" t="s">
        <v>74</v>
      </c>
      <c r="G1364" t="s">
        <v>112</v>
      </c>
      <c r="H1364" t="s">
        <v>113</v>
      </c>
      <c r="I1364" t="s">
        <v>37</v>
      </c>
      <c r="J1364">
        <v>1499</v>
      </c>
      <c r="K1364">
        <v>1</v>
      </c>
      <c r="L1364">
        <v>1379.1</v>
      </c>
      <c r="M1364">
        <v>68.959999999999994</v>
      </c>
      <c r="N1364">
        <v>1379.1</v>
      </c>
      <c r="O1364">
        <v>1310.1400000000001</v>
      </c>
      <c r="P1364" t="s">
        <v>2114</v>
      </c>
      <c r="Q1364" t="s">
        <v>789</v>
      </c>
    </row>
    <row r="1365" spans="1:17" x14ac:dyDescent="0.3">
      <c r="A1365" t="s">
        <v>2552</v>
      </c>
      <c r="B1365" t="s">
        <v>536</v>
      </c>
      <c r="C1365" s="1">
        <v>46180</v>
      </c>
      <c r="D1365" t="s">
        <v>26</v>
      </c>
      <c r="E1365" t="s">
        <v>17</v>
      </c>
      <c r="F1365" t="s">
        <v>47</v>
      </c>
      <c r="G1365" t="s">
        <v>126</v>
      </c>
      <c r="H1365" t="s">
        <v>127</v>
      </c>
      <c r="I1365" t="s">
        <v>45</v>
      </c>
      <c r="J1365">
        <v>2499</v>
      </c>
      <c r="K1365">
        <v>1</v>
      </c>
      <c r="L1365">
        <v>2543.33</v>
      </c>
      <c r="M1365">
        <v>381.5</v>
      </c>
      <c r="N1365">
        <v>2543.33</v>
      </c>
      <c r="O1365">
        <v>2161.83</v>
      </c>
      <c r="P1365" t="s">
        <v>2111</v>
      </c>
      <c r="Q1365" t="s">
        <v>1809</v>
      </c>
    </row>
    <row r="1366" spans="1:17" x14ac:dyDescent="0.3">
      <c r="A1366" t="s">
        <v>1035</v>
      </c>
      <c r="B1366" t="s">
        <v>1034</v>
      </c>
      <c r="C1366" s="1">
        <v>46099</v>
      </c>
      <c r="D1366" t="s">
        <v>16</v>
      </c>
      <c r="E1366" t="s">
        <v>17</v>
      </c>
      <c r="F1366" t="s">
        <v>47</v>
      </c>
      <c r="G1366" t="s">
        <v>35</v>
      </c>
      <c r="H1366" t="s">
        <v>36</v>
      </c>
      <c r="I1366" t="s">
        <v>37</v>
      </c>
      <c r="J1366">
        <v>799</v>
      </c>
      <c r="K1366">
        <v>1</v>
      </c>
      <c r="L1366">
        <v>843.49</v>
      </c>
      <c r="M1366">
        <v>210.87</v>
      </c>
      <c r="N1366">
        <v>843.49</v>
      </c>
      <c r="O1366">
        <v>632.62</v>
      </c>
      <c r="P1366" t="s">
        <v>2114</v>
      </c>
      <c r="Q1366" t="s">
        <v>789</v>
      </c>
    </row>
    <row r="1367" spans="1:17" x14ac:dyDescent="0.3">
      <c r="A1367" t="s">
        <v>2712</v>
      </c>
      <c r="B1367" t="s">
        <v>275</v>
      </c>
      <c r="C1367" s="1">
        <v>46079</v>
      </c>
      <c r="D1367" t="s">
        <v>26</v>
      </c>
      <c r="E1367" t="s">
        <v>17</v>
      </c>
      <c r="F1367" t="s">
        <v>31</v>
      </c>
      <c r="G1367" t="s">
        <v>101</v>
      </c>
      <c r="H1367" t="s">
        <v>102</v>
      </c>
      <c r="I1367" t="s">
        <v>45</v>
      </c>
      <c r="J1367">
        <v>4999</v>
      </c>
      <c r="K1367">
        <v>1</v>
      </c>
      <c r="L1367">
        <v>4592.41</v>
      </c>
      <c r="M1367">
        <v>229.62</v>
      </c>
      <c r="N1367">
        <v>4592.41</v>
      </c>
      <c r="O1367">
        <v>4362.79</v>
      </c>
      <c r="P1367" t="s">
        <v>2111</v>
      </c>
      <c r="Q1367" t="s">
        <v>498</v>
      </c>
    </row>
    <row r="1368" spans="1:17" x14ac:dyDescent="0.3">
      <c r="A1368" t="s">
        <v>1838</v>
      </c>
      <c r="B1368" t="s">
        <v>1604</v>
      </c>
      <c r="C1368" s="1">
        <v>46176</v>
      </c>
      <c r="D1368" t="s">
        <v>16</v>
      </c>
      <c r="E1368" t="s">
        <v>42</v>
      </c>
      <c r="F1368" t="s">
        <v>60</v>
      </c>
      <c r="G1368" t="s">
        <v>149</v>
      </c>
      <c r="H1368" t="s">
        <v>150</v>
      </c>
      <c r="I1368" t="s">
        <v>37</v>
      </c>
      <c r="J1368">
        <v>2999</v>
      </c>
      <c r="K1368">
        <v>4</v>
      </c>
      <c r="L1368">
        <v>2802.66</v>
      </c>
      <c r="M1368">
        <v>1121.06</v>
      </c>
      <c r="N1368">
        <v>11210.64</v>
      </c>
      <c r="O1368">
        <v>10089.58</v>
      </c>
      <c r="P1368" t="s">
        <v>2111</v>
      </c>
      <c r="Q1368" t="s">
        <v>1809</v>
      </c>
    </row>
    <row r="1369" spans="1:17" x14ac:dyDescent="0.3">
      <c r="A1369" t="s">
        <v>2632</v>
      </c>
      <c r="B1369" t="s">
        <v>2633</v>
      </c>
      <c r="C1369" s="1">
        <v>46061</v>
      </c>
      <c r="D1369" t="s">
        <v>26</v>
      </c>
      <c r="E1369" t="s">
        <v>50</v>
      </c>
      <c r="F1369" t="s">
        <v>31</v>
      </c>
      <c r="G1369" t="s">
        <v>43</v>
      </c>
      <c r="H1369" t="s">
        <v>44</v>
      </c>
      <c r="I1369" t="s">
        <v>45</v>
      </c>
      <c r="J1369">
        <v>3299</v>
      </c>
      <c r="K1369">
        <v>3</v>
      </c>
      <c r="L1369">
        <v>2977.21</v>
      </c>
      <c r="M1369">
        <v>1339.74</v>
      </c>
      <c r="N1369">
        <v>8931.6299999999992</v>
      </c>
      <c r="O1369">
        <v>7591.89</v>
      </c>
      <c r="P1369" t="s">
        <v>2111</v>
      </c>
      <c r="Q1369" t="s">
        <v>498</v>
      </c>
    </row>
    <row r="1370" spans="1:17" x14ac:dyDescent="0.3">
      <c r="A1370" t="s">
        <v>1475</v>
      </c>
      <c r="B1370" t="s">
        <v>1474</v>
      </c>
      <c r="C1370" s="1">
        <v>46142</v>
      </c>
      <c r="D1370" t="s">
        <v>26</v>
      </c>
      <c r="E1370" t="s">
        <v>17</v>
      </c>
      <c r="F1370" t="s">
        <v>22</v>
      </c>
      <c r="G1370" t="s">
        <v>106</v>
      </c>
      <c r="H1370" t="s">
        <v>107</v>
      </c>
      <c r="I1370" t="s">
        <v>108</v>
      </c>
      <c r="J1370">
        <v>599</v>
      </c>
      <c r="K1370">
        <v>1</v>
      </c>
      <c r="L1370">
        <v>610.22</v>
      </c>
      <c r="M1370">
        <v>61.02</v>
      </c>
      <c r="N1370">
        <v>610.22</v>
      </c>
      <c r="O1370">
        <v>549.20000000000005</v>
      </c>
      <c r="P1370" t="s">
        <v>2111</v>
      </c>
      <c r="Q1370" t="s">
        <v>1170</v>
      </c>
    </row>
    <row r="1371" spans="1:17" x14ac:dyDescent="0.3">
      <c r="A1371" t="s">
        <v>2125</v>
      </c>
      <c r="B1371" t="s">
        <v>2126</v>
      </c>
      <c r="C1371" s="1">
        <v>46098</v>
      </c>
      <c r="D1371" t="s">
        <v>16</v>
      </c>
      <c r="E1371" t="s">
        <v>17</v>
      </c>
      <c r="F1371" t="s">
        <v>22</v>
      </c>
      <c r="G1371" t="s">
        <v>27</v>
      </c>
      <c r="H1371" t="s">
        <v>28</v>
      </c>
      <c r="I1371" t="s">
        <v>29</v>
      </c>
      <c r="J1371">
        <v>1599</v>
      </c>
      <c r="K1371">
        <v>1</v>
      </c>
      <c r="L1371">
        <v>1722.68</v>
      </c>
      <c r="M1371">
        <v>344.54</v>
      </c>
      <c r="N1371">
        <v>1722.68</v>
      </c>
      <c r="O1371">
        <v>1378.14</v>
      </c>
      <c r="P1371" t="s">
        <v>2111</v>
      </c>
      <c r="Q1371" t="s">
        <v>789</v>
      </c>
    </row>
    <row r="1372" spans="1:17" x14ac:dyDescent="0.3">
      <c r="A1372" t="s">
        <v>241</v>
      </c>
      <c r="B1372" t="s">
        <v>240</v>
      </c>
      <c r="C1372" s="1">
        <v>46034</v>
      </c>
      <c r="D1372" t="s">
        <v>26</v>
      </c>
      <c r="E1372" t="s">
        <v>17</v>
      </c>
      <c r="F1372" t="s">
        <v>22</v>
      </c>
      <c r="G1372" t="s">
        <v>56</v>
      </c>
      <c r="H1372" t="s">
        <v>57</v>
      </c>
      <c r="I1372" t="s">
        <v>58</v>
      </c>
      <c r="J1372">
        <v>8999</v>
      </c>
      <c r="K1372">
        <v>1</v>
      </c>
      <c r="L1372">
        <v>9306.16</v>
      </c>
      <c r="M1372">
        <v>1395.92</v>
      </c>
      <c r="N1372">
        <v>9306.16</v>
      </c>
      <c r="O1372">
        <v>7910.24</v>
      </c>
      <c r="P1372" t="s">
        <v>2114</v>
      </c>
      <c r="Q1372" t="s">
        <v>23</v>
      </c>
    </row>
    <row r="1373" spans="1:17" x14ac:dyDescent="0.3">
      <c r="A1373" t="s">
        <v>1394</v>
      </c>
      <c r="B1373" t="s">
        <v>1393</v>
      </c>
      <c r="C1373" s="1">
        <v>46135</v>
      </c>
      <c r="D1373" t="s">
        <v>34</v>
      </c>
      <c r="E1373" t="s">
        <v>50</v>
      </c>
      <c r="F1373" t="s">
        <v>60</v>
      </c>
      <c r="G1373" t="s">
        <v>149</v>
      </c>
      <c r="H1373" t="s">
        <v>150</v>
      </c>
      <c r="I1373" t="s">
        <v>37</v>
      </c>
      <c r="J1373">
        <v>2999</v>
      </c>
      <c r="K1373">
        <v>3</v>
      </c>
      <c r="L1373">
        <v>3288.13</v>
      </c>
      <c r="M1373">
        <v>0</v>
      </c>
      <c r="N1373">
        <v>9864.39</v>
      </c>
      <c r="O1373">
        <v>9864.39</v>
      </c>
      <c r="P1373" t="s">
        <v>2114</v>
      </c>
      <c r="Q1373" t="s">
        <v>1170</v>
      </c>
    </row>
    <row r="1374" spans="1:17" x14ac:dyDescent="0.3">
      <c r="A1374" t="s">
        <v>841</v>
      </c>
      <c r="B1374" t="s">
        <v>636</v>
      </c>
      <c r="C1374" s="1">
        <v>46085</v>
      </c>
      <c r="D1374" t="s">
        <v>16</v>
      </c>
      <c r="E1374" t="s">
        <v>17</v>
      </c>
      <c r="F1374" t="s">
        <v>47</v>
      </c>
      <c r="G1374" t="s">
        <v>355</v>
      </c>
      <c r="H1374" t="s">
        <v>356</v>
      </c>
      <c r="I1374" t="s">
        <v>82</v>
      </c>
      <c r="J1374">
        <v>499</v>
      </c>
      <c r="K1374">
        <v>1</v>
      </c>
      <c r="L1374">
        <v>455.39</v>
      </c>
      <c r="M1374">
        <v>113.85</v>
      </c>
      <c r="N1374">
        <v>455.39</v>
      </c>
      <c r="O1374">
        <v>341.54</v>
      </c>
      <c r="P1374" t="s">
        <v>2111</v>
      </c>
      <c r="Q1374" t="s">
        <v>789</v>
      </c>
    </row>
    <row r="1375" spans="1:17" x14ac:dyDescent="0.3">
      <c r="A1375" t="s">
        <v>543</v>
      </c>
      <c r="B1375" t="s">
        <v>542</v>
      </c>
      <c r="C1375" s="1">
        <v>46058</v>
      </c>
      <c r="D1375" t="s">
        <v>16</v>
      </c>
      <c r="E1375" t="s">
        <v>17</v>
      </c>
      <c r="F1375" t="s">
        <v>74</v>
      </c>
      <c r="G1375" t="s">
        <v>126</v>
      </c>
      <c r="H1375" t="s">
        <v>127</v>
      </c>
      <c r="I1375" t="s">
        <v>45</v>
      </c>
      <c r="J1375">
        <v>2499</v>
      </c>
      <c r="K1375">
        <v>1</v>
      </c>
      <c r="L1375">
        <v>2700.42</v>
      </c>
      <c r="M1375">
        <v>405.06</v>
      </c>
      <c r="N1375">
        <v>2700.42</v>
      </c>
      <c r="O1375">
        <v>2295.36</v>
      </c>
      <c r="P1375" t="s">
        <v>2111</v>
      </c>
      <c r="Q1375" t="s">
        <v>498</v>
      </c>
    </row>
    <row r="1376" spans="1:17" x14ac:dyDescent="0.3">
      <c r="A1376" t="s">
        <v>2774</v>
      </c>
      <c r="B1376" t="s">
        <v>858</v>
      </c>
      <c r="C1376" s="1">
        <v>46065</v>
      </c>
      <c r="D1376" t="s">
        <v>34</v>
      </c>
      <c r="E1376" t="s">
        <v>17</v>
      </c>
      <c r="F1376" t="s">
        <v>31</v>
      </c>
      <c r="G1376" t="s">
        <v>191</v>
      </c>
      <c r="H1376" t="s">
        <v>192</v>
      </c>
      <c r="I1376" t="s">
        <v>45</v>
      </c>
      <c r="J1376">
        <v>699</v>
      </c>
      <c r="K1376">
        <v>1</v>
      </c>
      <c r="L1376">
        <v>742.91</v>
      </c>
      <c r="M1376">
        <v>148.58000000000001</v>
      </c>
      <c r="N1376">
        <v>742.91</v>
      </c>
      <c r="O1376">
        <v>594.33000000000004</v>
      </c>
      <c r="P1376" t="s">
        <v>2111</v>
      </c>
      <c r="Q1376" t="s">
        <v>498</v>
      </c>
    </row>
    <row r="1377" spans="1:17" x14ac:dyDescent="0.3">
      <c r="A1377" t="s">
        <v>2607</v>
      </c>
      <c r="B1377" t="s">
        <v>666</v>
      </c>
      <c r="C1377" s="1">
        <v>46159</v>
      </c>
      <c r="D1377" t="s">
        <v>16</v>
      </c>
      <c r="E1377" t="s">
        <v>17</v>
      </c>
      <c r="F1377" t="s">
        <v>47</v>
      </c>
      <c r="G1377" t="s">
        <v>56</v>
      </c>
      <c r="H1377" t="s">
        <v>57</v>
      </c>
      <c r="I1377" t="s">
        <v>58</v>
      </c>
      <c r="J1377">
        <v>8999</v>
      </c>
      <c r="K1377">
        <v>1</v>
      </c>
      <c r="L1377">
        <v>8664.67</v>
      </c>
      <c r="M1377">
        <v>1299.7</v>
      </c>
      <c r="N1377">
        <v>8664.67</v>
      </c>
      <c r="O1377">
        <v>7364.97</v>
      </c>
      <c r="P1377" t="s">
        <v>2111</v>
      </c>
      <c r="Q1377" t="s">
        <v>1479</v>
      </c>
    </row>
    <row r="1378" spans="1:17" x14ac:dyDescent="0.3">
      <c r="A1378" t="s">
        <v>2775</v>
      </c>
      <c r="B1378" t="s">
        <v>2776</v>
      </c>
      <c r="C1378" s="1">
        <v>46104</v>
      </c>
      <c r="D1378" t="s">
        <v>16</v>
      </c>
      <c r="E1378" t="s">
        <v>17</v>
      </c>
      <c r="F1378" t="s">
        <v>22</v>
      </c>
      <c r="G1378" t="s">
        <v>165</v>
      </c>
      <c r="H1378" t="s">
        <v>166</v>
      </c>
      <c r="I1378" t="s">
        <v>29</v>
      </c>
      <c r="J1378">
        <v>449</v>
      </c>
      <c r="K1378">
        <v>1</v>
      </c>
      <c r="L1378">
        <v>491.52</v>
      </c>
      <c r="M1378">
        <v>98.3</v>
      </c>
      <c r="N1378">
        <v>491.52</v>
      </c>
      <c r="O1378">
        <v>393.22</v>
      </c>
      <c r="P1378" t="s">
        <v>2111</v>
      </c>
      <c r="Q1378" t="s">
        <v>789</v>
      </c>
    </row>
    <row r="1379" spans="1:17" x14ac:dyDescent="0.3">
      <c r="A1379" t="s">
        <v>2777</v>
      </c>
      <c r="B1379" t="s">
        <v>2778</v>
      </c>
      <c r="C1379" s="1">
        <v>46031</v>
      </c>
      <c r="D1379" t="s">
        <v>16</v>
      </c>
      <c r="E1379" t="s">
        <v>17</v>
      </c>
      <c r="F1379" t="s">
        <v>31</v>
      </c>
      <c r="G1379" t="s">
        <v>43</v>
      </c>
      <c r="H1379" t="s">
        <v>44</v>
      </c>
      <c r="I1379" t="s">
        <v>45</v>
      </c>
      <c r="J1379">
        <v>3299</v>
      </c>
      <c r="K1379">
        <v>1</v>
      </c>
      <c r="L1379">
        <v>3159.08</v>
      </c>
      <c r="M1379">
        <v>0</v>
      </c>
      <c r="N1379">
        <v>3159.08</v>
      </c>
      <c r="O1379">
        <v>3159.08</v>
      </c>
      <c r="P1379" t="s">
        <v>2111</v>
      </c>
      <c r="Q1379" t="s">
        <v>23</v>
      </c>
    </row>
    <row r="1380" spans="1:17" x14ac:dyDescent="0.3">
      <c r="A1380" t="s">
        <v>1285</v>
      </c>
      <c r="B1380" t="s">
        <v>580</v>
      </c>
      <c r="C1380" s="1">
        <v>46126</v>
      </c>
      <c r="D1380" t="s">
        <v>63</v>
      </c>
      <c r="E1380" t="s">
        <v>17</v>
      </c>
      <c r="F1380" t="s">
        <v>31</v>
      </c>
      <c r="G1380" t="s">
        <v>160</v>
      </c>
      <c r="H1380" t="s">
        <v>161</v>
      </c>
      <c r="I1380" t="s">
        <v>82</v>
      </c>
      <c r="J1380">
        <v>799</v>
      </c>
      <c r="K1380">
        <v>3</v>
      </c>
      <c r="L1380">
        <v>861.21</v>
      </c>
      <c r="M1380">
        <v>129.18</v>
      </c>
      <c r="N1380">
        <v>2583.63</v>
      </c>
      <c r="O1380">
        <v>2454.4499999999998</v>
      </c>
      <c r="P1380" t="s">
        <v>2111</v>
      </c>
      <c r="Q1380" t="s">
        <v>1170</v>
      </c>
    </row>
    <row r="1381" spans="1:17" x14ac:dyDescent="0.3">
      <c r="A1381" t="s">
        <v>2317</v>
      </c>
      <c r="B1381" t="s">
        <v>830</v>
      </c>
      <c r="C1381" s="1">
        <v>46161</v>
      </c>
      <c r="D1381" t="s">
        <v>16</v>
      </c>
      <c r="E1381" t="s">
        <v>17</v>
      </c>
      <c r="F1381" t="s">
        <v>31</v>
      </c>
      <c r="G1381" t="s">
        <v>160</v>
      </c>
      <c r="H1381" t="s">
        <v>161</v>
      </c>
      <c r="I1381" t="s">
        <v>82</v>
      </c>
      <c r="J1381">
        <v>799</v>
      </c>
      <c r="K1381">
        <v>3</v>
      </c>
      <c r="L1381">
        <v>859.84</v>
      </c>
      <c r="M1381">
        <v>515.9</v>
      </c>
      <c r="N1381">
        <v>2579.52</v>
      </c>
      <c r="O1381">
        <v>2063.62</v>
      </c>
      <c r="P1381" t="s">
        <v>2111</v>
      </c>
      <c r="Q1381" t="s">
        <v>1479</v>
      </c>
    </row>
    <row r="1382" spans="1:17" x14ac:dyDescent="0.3">
      <c r="A1382" t="s">
        <v>837</v>
      </c>
      <c r="B1382" t="s">
        <v>836</v>
      </c>
      <c r="C1382" s="1">
        <v>46084</v>
      </c>
      <c r="D1382" t="s">
        <v>16</v>
      </c>
      <c r="E1382" t="s">
        <v>17</v>
      </c>
      <c r="F1382" t="s">
        <v>74</v>
      </c>
      <c r="G1382" t="s">
        <v>91</v>
      </c>
      <c r="H1382" t="s">
        <v>92</v>
      </c>
      <c r="I1382" t="s">
        <v>37</v>
      </c>
      <c r="J1382">
        <v>1899</v>
      </c>
      <c r="K1382">
        <v>2</v>
      </c>
      <c r="L1382">
        <v>1996.86</v>
      </c>
      <c r="M1382">
        <v>199.69</v>
      </c>
      <c r="N1382">
        <v>3993.72</v>
      </c>
      <c r="O1382">
        <v>3794.03</v>
      </c>
      <c r="P1382" t="s">
        <v>2111</v>
      </c>
      <c r="Q1382" t="s">
        <v>789</v>
      </c>
    </row>
    <row r="1383" spans="1:17" x14ac:dyDescent="0.3">
      <c r="A1383" t="s">
        <v>497</v>
      </c>
      <c r="B1383" t="s">
        <v>496</v>
      </c>
      <c r="C1383" s="1">
        <v>46054</v>
      </c>
      <c r="D1383" t="s">
        <v>16</v>
      </c>
      <c r="E1383" t="s">
        <v>17</v>
      </c>
      <c r="F1383" t="s">
        <v>74</v>
      </c>
      <c r="G1383" t="s">
        <v>56</v>
      </c>
      <c r="H1383" t="s">
        <v>57</v>
      </c>
      <c r="I1383" t="s">
        <v>58</v>
      </c>
      <c r="J1383">
        <v>8999</v>
      </c>
      <c r="K1383">
        <v>1</v>
      </c>
      <c r="L1383">
        <v>9113.23</v>
      </c>
      <c r="M1383">
        <v>0</v>
      </c>
      <c r="N1383">
        <v>9113.23</v>
      </c>
      <c r="O1383">
        <v>9113.23</v>
      </c>
      <c r="P1383" t="s">
        <v>2111</v>
      </c>
      <c r="Q1383" t="s">
        <v>498</v>
      </c>
    </row>
    <row r="1384" spans="1:17" x14ac:dyDescent="0.3">
      <c r="A1384" t="s">
        <v>1740</v>
      </c>
      <c r="B1384" t="s">
        <v>479</v>
      </c>
      <c r="C1384" s="1">
        <v>46166</v>
      </c>
      <c r="D1384" t="s">
        <v>34</v>
      </c>
      <c r="E1384" t="s">
        <v>17</v>
      </c>
      <c r="F1384" t="s">
        <v>22</v>
      </c>
      <c r="G1384" t="s">
        <v>149</v>
      </c>
      <c r="H1384" t="s">
        <v>150</v>
      </c>
      <c r="I1384" t="s">
        <v>37</v>
      </c>
      <c r="J1384">
        <v>2999</v>
      </c>
      <c r="K1384">
        <v>1</v>
      </c>
      <c r="L1384">
        <v>2771.08</v>
      </c>
      <c r="M1384">
        <v>415.66</v>
      </c>
      <c r="N1384">
        <v>2771.08</v>
      </c>
      <c r="O1384">
        <v>2355.42</v>
      </c>
      <c r="P1384" t="s">
        <v>2111</v>
      </c>
      <c r="Q1384" t="s">
        <v>1479</v>
      </c>
    </row>
    <row r="1385" spans="1:17" x14ac:dyDescent="0.3">
      <c r="A1385" t="s">
        <v>1032</v>
      </c>
      <c r="B1385" t="s">
        <v>1031</v>
      </c>
      <c r="C1385" s="1">
        <v>46099</v>
      </c>
      <c r="D1385" t="s">
        <v>41</v>
      </c>
      <c r="E1385" t="s">
        <v>17</v>
      </c>
      <c r="F1385" t="s">
        <v>31</v>
      </c>
      <c r="G1385" t="s">
        <v>126</v>
      </c>
      <c r="H1385" t="s">
        <v>127</v>
      </c>
      <c r="I1385" t="s">
        <v>45</v>
      </c>
      <c r="J1385">
        <v>2499</v>
      </c>
      <c r="K1385">
        <v>2</v>
      </c>
      <c r="L1385">
        <v>2514.98</v>
      </c>
      <c r="M1385">
        <v>1005.99</v>
      </c>
      <c r="N1385">
        <v>5029.96</v>
      </c>
      <c r="O1385">
        <v>4023.97</v>
      </c>
      <c r="P1385" t="s">
        <v>2114</v>
      </c>
      <c r="Q1385" t="s">
        <v>789</v>
      </c>
    </row>
    <row r="1386" spans="1:17" x14ac:dyDescent="0.3">
      <c r="A1386" t="s">
        <v>474</v>
      </c>
      <c r="B1386" t="s">
        <v>473</v>
      </c>
      <c r="C1386" s="1">
        <v>46052</v>
      </c>
      <c r="D1386" t="s">
        <v>63</v>
      </c>
      <c r="E1386" t="s">
        <v>17</v>
      </c>
      <c r="F1386" t="s">
        <v>31</v>
      </c>
      <c r="G1386" t="s">
        <v>91</v>
      </c>
      <c r="H1386" t="s">
        <v>92</v>
      </c>
      <c r="I1386" t="s">
        <v>37</v>
      </c>
      <c r="J1386">
        <v>1899</v>
      </c>
      <c r="K1386">
        <v>1</v>
      </c>
      <c r="L1386">
        <v>1844.61</v>
      </c>
      <c r="M1386">
        <v>0</v>
      </c>
      <c r="N1386">
        <v>1844.61</v>
      </c>
      <c r="O1386">
        <v>1844.61</v>
      </c>
      <c r="P1386" t="s">
        <v>2111</v>
      </c>
      <c r="Q1386" t="s">
        <v>23</v>
      </c>
    </row>
    <row r="1387" spans="1:17" x14ac:dyDescent="0.3">
      <c r="A1387" t="s">
        <v>2485</v>
      </c>
      <c r="B1387" t="s">
        <v>2435</v>
      </c>
      <c r="C1387" s="1">
        <v>46111</v>
      </c>
      <c r="D1387" t="s">
        <v>41</v>
      </c>
      <c r="E1387" t="s">
        <v>17</v>
      </c>
      <c r="F1387" t="s">
        <v>31</v>
      </c>
      <c r="G1387" t="s">
        <v>51</v>
      </c>
      <c r="H1387" t="s">
        <v>52</v>
      </c>
      <c r="I1387" t="s">
        <v>20</v>
      </c>
      <c r="J1387">
        <v>999</v>
      </c>
      <c r="K1387">
        <v>3</v>
      </c>
      <c r="L1387">
        <v>1057.3800000000001</v>
      </c>
      <c r="M1387">
        <v>634.42999999999995</v>
      </c>
      <c r="N1387">
        <v>3172.14</v>
      </c>
      <c r="O1387">
        <v>2537.71</v>
      </c>
      <c r="P1387" t="s">
        <v>2111</v>
      </c>
      <c r="Q1387" t="s">
        <v>789</v>
      </c>
    </row>
    <row r="1388" spans="1:17" x14ac:dyDescent="0.3">
      <c r="A1388" t="s">
        <v>1697</v>
      </c>
      <c r="B1388" t="s">
        <v>1696</v>
      </c>
      <c r="C1388" s="1">
        <v>46161</v>
      </c>
      <c r="D1388" t="s">
        <v>41</v>
      </c>
      <c r="E1388" t="s">
        <v>17</v>
      </c>
      <c r="F1388" t="s">
        <v>22</v>
      </c>
      <c r="G1388" t="s">
        <v>86</v>
      </c>
      <c r="H1388" t="s">
        <v>87</v>
      </c>
      <c r="I1388" t="s">
        <v>82</v>
      </c>
      <c r="J1388">
        <v>3499</v>
      </c>
      <c r="K1388">
        <v>2</v>
      </c>
      <c r="L1388">
        <v>3679.64</v>
      </c>
      <c r="M1388">
        <v>1103.8900000000001</v>
      </c>
      <c r="N1388">
        <v>7359.28</v>
      </c>
      <c r="O1388">
        <v>6255.39</v>
      </c>
      <c r="P1388" t="s">
        <v>2111</v>
      </c>
      <c r="Q1388" t="s">
        <v>1479</v>
      </c>
    </row>
    <row r="1389" spans="1:17" x14ac:dyDescent="0.3">
      <c r="A1389" t="s">
        <v>1388</v>
      </c>
      <c r="B1389" t="s">
        <v>1387</v>
      </c>
      <c r="C1389" s="1">
        <v>46135</v>
      </c>
      <c r="D1389" t="s">
        <v>63</v>
      </c>
      <c r="E1389" t="s">
        <v>17</v>
      </c>
      <c r="F1389" t="s">
        <v>47</v>
      </c>
      <c r="G1389" t="s">
        <v>80</v>
      </c>
      <c r="H1389" t="s">
        <v>81</v>
      </c>
      <c r="I1389" t="s">
        <v>82</v>
      </c>
      <c r="J1389">
        <v>4299</v>
      </c>
      <c r="K1389">
        <v>1</v>
      </c>
      <c r="L1389">
        <v>4652.04</v>
      </c>
      <c r="M1389">
        <v>465.2</v>
      </c>
      <c r="N1389">
        <v>4652.04</v>
      </c>
      <c r="O1389">
        <v>4186.84</v>
      </c>
      <c r="P1389" t="s">
        <v>2114</v>
      </c>
      <c r="Q1389" t="s">
        <v>1170</v>
      </c>
    </row>
    <row r="1390" spans="1:17" x14ac:dyDescent="0.3">
      <c r="A1390" t="s">
        <v>2544</v>
      </c>
      <c r="B1390" t="s">
        <v>2545</v>
      </c>
      <c r="C1390" s="1">
        <v>46065</v>
      </c>
      <c r="D1390" t="s">
        <v>16</v>
      </c>
      <c r="E1390" t="s">
        <v>17</v>
      </c>
      <c r="F1390" t="s">
        <v>47</v>
      </c>
      <c r="G1390" t="s">
        <v>112</v>
      </c>
      <c r="H1390" t="s">
        <v>113</v>
      </c>
      <c r="I1390" t="s">
        <v>37</v>
      </c>
      <c r="J1390">
        <v>1499</v>
      </c>
      <c r="K1390">
        <v>3</v>
      </c>
      <c r="L1390">
        <v>1353.55</v>
      </c>
      <c r="M1390">
        <v>812.13</v>
      </c>
      <c r="N1390">
        <v>4060.65</v>
      </c>
      <c r="O1390">
        <v>3248.52</v>
      </c>
      <c r="P1390" t="s">
        <v>2111</v>
      </c>
      <c r="Q1390" t="s">
        <v>498</v>
      </c>
    </row>
    <row r="1391" spans="1:17" x14ac:dyDescent="0.3">
      <c r="A1391" t="s">
        <v>2145</v>
      </c>
      <c r="B1391" t="s">
        <v>322</v>
      </c>
      <c r="C1391" s="1">
        <v>46136</v>
      </c>
      <c r="D1391" t="s">
        <v>26</v>
      </c>
      <c r="E1391" t="s">
        <v>50</v>
      </c>
      <c r="F1391" t="s">
        <v>22</v>
      </c>
      <c r="G1391" t="s">
        <v>56</v>
      </c>
      <c r="H1391" t="s">
        <v>57</v>
      </c>
      <c r="I1391" t="s">
        <v>58</v>
      </c>
      <c r="J1391">
        <v>8999</v>
      </c>
      <c r="K1391">
        <v>3</v>
      </c>
      <c r="L1391">
        <v>9555.32</v>
      </c>
      <c r="M1391">
        <v>2866.6</v>
      </c>
      <c r="N1391">
        <v>28665.96</v>
      </c>
      <c r="O1391">
        <v>25799.360000000001</v>
      </c>
      <c r="P1391" t="s">
        <v>2111</v>
      </c>
      <c r="Q1391" t="s">
        <v>1170</v>
      </c>
    </row>
    <row r="1392" spans="1:17" x14ac:dyDescent="0.3">
      <c r="A1392" t="s">
        <v>673</v>
      </c>
      <c r="B1392" t="s">
        <v>672</v>
      </c>
      <c r="C1392" s="1">
        <v>46071</v>
      </c>
      <c r="D1392" t="s">
        <v>63</v>
      </c>
      <c r="E1392" t="s">
        <v>50</v>
      </c>
      <c r="F1392" t="s">
        <v>31</v>
      </c>
      <c r="G1392" t="s">
        <v>355</v>
      </c>
      <c r="H1392" t="s">
        <v>356</v>
      </c>
      <c r="I1392" t="s">
        <v>82</v>
      </c>
      <c r="J1392">
        <v>499</v>
      </c>
      <c r="K1392">
        <v>1</v>
      </c>
      <c r="L1392">
        <v>542.76</v>
      </c>
      <c r="M1392">
        <v>0</v>
      </c>
      <c r="N1392">
        <v>542.76</v>
      </c>
      <c r="O1392">
        <v>542.76</v>
      </c>
      <c r="P1392" t="s">
        <v>2111</v>
      </c>
      <c r="Q1392" t="s">
        <v>498</v>
      </c>
    </row>
    <row r="1393" spans="1:17" x14ac:dyDescent="0.3">
      <c r="A1393" t="s">
        <v>1291</v>
      </c>
      <c r="B1393" t="s">
        <v>1290</v>
      </c>
      <c r="C1393" s="1">
        <v>46126</v>
      </c>
      <c r="D1393" t="s">
        <v>41</v>
      </c>
      <c r="E1393" t="s">
        <v>17</v>
      </c>
      <c r="F1393" t="s">
        <v>31</v>
      </c>
      <c r="G1393" t="s">
        <v>35</v>
      </c>
      <c r="H1393" t="s">
        <v>36</v>
      </c>
      <c r="I1393" t="s">
        <v>37</v>
      </c>
      <c r="J1393">
        <v>799</v>
      </c>
      <c r="K1393">
        <v>1</v>
      </c>
      <c r="L1393">
        <v>845.23</v>
      </c>
      <c r="M1393">
        <v>42.26</v>
      </c>
      <c r="N1393">
        <v>845.23</v>
      </c>
      <c r="O1393">
        <v>802.97</v>
      </c>
      <c r="P1393" t="s">
        <v>2111</v>
      </c>
      <c r="Q1393" t="s">
        <v>1170</v>
      </c>
    </row>
    <row r="1394" spans="1:17" x14ac:dyDescent="0.3">
      <c r="A1394" t="s">
        <v>2779</v>
      </c>
      <c r="B1394" t="s">
        <v>2780</v>
      </c>
      <c r="C1394" s="1">
        <v>46113</v>
      </c>
      <c r="D1394" t="s">
        <v>26</v>
      </c>
      <c r="E1394" t="s">
        <v>17</v>
      </c>
      <c r="F1394" t="s">
        <v>47</v>
      </c>
      <c r="G1394" t="s">
        <v>355</v>
      </c>
      <c r="H1394" t="s">
        <v>356</v>
      </c>
      <c r="I1394" t="s">
        <v>82</v>
      </c>
      <c r="J1394">
        <v>499</v>
      </c>
      <c r="K1394">
        <v>1</v>
      </c>
      <c r="L1394">
        <v>462.09</v>
      </c>
      <c r="M1394">
        <v>46.21</v>
      </c>
      <c r="N1394">
        <v>462.09</v>
      </c>
      <c r="O1394">
        <v>415.88</v>
      </c>
      <c r="P1394" t="s">
        <v>2111</v>
      </c>
      <c r="Q1394" t="s">
        <v>1170</v>
      </c>
    </row>
    <row r="1395" spans="1:17" x14ac:dyDescent="0.3">
      <c r="A1395" t="s">
        <v>2781</v>
      </c>
      <c r="B1395" t="s">
        <v>2782</v>
      </c>
      <c r="C1395" s="1">
        <v>46066</v>
      </c>
      <c r="D1395" t="s">
        <v>34</v>
      </c>
      <c r="E1395" t="s">
        <v>50</v>
      </c>
      <c r="F1395" t="s">
        <v>74</v>
      </c>
      <c r="G1395" t="s">
        <v>56</v>
      </c>
      <c r="H1395" t="s">
        <v>57</v>
      </c>
      <c r="I1395" t="s">
        <v>58</v>
      </c>
      <c r="J1395">
        <v>8999</v>
      </c>
      <c r="K1395">
        <v>1</v>
      </c>
      <c r="L1395">
        <v>8245.39</v>
      </c>
      <c r="M1395">
        <v>824.54</v>
      </c>
      <c r="N1395">
        <v>8245.39</v>
      </c>
      <c r="O1395">
        <v>7420.85</v>
      </c>
      <c r="P1395" t="s">
        <v>2114</v>
      </c>
      <c r="Q1395" t="s">
        <v>498</v>
      </c>
    </row>
    <row r="1396" spans="1:17" x14ac:dyDescent="0.3">
      <c r="A1396" t="s">
        <v>831</v>
      </c>
      <c r="B1396" t="s">
        <v>830</v>
      </c>
      <c r="C1396" s="1">
        <v>46084</v>
      </c>
      <c r="D1396" t="s">
        <v>16</v>
      </c>
      <c r="E1396" t="s">
        <v>50</v>
      </c>
      <c r="F1396" t="s">
        <v>60</v>
      </c>
      <c r="G1396" t="s">
        <v>91</v>
      </c>
      <c r="H1396" t="s">
        <v>92</v>
      </c>
      <c r="I1396" t="s">
        <v>37</v>
      </c>
      <c r="J1396">
        <v>1899</v>
      </c>
      <c r="K1396">
        <v>1</v>
      </c>
      <c r="L1396">
        <v>1717.02</v>
      </c>
      <c r="M1396">
        <v>257.55</v>
      </c>
      <c r="N1396">
        <v>1717.02</v>
      </c>
      <c r="O1396">
        <v>1459.47</v>
      </c>
      <c r="P1396" t="s">
        <v>2111</v>
      </c>
      <c r="Q1396" t="s">
        <v>789</v>
      </c>
    </row>
    <row r="1397" spans="1:17" x14ac:dyDescent="0.3">
      <c r="A1397" t="s">
        <v>2281</v>
      </c>
      <c r="B1397" t="s">
        <v>2282</v>
      </c>
      <c r="C1397" s="1">
        <v>46116</v>
      </c>
      <c r="D1397" t="s">
        <v>41</v>
      </c>
      <c r="E1397" t="s">
        <v>50</v>
      </c>
      <c r="F1397" t="s">
        <v>60</v>
      </c>
      <c r="G1397" t="s">
        <v>51</v>
      </c>
      <c r="H1397" t="s">
        <v>52</v>
      </c>
      <c r="I1397" t="s">
        <v>20</v>
      </c>
      <c r="J1397">
        <v>999</v>
      </c>
      <c r="K1397">
        <v>1</v>
      </c>
      <c r="L1397">
        <v>1024.72</v>
      </c>
      <c r="M1397">
        <v>153.71</v>
      </c>
      <c r="N1397">
        <v>1024.72</v>
      </c>
      <c r="O1397">
        <v>871.01</v>
      </c>
      <c r="P1397" t="s">
        <v>2114</v>
      </c>
      <c r="Q1397" t="s">
        <v>1170</v>
      </c>
    </row>
    <row r="1398" spans="1:17" x14ac:dyDescent="0.3">
      <c r="A1398" t="s">
        <v>2386</v>
      </c>
      <c r="B1398" t="s">
        <v>2387</v>
      </c>
      <c r="C1398" s="1">
        <v>46082</v>
      </c>
      <c r="D1398" t="s">
        <v>63</v>
      </c>
      <c r="E1398" t="s">
        <v>50</v>
      </c>
      <c r="F1398" t="s">
        <v>47</v>
      </c>
      <c r="G1398" t="s">
        <v>86</v>
      </c>
      <c r="H1398" t="s">
        <v>87</v>
      </c>
      <c r="I1398" t="s">
        <v>82</v>
      </c>
      <c r="J1398">
        <v>3499</v>
      </c>
      <c r="K1398">
        <v>3</v>
      </c>
      <c r="L1398">
        <v>3589.74</v>
      </c>
      <c r="M1398">
        <v>1076.92</v>
      </c>
      <c r="N1398">
        <v>10769.22</v>
      </c>
      <c r="O1398">
        <v>9692.2999999999993</v>
      </c>
      <c r="P1398" t="s">
        <v>2111</v>
      </c>
      <c r="Q1398" t="s">
        <v>789</v>
      </c>
    </row>
    <row r="1399" spans="1:17" x14ac:dyDescent="0.3">
      <c r="A1399" t="s">
        <v>2350</v>
      </c>
      <c r="B1399" t="s">
        <v>2351</v>
      </c>
      <c r="C1399" s="1">
        <v>46106</v>
      </c>
      <c r="D1399" t="s">
        <v>34</v>
      </c>
      <c r="E1399" t="s">
        <v>17</v>
      </c>
      <c r="F1399" t="s">
        <v>60</v>
      </c>
      <c r="G1399" t="s">
        <v>149</v>
      </c>
      <c r="H1399" t="s">
        <v>150</v>
      </c>
      <c r="I1399" t="s">
        <v>37</v>
      </c>
      <c r="J1399">
        <v>2999</v>
      </c>
      <c r="K1399">
        <v>1</v>
      </c>
      <c r="L1399">
        <v>3291.05</v>
      </c>
      <c r="M1399">
        <v>493.66</v>
      </c>
      <c r="N1399">
        <v>3291.05</v>
      </c>
      <c r="O1399">
        <v>2797.39</v>
      </c>
      <c r="P1399" t="s">
        <v>2111</v>
      </c>
      <c r="Q1399" t="s">
        <v>789</v>
      </c>
    </row>
    <row r="1400" spans="1:17" x14ac:dyDescent="0.3">
      <c r="A1400" t="s">
        <v>2732</v>
      </c>
      <c r="B1400" t="s">
        <v>1835</v>
      </c>
      <c r="C1400" s="1">
        <v>46066</v>
      </c>
      <c r="D1400" t="s">
        <v>41</v>
      </c>
      <c r="E1400" t="s">
        <v>17</v>
      </c>
      <c r="F1400" t="s">
        <v>74</v>
      </c>
      <c r="G1400" t="s">
        <v>149</v>
      </c>
      <c r="H1400" t="s">
        <v>150</v>
      </c>
      <c r="I1400" t="s">
        <v>37</v>
      </c>
      <c r="J1400">
        <v>2999</v>
      </c>
      <c r="K1400">
        <v>1</v>
      </c>
      <c r="L1400">
        <v>2937.85</v>
      </c>
      <c r="M1400">
        <v>0</v>
      </c>
      <c r="N1400">
        <v>2937.85</v>
      </c>
      <c r="O1400">
        <v>2937.85</v>
      </c>
      <c r="P1400" t="s">
        <v>2111</v>
      </c>
      <c r="Q1400" t="s">
        <v>498</v>
      </c>
    </row>
    <row r="1401" spans="1:17" x14ac:dyDescent="0.3">
      <c r="A1401" t="s">
        <v>2425</v>
      </c>
      <c r="B1401" t="s">
        <v>1493</v>
      </c>
      <c r="C1401" s="1">
        <v>46150</v>
      </c>
      <c r="D1401" t="s">
        <v>26</v>
      </c>
      <c r="E1401" t="s">
        <v>50</v>
      </c>
      <c r="F1401" t="s">
        <v>31</v>
      </c>
      <c r="G1401" t="s">
        <v>106</v>
      </c>
      <c r="H1401" t="s">
        <v>107</v>
      </c>
      <c r="I1401" t="s">
        <v>108</v>
      </c>
      <c r="J1401">
        <v>599</v>
      </c>
      <c r="K1401">
        <v>2</v>
      </c>
      <c r="L1401">
        <v>578.86</v>
      </c>
      <c r="M1401">
        <v>0</v>
      </c>
      <c r="N1401">
        <v>1157.72</v>
      </c>
      <c r="O1401">
        <v>1157.72</v>
      </c>
      <c r="P1401" t="s">
        <v>2111</v>
      </c>
      <c r="Q1401" t="s">
        <v>1479</v>
      </c>
    </row>
    <row r="1402" spans="1:17" x14ac:dyDescent="0.3">
      <c r="A1402" t="s">
        <v>2783</v>
      </c>
      <c r="B1402" t="s">
        <v>2527</v>
      </c>
      <c r="C1402" s="1">
        <v>46096</v>
      </c>
      <c r="D1402" t="s">
        <v>26</v>
      </c>
      <c r="E1402" t="s">
        <v>17</v>
      </c>
      <c r="F1402" t="s">
        <v>31</v>
      </c>
      <c r="G1402" t="s">
        <v>91</v>
      </c>
      <c r="H1402" t="s">
        <v>92</v>
      </c>
      <c r="I1402" t="s">
        <v>37</v>
      </c>
      <c r="J1402">
        <v>1899</v>
      </c>
      <c r="K1402">
        <v>1</v>
      </c>
      <c r="L1402">
        <v>1946.26</v>
      </c>
      <c r="M1402">
        <v>389.25</v>
      </c>
      <c r="N1402">
        <v>1946.26</v>
      </c>
      <c r="O1402">
        <v>1557.01</v>
      </c>
      <c r="P1402" t="s">
        <v>2111</v>
      </c>
      <c r="Q1402" t="s">
        <v>789</v>
      </c>
    </row>
    <row r="1403" spans="1:17" x14ac:dyDescent="0.3">
      <c r="A1403" t="s">
        <v>2267</v>
      </c>
      <c r="B1403" t="s">
        <v>2268</v>
      </c>
      <c r="C1403" s="1">
        <v>46177</v>
      </c>
      <c r="D1403" t="s">
        <v>16</v>
      </c>
      <c r="E1403" t="s">
        <v>50</v>
      </c>
      <c r="F1403" t="s">
        <v>31</v>
      </c>
      <c r="G1403" t="s">
        <v>56</v>
      </c>
      <c r="H1403" t="s">
        <v>57</v>
      </c>
      <c r="I1403" t="s">
        <v>58</v>
      </c>
      <c r="J1403">
        <v>8999</v>
      </c>
      <c r="K1403">
        <v>2</v>
      </c>
      <c r="L1403">
        <v>9585.0300000000007</v>
      </c>
      <c r="M1403">
        <v>0</v>
      </c>
      <c r="N1403">
        <v>19170.060000000001</v>
      </c>
      <c r="O1403">
        <v>19170.060000000001</v>
      </c>
      <c r="P1403" t="s">
        <v>2111</v>
      </c>
      <c r="Q1403" t="s">
        <v>1809</v>
      </c>
    </row>
    <row r="1404" spans="1:17" x14ac:dyDescent="0.3">
      <c r="A1404" t="s">
        <v>567</v>
      </c>
      <c r="B1404" t="s">
        <v>566</v>
      </c>
      <c r="C1404" s="1">
        <v>46060</v>
      </c>
      <c r="D1404" t="s">
        <v>16</v>
      </c>
      <c r="E1404" t="s">
        <v>17</v>
      </c>
      <c r="F1404" t="s">
        <v>31</v>
      </c>
      <c r="G1404" t="s">
        <v>149</v>
      </c>
      <c r="H1404" t="s">
        <v>150</v>
      </c>
      <c r="I1404" t="s">
        <v>37</v>
      </c>
      <c r="J1404">
        <v>2999</v>
      </c>
      <c r="K1404">
        <v>1</v>
      </c>
      <c r="L1404">
        <v>3260.98</v>
      </c>
      <c r="M1404">
        <v>163.05000000000001</v>
      </c>
      <c r="N1404">
        <v>3260.98</v>
      </c>
      <c r="O1404">
        <v>3097.93</v>
      </c>
      <c r="P1404" t="s">
        <v>2111</v>
      </c>
      <c r="Q1404" t="s">
        <v>498</v>
      </c>
    </row>
    <row r="1405" spans="1:17" x14ac:dyDescent="0.3">
      <c r="A1405" t="s">
        <v>2240</v>
      </c>
      <c r="B1405" t="s">
        <v>2241</v>
      </c>
      <c r="C1405" s="1">
        <v>46045</v>
      </c>
      <c r="D1405" t="s">
        <v>26</v>
      </c>
      <c r="E1405" t="s">
        <v>17</v>
      </c>
      <c r="F1405" t="s">
        <v>60</v>
      </c>
      <c r="G1405" t="s">
        <v>250</v>
      </c>
      <c r="H1405" t="s">
        <v>251</v>
      </c>
      <c r="I1405" t="s">
        <v>108</v>
      </c>
      <c r="J1405">
        <v>899</v>
      </c>
      <c r="K1405">
        <v>1</v>
      </c>
      <c r="L1405">
        <v>953.5</v>
      </c>
      <c r="M1405">
        <v>143.02000000000001</v>
      </c>
      <c r="N1405">
        <v>953.5</v>
      </c>
      <c r="O1405">
        <v>810.48</v>
      </c>
      <c r="P1405" t="s">
        <v>2111</v>
      </c>
      <c r="Q1405" t="s">
        <v>23</v>
      </c>
    </row>
    <row r="1406" spans="1:17" x14ac:dyDescent="0.3">
      <c r="A1406" t="s">
        <v>1957</v>
      </c>
      <c r="B1406" t="s">
        <v>1956</v>
      </c>
      <c r="C1406" s="1">
        <v>46189</v>
      </c>
      <c r="D1406" t="s">
        <v>16</v>
      </c>
      <c r="E1406" t="s">
        <v>50</v>
      </c>
      <c r="F1406" t="s">
        <v>47</v>
      </c>
      <c r="G1406" t="s">
        <v>43</v>
      </c>
      <c r="H1406" t="s">
        <v>44</v>
      </c>
      <c r="I1406" t="s">
        <v>45</v>
      </c>
      <c r="J1406">
        <v>3299</v>
      </c>
      <c r="K1406">
        <v>1</v>
      </c>
      <c r="L1406">
        <v>3250.62</v>
      </c>
      <c r="M1406">
        <v>325.06</v>
      </c>
      <c r="N1406">
        <v>3250.62</v>
      </c>
      <c r="O1406">
        <v>2925.56</v>
      </c>
      <c r="P1406" t="s">
        <v>2111</v>
      </c>
      <c r="Q1406" t="s">
        <v>1809</v>
      </c>
    </row>
    <row r="1407" spans="1:17" x14ac:dyDescent="0.3">
      <c r="A1407" t="s">
        <v>2678</v>
      </c>
      <c r="B1407" t="s">
        <v>2025</v>
      </c>
      <c r="C1407" s="1">
        <v>46153</v>
      </c>
      <c r="D1407" t="s">
        <v>16</v>
      </c>
      <c r="E1407" t="s">
        <v>50</v>
      </c>
      <c r="F1407" t="s">
        <v>74</v>
      </c>
      <c r="G1407" t="s">
        <v>80</v>
      </c>
      <c r="H1407" t="s">
        <v>81</v>
      </c>
      <c r="I1407" t="s">
        <v>82</v>
      </c>
      <c r="J1407">
        <v>4299</v>
      </c>
      <c r="K1407">
        <v>2</v>
      </c>
      <c r="L1407">
        <v>4415</v>
      </c>
      <c r="M1407">
        <v>1766</v>
      </c>
      <c r="N1407">
        <v>8830</v>
      </c>
      <c r="O1407">
        <v>7064</v>
      </c>
      <c r="P1407" t="s">
        <v>2111</v>
      </c>
      <c r="Q1407" t="s">
        <v>1479</v>
      </c>
    </row>
    <row r="1408" spans="1:17" x14ac:dyDescent="0.3">
      <c r="A1408" t="s">
        <v>1814</v>
      </c>
      <c r="B1408" t="s">
        <v>1183</v>
      </c>
      <c r="C1408" s="1">
        <v>46174</v>
      </c>
      <c r="D1408" t="s">
        <v>26</v>
      </c>
      <c r="E1408" t="s">
        <v>17</v>
      </c>
      <c r="F1408" t="s">
        <v>22</v>
      </c>
      <c r="G1408" t="s">
        <v>96</v>
      </c>
      <c r="H1408" t="s">
        <v>97</v>
      </c>
      <c r="I1408" t="s">
        <v>58</v>
      </c>
      <c r="J1408">
        <v>7499</v>
      </c>
      <c r="K1408">
        <v>1</v>
      </c>
      <c r="L1408">
        <v>8033.38</v>
      </c>
      <c r="M1408">
        <v>401.67</v>
      </c>
      <c r="N1408">
        <v>8033.38</v>
      </c>
      <c r="O1408">
        <v>7631.71</v>
      </c>
      <c r="P1408" t="s">
        <v>2111</v>
      </c>
      <c r="Q1408" t="s">
        <v>1809</v>
      </c>
    </row>
    <row r="1409" spans="1:17" x14ac:dyDescent="0.3">
      <c r="A1409" t="s">
        <v>377</v>
      </c>
      <c r="B1409" t="s">
        <v>343</v>
      </c>
      <c r="C1409" s="1">
        <v>46043</v>
      </c>
      <c r="D1409" t="s">
        <v>26</v>
      </c>
      <c r="E1409" t="s">
        <v>17</v>
      </c>
      <c r="F1409" t="s">
        <v>74</v>
      </c>
      <c r="G1409" t="s">
        <v>355</v>
      </c>
      <c r="H1409" t="s">
        <v>356</v>
      </c>
      <c r="I1409" t="s">
        <v>82</v>
      </c>
      <c r="J1409">
        <v>499</v>
      </c>
      <c r="K1409">
        <v>2</v>
      </c>
      <c r="L1409">
        <v>498.06</v>
      </c>
      <c r="M1409">
        <v>0</v>
      </c>
      <c r="N1409">
        <v>996.12</v>
      </c>
      <c r="O1409">
        <v>996.12</v>
      </c>
      <c r="P1409" t="s">
        <v>2111</v>
      </c>
      <c r="Q1409" t="s">
        <v>23</v>
      </c>
    </row>
    <row r="1410" spans="1:17" x14ac:dyDescent="0.3">
      <c r="A1410" t="s">
        <v>2784</v>
      </c>
      <c r="B1410" t="s">
        <v>368</v>
      </c>
      <c r="C1410" s="1">
        <v>46140</v>
      </c>
      <c r="D1410" t="s">
        <v>26</v>
      </c>
      <c r="E1410" t="s">
        <v>17</v>
      </c>
      <c r="F1410" t="s">
        <v>74</v>
      </c>
      <c r="G1410" t="s">
        <v>91</v>
      </c>
      <c r="H1410" t="s">
        <v>92</v>
      </c>
      <c r="I1410" t="s">
        <v>37</v>
      </c>
      <c r="J1410">
        <v>1899</v>
      </c>
      <c r="K1410">
        <v>1</v>
      </c>
      <c r="L1410">
        <v>1791.4</v>
      </c>
      <c r="M1410">
        <v>89.57</v>
      </c>
      <c r="N1410">
        <v>1791.4</v>
      </c>
      <c r="O1410">
        <v>1701.83</v>
      </c>
      <c r="P1410" t="s">
        <v>2111</v>
      </c>
      <c r="Q1410" t="s">
        <v>1170</v>
      </c>
    </row>
    <row r="1411" spans="1:17" x14ac:dyDescent="0.3">
      <c r="A1411" t="s">
        <v>575</v>
      </c>
      <c r="B1411" t="s">
        <v>574</v>
      </c>
      <c r="C1411" s="1">
        <v>46061</v>
      </c>
      <c r="D1411" t="s">
        <v>34</v>
      </c>
      <c r="E1411" t="s">
        <v>17</v>
      </c>
      <c r="F1411" t="s">
        <v>22</v>
      </c>
      <c r="G1411" t="s">
        <v>27</v>
      </c>
      <c r="H1411" t="s">
        <v>28</v>
      </c>
      <c r="I1411" t="s">
        <v>29</v>
      </c>
      <c r="J1411">
        <v>1599</v>
      </c>
      <c r="K1411">
        <v>1</v>
      </c>
      <c r="L1411">
        <v>1493.38</v>
      </c>
      <c r="M1411">
        <v>149.34</v>
      </c>
      <c r="N1411">
        <v>1493.38</v>
      </c>
      <c r="O1411">
        <v>1344.04</v>
      </c>
      <c r="P1411" t="s">
        <v>2111</v>
      </c>
      <c r="Q1411" t="s">
        <v>498</v>
      </c>
    </row>
    <row r="1412" spans="1:17" x14ac:dyDescent="0.3">
      <c r="A1412" t="s">
        <v>1789</v>
      </c>
      <c r="B1412" t="s">
        <v>1788</v>
      </c>
      <c r="C1412" s="1">
        <v>46172</v>
      </c>
      <c r="D1412" t="s">
        <v>63</v>
      </c>
      <c r="E1412" t="s">
        <v>42</v>
      </c>
      <c r="F1412" t="s">
        <v>22</v>
      </c>
      <c r="G1412" t="s">
        <v>160</v>
      </c>
      <c r="H1412" t="s">
        <v>161</v>
      </c>
      <c r="I1412" t="s">
        <v>82</v>
      </c>
      <c r="J1412">
        <v>799</v>
      </c>
      <c r="K1412">
        <v>1</v>
      </c>
      <c r="L1412">
        <v>719.13</v>
      </c>
      <c r="M1412">
        <v>35.96</v>
      </c>
      <c r="N1412">
        <v>719.13</v>
      </c>
      <c r="O1412">
        <v>683.17</v>
      </c>
      <c r="P1412" t="s">
        <v>2111</v>
      </c>
      <c r="Q1412" t="s">
        <v>1479</v>
      </c>
    </row>
    <row r="1413" spans="1:17" x14ac:dyDescent="0.3">
      <c r="A1413" t="s">
        <v>2553</v>
      </c>
      <c r="B1413" t="s">
        <v>243</v>
      </c>
      <c r="C1413" s="1">
        <v>46037</v>
      </c>
      <c r="D1413" t="s">
        <v>34</v>
      </c>
      <c r="E1413" t="s">
        <v>17</v>
      </c>
      <c r="F1413" t="s">
        <v>74</v>
      </c>
      <c r="G1413" t="s">
        <v>27</v>
      </c>
      <c r="H1413" t="s">
        <v>28</v>
      </c>
      <c r="I1413" t="s">
        <v>29</v>
      </c>
      <c r="J1413">
        <v>1599</v>
      </c>
      <c r="K1413">
        <v>3</v>
      </c>
      <c r="L1413">
        <v>1668.79</v>
      </c>
      <c r="M1413">
        <v>500.64</v>
      </c>
      <c r="N1413">
        <v>5006.37</v>
      </c>
      <c r="O1413">
        <v>4505.7299999999996</v>
      </c>
      <c r="P1413" t="s">
        <v>2111</v>
      </c>
      <c r="Q1413" t="s">
        <v>23</v>
      </c>
    </row>
    <row r="1414" spans="1:17" x14ac:dyDescent="0.3">
      <c r="A1414" t="s">
        <v>2372</v>
      </c>
      <c r="B1414" t="s">
        <v>571</v>
      </c>
      <c r="C1414" s="1">
        <v>46129</v>
      </c>
      <c r="D1414" t="s">
        <v>26</v>
      </c>
      <c r="E1414" t="s">
        <v>42</v>
      </c>
      <c r="F1414" t="s">
        <v>60</v>
      </c>
      <c r="G1414" t="s">
        <v>126</v>
      </c>
      <c r="H1414" t="s">
        <v>127</v>
      </c>
      <c r="I1414" t="s">
        <v>45</v>
      </c>
      <c r="J1414">
        <v>2499</v>
      </c>
      <c r="K1414">
        <v>3</v>
      </c>
      <c r="L1414">
        <v>2304.63</v>
      </c>
      <c r="M1414">
        <v>1382.78</v>
      </c>
      <c r="N1414">
        <v>6913.89</v>
      </c>
      <c r="O1414">
        <v>5531.11</v>
      </c>
      <c r="P1414" t="s">
        <v>2111</v>
      </c>
      <c r="Q1414" t="s">
        <v>1170</v>
      </c>
    </row>
    <row r="1415" spans="1:17" x14ac:dyDescent="0.3">
      <c r="A1415" t="s">
        <v>2785</v>
      </c>
      <c r="B1415" t="s">
        <v>2135</v>
      </c>
      <c r="C1415" s="1">
        <v>46197</v>
      </c>
      <c r="D1415" t="s">
        <v>41</v>
      </c>
      <c r="E1415" t="s">
        <v>50</v>
      </c>
      <c r="F1415" t="s">
        <v>31</v>
      </c>
      <c r="G1415" t="s">
        <v>250</v>
      </c>
      <c r="H1415" t="s">
        <v>251</v>
      </c>
      <c r="I1415" t="s">
        <v>108</v>
      </c>
      <c r="J1415">
        <v>899</v>
      </c>
      <c r="K1415">
        <v>1</v>
      </c>
      <c r="L1415">
        <v>852.94</v>
      </c>
      <c r="M1415">
        <v>170.59</v>
      </c>
      <c r="N1415">
        <v>852.94</v>
      </c>
      <c r="O1415">
        <v>682.35</v>
      </c>
      <c r="P1415" t="s">
        <v>2111</v>
      </c>
      <c r="Q1415" t="s">
        <v>1809</v>
      </c>
    </row>
    <row r="1416" spans="1:17" x14ac:dyDescent="0.3">
      <c r="A1416" t="s">
        <v>1383</v>
      </c>
      <c r="B1416" t="s">
        <v>1382</v>
      </c>
      <c r="C1416" s="1">
        <v>46134</v>
      </c>
      <c r="D1416" t="s">
        <v>16</v>
      </c>
      <c r="E1416" t="s">
        <v>50</v>
      </c>
      <c r="F1416" t="s">
        <v>22</v>
      </c>
      <c r="G1416" t="s">
        <v>51</v>
      </c>
      <c r="H1416" t="s">
        <v>52</v>
      </c>
      <c r="I1416" t="s">
        <v>20</v>
      </c>
      <c r="J1416">
        <v>999</v>
      </c>
      <c r="K1416">
        <v>1</v>
      </c>
      <c r="L1416">
        <v>958.62</v>
      </c>
      <c r="M1416">
        <v>47.93</v>
      </c>
      <c r="N1416">
        <v>958.62</v>
      </c>
      <c r="O1416">
        <v>910.69</v>
      </c>
      <c r="P1416" t="s">
        <v>2111</v>
      </c>
      <c r="Q1416" t="s">
        <v>1170</v>
      </c>
    </row>
    <row r="1417" spans="1:17" x14ac:dyDescent="0.3">
      <c r="A1417" t="s">
        <v>2097</v>
      </c>
      <c r="B1417" t="s">
        <v>2096</v>
      </c>
      <c r="C1417" s="1">
        <v>46203</v>
      </c>
      <c r="D1417" t="s">
        <v>63</v>
      </c>
      <c r="E1417" t="s">
        <v>17</v>
      </c>
      <c r="F1417" t="s">
        <v>74</v>
      </c>
      <c r="G1417" t="s">
        <v>35</v>
      </c>
      <c r="H1417" t="s">
        <v>36</v>
      </c>
      <c r="I1417" t="s">
        <v>37</v>
      </c>
      <c r="J1417">
        <v>799</v>
      </c>
      <c r="K1417">
        <v>1</v>
      </c>
      <c r="L1417">
        <v>808.65</v>
      </c>
      <c r="M1417">
        <v>80.87</v>
      </c>
      <c r="N1417">
        <v>808.65</v>
      </c>
      <c r="O1417">
        <v>727.78</v>
      </c>
      <c r="P1417" t="s">
        <v>2111</v>
      </c>
      <c r="Q1417" t="s">
        <v>1809</v>
      </c>
    </row>
    <row r="1418" spans="1:17" x14ac:dyDescent="0.3">
      <c r="A1418" t="s">
        <v>2786</v>
      </c>
      <c r="B1418" t="s">
        <v>1302</v>
      </c>
      <c r="C1418" s="1">
        <v>46167</v>
      </c>
      <c r="D1418" t="s">
        <v>16</v>
      </c>
      <c r="E1418" t="s">
        <v>17</v>
      </c>
      <c r="F1418" t="s">
        <v>60</v>
      </c>
      <c r="G1418" t="s">
        <v>35</v>
      </c>
      <c r="H1418" t="s">
        <v>36</v>
      </c>
      <c r="I1418" t="s">
        <v>37</v>
      </c>
      <c r="J1418">
        <v>799</v>
      </c>
      <c r="K1418">
        <v>1</v>
      </c>
      <c r="L1418">
        <v>782.69</v>
      </c>
      <c r="M1418">
        <v>78.27</v>
      </c>
      <c r="N1418">
        <v>782.69</v>
      </c>
      <c r="O1418">
        <v>704.42</v>
      </c>
      <c r="P1418" t="s">
        <v>2111</v>
      </c>
      <c r="Q1418" t="s">
        <v>1479</v>
      </c>
    </row>
    <row r="1419" spans="1:17" x14ac:dyDescent="0.3">
      <c r="A1419" t="s">
        <v>2467</v>
      </c>
      <c r="B1419" t="s">
        <v>2322</v>
      </c>
      <c r="C1419" s="1">
        <v>46069</v>
      </c>
      <c r="D1419" t="s">
        <v>63</v>
      </c>
      <c r="E1419" t="s">
        <v>50</v>
      </c>
      <c r="F1419" t="s">
        <v>47</v>
      </c>
      <c r="G1419" t="s">
        <v>27</v>
      </c>
      <c r="H1419" t="s">
        <v>28</v>
      </c>
      <c r="I1419" t="s">
        <v>29</v>
      </c>
      <c r="J1419">
        <v>1599</v>
      </c>
      <c r="K1419">
        <v>1</v>
      </c>
      <c r="L1419">
        <v>1654.86</v>
      </c>
      <c r="M1419">
        <v>330.97</v>
      </c>
      <c r="N1419">
        <v>1654.86</v>
      </c>
      <c r="O1419">
        <v>1323.89</v>
      </c>
      <c r="P1419" t="s">
        <v>2111</v>
      </c>
      <c r="Q1419" t="s">
        <v>498</v>
      </c>
    </row>
    <row r="1420" spans="1:17" x14ac:dyDescent="0.3">
      <c r="A1420" t="s">
        <v>2787</v>
      </c>
      <c r="B1420" t="s">
        <v>2788</v>
      </c>
      <c r="C1420" s="1">
        <v>46190</v>
      </c>
      <c r="D1420" t="s">
        <v>16</v>
      </c>
      <c r="E1420" t="s">
        <v>17</v>
      </c>
      <c r="F1420" t="s">
        <v>31</v>
      </c>
      <c r="G1420" t="s">
        <v>86</v>
      </c>
      <c r="H1420" t="s">
        <v>87</v>
      </c>
      <c r="I1420" t="s">
        <v>82</v>
      </c>
      <c r="J1420">
        <v>3499</v>
      </c>
      <c r="K1420">
        <v>3</v>
      </c>
      <c r="L1420">
        <v>3188.04</v>
      </c>
      <c r="M1420">
        <v>2391.0300000000002</v>
      </c>
      <c r="N1420">
        <v>9564.1200000000008</v>
      </c>
      <c r="O1420">
        <v>7173.09</v>
      </c>
      <c r="P1420" t="s">
        <v>2111</v>
      </c>
      <c r="Q1420" t="s">
        <v>1809</v>
      </c>
    </row>
    <row r="1421" spans="1:17" x14ac:dyDescent="0.3">
      <c r="A1421" t="s">
        <v>2175</v>
      </c>
      <c r="B1421" t="s">
        <v>1674</v>
      </c>
      <c r="C1421" s="1">
        <v>46198</v>
      </c>
      <c r="D1421" t="s">
        <v>26</v>
      </c>
      <c r="E1421" t="s">
        <v>50</v>
      </c>
      <c r="F1421" t="s">
        <v>74</v>
      </c>
      <c r="G1421" t="s">
        <v>91</v>
      </c>
      <c r="H1421" t="s">
        <v>92</v>
      </c>
      <c r="I1421" t="s">
        <v>37</v>
      </c>
      <c r="J1421">
        <v>1899</v>
      </c>
      <c r="K1421">
        <v>3</v>
      </c>
      <c r="L1421">
        <v>1756.17</v>
      </c>
      <c r="M1421">
        <v>263.43</v>
      </c>
      <c r="N1421">
        <v>5268.51</v>
      </c>
      <c r="O1421">
        <v>5005.08</v>
      </c>
      <c r="P1421" t="s">
        <v>2111</v>
      </c>
      <c r="Q1421" t="s">
        <v>1809</v>
      </c>
    </row>
    <row r="1422" spans="1:17" x14ac:dyDescent="0.3">
      <c r="A1422" t="s">
        <v>2011</v>
      </c>
      <c r="B1422" t="s">
        <v>2010</v>
      </c>
      <c r="C1422" s="1">
        <v>46195</v>
      </c>
      <c r="D1422" t="s">
        <v>41</v>
      </c>
      <c r="E1422" t="s">
        <v>17</v>
      </c>
      <c r="F1422" t="s">
        <v>47</v>
      </c>
      <c r="G1422" t="s">
        <v>106</v>
      </c>
      <c r="H1422" t="s">
        <v>107</v>
      </c>
      <c r="I1422" t="s">
        <v>108</v>
      </c>
      <c r="J1422">
        <v>599</v>
      </c>
      <c r="K1422">
        <v>1</v>
      </c>
      <c r="L1422">
        <v>598.91</v>
      </c>
      <c r="M1422">
        <v>89.84</v>
      </c>
      <c r="N1422">
        <v>598.91</v>
      </c>
      <c r="O1422">
        <v>509.07</v>
      </c>
      <c r="P1422" t="s">
        <v>2111</v>
      </c>
      <c r="Q1422" t="s">
        <v>1809</v>
      </c>
    </row>
    <row r="1423" spans="1:17" x14ac:dyDescent="0.3">
      <c r="A1423" t="s">
        <v>1347</v>
      </c>
      <c r="B1423" t="s">
        <v>1346</v>
      </c>
      <c r="C1423" s="1">
        <v>46132</v>
      </c>
      <c r="D1423" t="s">
        <v>34</v>
      </c>
      <c r="E1423" t="s">
        <v>17</v>
      </c>
      <c r="F1423" t="s">
        <v>74</v>
      </c>
      <c r="G1423" t="s">
        <v>56</v>
      </c>
      <c r="H1423" t="s">
        <v>57</v>
      </c>
      <c r="I1423" t="s">
        <v>58</v>
      </c>
      <c r="J1423">
        <v>8999</v>
      </c>
      <c r="K1423">
        <v>1</v>
      </c>
      <c r="L1423">
        <v>8705.57</v>
      </c>
      <c r="M1423">
        <v>435.28</v>
      </c>
      <c r="N1423">
        <v>8705.57</v>
      </c>
      <c r="O1423">
        <v>8270.2900000000009</v>
      </c>
      <c r="P1423" t="s">
        <v>2111</v>
      </c>
      <c r="Q1423" t="s">
        <v>1170</v>
      </c>
    </row>
    <row r="1424" spans="1:17" x14ac:dyDescent="0.3">
      <c r="A1424" t="s">
        <v>917</v>
      </c>
      <c r="B1424" t="s">
        <v>916</v>
      </c>
      <c r="C1424" s="1">
        <v>46090</v>
      </c>
      <c r="D1424" t="s">
        <v>34</v>
      </c>
      <c r="E1424" t="s">
        <v>42</v>
      </c>
      <c r="F1424" t="s">
        <v>22</v>
      </c>
      <c r="G1424" t="s">
        <v>51</v>
      </c>
      <c r="H1424" t="s">
        <v>52</v>
      </c>
      <c r="I1424" t="s">
        <v>20</v>
      </c>
      <c r="J1424">
        <v>999</v>
      </c>
      <c r="K1424">
        <v>3</v>
      </c>
      <c r="L1424">
        <v>958.2</v>
      </c>
      <c r="M1424">
        <v>0</v>
      </c>
      <c r="N1424">
        <v>2874.6</v>
      </c>
      <c r="O1424">
        <v>2874.6</v>
      </c>
      <c r="P1424" t="s">
        <v>2111</v>
      </c>
      <c r="Q1424" t="s">
        <v>789</v>
      </c>
    </row>
    <row r="1425" spans="1:17" x14ac:dyDescent="0.3">
      <c r="A1425" t="s">
        <v>2789</v>
      </c>
      <c r="B1425" t="s">
        <v>2790</v>
      </c>
      <c r="C1425" s="1">
        <v>46198</v>
      </c>
      <c r="D1425" t="s">
        <v>16</v>
      </c>
      <c r="E1425" t="s">
        <v>17</v>
      </c>
      <c r="F1425" t="s">
        <v>74</v>
      </c>
      <c r="G1425" t="s">
        <v>126</v>
      </c>
      <c r="H1425" t="s">
        <v>127</v>
      </c>
      <c r="I1425" t="s">
        <v>45</v>
      </c>
      <c r="J1425">
        <v>2499</v>
      </c>
      <c r="K1425">
        <v>2</v>
      </c>
      <c r="L1425">
        <v>2282.6</v>
      </c>
      <c r="M1425">
        <v>0</v>
      </c>
      <c r="N1425">
        <v>4565.2</v>
      </c>
      <c r="O1425">
        <v>4565.2</v>
      </c>
      <c r="P1425" t="s">
        <v>2114</v>
      </c>
      <c r="Q1425" t="s">
        <v>1809</v>
      </c>
    </row>
    <row r="1426" spans="1:17" x14ac:dyDescent="0.3">
      <c r="A1426" t="s">
        <v>2787</v>
      </c>
      <c r="B1426" t="s">
        <v>2788</v>
      </c>
      <c r="C1426" s="1">
        <v>46190</v>
      </c>
      <c r="D1426" t="s">
        <v>16</v>
      </c>
      <c r="E1426" t="s">
        <v>17</v>
      </c>
      <c r="F1426" t="s">
        <v>31</v>
      </c>
      <c r="G1426" t="s">
        <v>355</v>
      </c>
      <c r="H1426" t="s">
        <v>356</v>
      </c>
      <c r="I1426" t="s">
        <v>82</v>
      </c>
      <c r="J1426">
        <v>499</v>
      </c>
      <c r="K1426">
        <v>1</v>
      </c>
      <c r="L1426">
        <v>538.49</v>
      </c>
      <c r="M1426">
        <v>53.85</v>
      </c>
      <c r="N1426">
        <v>538.49</v>
      </c>
      <c r="O1426">
        <v>484.64</v>
      </c>
      <c r="P1426" t="s">
        <v>2111</v>
      </c>
      <c r="Q1426" t="s">
        <v>1809</v>
      </c>
    </row>
    <row r="1427" spans="1:17" x14ac:dyDescent="0.3">
      <c r="A1427" t="s">
        <v>437</v>
      </c>
      <c r="B1427" t="s">
        <v>436</v>
      </c>
      <c r="C1427" s="1">
        <v>46048</v>
      </c>
      <c r="D1427" t="s">
        <v>16</v>
      </c>
      <c r="E1427" t="s">
        <v>50</v>
      </c>
      <c r="F1427" t="s">
        <v>31</v>
      </c>
      <c r="G1427" t="s">
        <v>35</v>
      </c>
      <c r="H1427" t="s">
        <v>36</v>
      </c>
      <c r="I1427" t="s">
        <v>37</v>
      </c>
      <c r="J1427">
        <v>799</v>
      </c>
      <c r="K1427">
        <v>1</v>
      </c>
      <c r="L1427">
        <v>829.65</v>
      </c>
      <c r="M1427">
        <v>82.96</v>
      </c>
      <c r="N1427">
        <v>829.65</v>
      </c>
      <c r="O1427">
        <v>746.69</v>
      </c>
      <c r="P1427" t="s">
        <v>2111</v>
      </c>
      <c r="Q1427" t="s">
        <v>23</v>
      </c>
    </row>
    <row r="1428" spans="1:17" x14ac:dyDescent="0.3">
      <c r="A1428" t="s">
        <v>2190</v>
      </c>
      <c r="B1428" t="s">
        <v>1074</v>
      </c>
      <c r="C1428" s="1">
        <v>46147</v>
      </c>
      <c r="D1428" t="s">
        <v>34</v>
      </c>
      <c r="E1428" t="s">
        <v>17</v>
      </c>
      <c r="F1428" t="s">
        <v>31</v>
      </c>
      <c r="G1428" t="s">
        <v>101</v>
      </c>
      <c r="H1428" t="s">
        <v>102</v>
      </c>
      <c r="I1428" t="s">
        <v>45</v>
      </c>
      <c r="J1428">
        <v>4999</v>
      </c>
      <c r="K1428">
        <v>1</v>
      </c>
      <c r="L1428">
        <v>4620.6899999999996</v>
      </c>
      <c r="M1428">
        <v>0</v>
      </c>
      <c r="N1428">
        <v>4620.6899999999996</v>
      </c>
      <c r="O1428">
        <v>4620.6899999999996</v>
      </c>
      <c r="P1428" t="s">
        <v>2111</v>
      </c>
      <c r="Q1428" t="s">
        <v>1479</v>
      </c>
    </row>
    <row r="1429" spans="1:17" x14ac:dyDescent="0.3">
      <c r="A1429" t="s">
        <v>1688</v>
      </c>
      <c r="B1429" t="s">
        <v>1056</v>
      </c>
      <c r="C1429" s="1">
        <v>46160</v>
      </c>
      <c r="D1429" t="s">
        <v>16</v>
      </c>
      <c r="E1429" t="s">
        <v>17</v>
      </c>
      <c r="F1429" t="s">
        <v>22</v>
      </c>
      <c r="G1429" t="s">
        <v>106</v>
      </c>
      <c r="H1429" t="s">
        <v>107</v>
      </c>
      <c r="I1429" t="s">
        <v>108</v>
      </c>
      <c r="J1429">
        <v>599</v>
      </c>
      <c r="K1429">
        <v>1</v>
      </c>
      <c r="L1429">
        <v>546.89</v>
      </c>
      <c r="M1429">
        <v>82.03</v>
      </c>
      <c r="N1429">
        <v>546.89</v>
      </c>
      <c r="O1429">
        <v>464.86</v>
      </c>
      <c r="P1429" t="s">
        <v>2111</v>
      </c>
      <c r="Q1429" t="s">
        <v>1479</v>
      </c>
    </row>
    <row r="1430" spans="1:17" x14ac:dyDescent="0.3">
      <c r="A1430" t="s">
        <v>2125</v>
      </c>
      <c r="B1430" t="s">
        <v>2126</v>
      </c>
      <c r="C1430" s="1">
        <v>46098</v>
      </c>
      <c r="D1430" t="s">
        <v>16</v>
      </c>
      <c r="E1430" t="s">
        <v>17</v>
      </c>
      <c r="F1430" t="s">
        <v>22</v>
      </c>
      <c r="G1430" t="s">
        <v>106</v>
      </c>
      <c r="H1430" t="s">
        <v>107</v>
      </c>
      <c r="I1430" t="s">
        <v>108</v>
      </c>
      <c r="J1430">
        <v>599</v>
      </c>
      <c r="K1430">
        <v>1</v>
      </c>
      <c r="L1430">
        <v>655.89</v>
      </c>
      <c r="M1430">
        <v>32.79</v>
      </c>
      <c r="N1430">
        <v>655.89</v>
      </c>
      <c r="O1430">
        <v>623.1</v>
      </c>
      <c r="P1430" t="s">
        <v>2111</v>
      </c>
      <c r="Q1430" t="s">
        <v>789</v>
      </c>
    </row>
    <row r="1431" spans="1:17" x14ac:dyDescent="0.3">
      <c r="A1431" t="s">
        <v>703</v>
      </c>
      <c r="B1431" t="s">
        <v>187</v>
      </c>
      <c r="C1431" s="1">
        <v>46074</v>
      </c>
      <c r="D1431" t="s">
        <v>16</v>
      </c>
      <c r="E1431" t="s">
        <v>17</v>
      </c>
      <c r="F1431" t="s">
        <v>60</v>
      </c>
      <c r="G1431" t="s">
        <v>27</v>
      </c>
      <c r="H1431" t="s">
        <v>28</v>
      </c>
      <c r="I1431" t="s">
        <v>29</v>
      </c>
      <c r="J1431">
        <v>1599</v>
      </c>
      <c r="K1431">
        <v>1</v>
      </c>
      <c r="L1431">
        <v>1656.94</v>
      </c>
      <c r="M1431">
        <v>165.69</v>
      </c>
      <c r="N1431">
        <v>1656.94</v>
      </c>
      <c r="O1431">
        <v>1491.25</v>
      </c>
      <c r="P1431" t="s">
        <v>2111</v>
      </c>
      <c r="Q1431" t="s">
        <v>498</v>
      </c>
    </row>
    <row r="1432" spans="1:17" x14ac:dyDescent="0.3">
      <c r="A1432" t="s">
        <v>440</v>
      </c>
      <c r="B1432" t="s">
        <v>439</v>
      </c>
      <c r="C1432" s="1">
        <v>46048</v>
      </c>
      <c r="D1432" t="s">
        <v>63</v>
      </c>
      <c r="E1432" t="s">
        <v>17</v>
      </c>
      <c r="F1432" t="s">
        <v>60</v>
      </c>
      <c r="G1432" t="s">
        <v>191</v>
      </c>
      <c r="H1432" t="s">
        <v>192</v>
      </c>
      <c r="I1432" t="s">
        <v>45</v>
      </c>
      <c r="J1432">
        <v>699</v>
      </c>
      <c r="K1432">
        <v>2</v>
      </c>
      <c r="L1432">
        <v>687.46</v>
      </c>
      <c r="M1432">
        <v>68.75</v>
      </c>
      <c r="N1432">
        <v>1374.92</v>
      </c>
      <c r="O1432">
        <v>1306.17</v>
      </c>
      <c r="P1432" t="s">
        <v>2111</v>
      </c>
      <c r="Q1432" t="s">
        <v>23</v>
      </c>
    </row>
    <row r="1433" spans="1:17" x14ac:dyDescent="0.3">
      <c r="A1433" t="s">
        <v>720</v>
      </c>
      <c r="B1433" t="s">
        <v>485</v>
      </c>
      <c r="C1433" s="1">
        <v>46075</v>
      </c>
      <c r="D1433" t="s">
        <v>34</v>
      </c>
      <c r="E1433" t="s">
        <v>17</v>
      </c>
      <c r="F1433" t="s">
        <v>60</v>
      </c>
      <c r="G1433" t="s">
        <v>80</v>
      </c>
      <c r="H1433" t="s">
        <v>81</v>
      </c>
      <c r="I1433" t="s">
        <v>82</v>
      </c>
      <c r="J1433">
        <v>4299</v>
      </c>
      <c r="K1433">
        <v>1</v>
      </c>
      <c r="L1433">
        <v>4472.45</v>
      </c>
      <c r="M1433">
        <v>0</v>
      </c>
      <c r="N1433">
        <v>4472.45</v>
      </c>
      <c r="O1433">
        <v>4472.45</v>
      </c>
      <c r="P1433" t="s">
        <v>2111</v>
      </c>
      <c r="Q1433" t="s">
        <v>498</v>
      </c>
    </row>
    <row r="1434" spans="1:17" x14ac:dyDescent="0.3">
      <c r="A1434" t="s">
        <v>2791</v>
      </c>
      <c r="B1434" t="s">
        <v>2792</v>
      </c>
      <c r="C1434" s="1">
        <v>46094</v>
      </c>
      <c r="D1434" t="s">
        <v>26</v>
      </c>
      <c r="E1434" t="s">
        <v>17</v>
      </c>
      <c r="F1434" t="s">
        <v>22</v>
      </c>
      <c r="G1434" t="s">
        <v>51</v>
      </c>
      <c r="H1434" t="s">
        <v>52</v>
      </c>
      <c r="I1434" t="s">
        <v>20</v>
      </c>
      <c r="J1434">
        <v>999</v>
      </c>
      <c r="K1434">
        <v>1</v>
      </c>
      <c r="L1434">
        <v>1050.22</v>
      </c>
      <c r="M1434">
        <v>105.02</v>
      </c>
      <c r="N1434">
        <v>1050.22</v>
      </c>
      <c r="O1434">
        <v>945.2</v>
      </c>
      <c r="P1434" t="s">
        <v>2111</v>
      </c>
      <c r="Q1434" t="s">
        <v>789</v>
      </c>
    </row>
    <row r="1435" spans="1:17" x14ac:dyDescent="0.3">
      <c r="A1435" t="s">
        <v>2793</v>
      </c>
      <c r="B1435" t="s">
        <v>824</v>
      </c>
      <c r="C1435" s="1">
        <v>46110</v>
      </c>
      <c r="D1435" t="s">
        <v>34</v>
      </c>
      <c r="E1435" t="s">
        <v>17</v>
      </c>
      <c r="F1435" t="s">
        <v>74</v>
      </c>
      <c r="G1435" t="s">
        <v>27</v>
      </c>
      <c r="H1435" t="s">
        <v>28</v>
      </c>
      <c r="I1435" t="s">
        <v>29</v>
      </c>
      <c r="J1435">
        <v>1599</v>
      </c>
      <c r="K1435">
        <v>1</v>
      </c>
      <c r="L1435">
        <v>1688.53</v>
      </c>
      <c r="M1435">
        <v>84.43</v>
      </c>
      <c r="N1435">
        <v>1688.53</v>
      </c>
      <c r="O1435">
        <v>1604.1</v>
      </c>
      <c r="P1435" t="s">
        <v>2111</v>
      </c>
      <c r="Q1435" t="s">
        <v>789</v>
      </c>
    </row>
    <row r="1436" spans="1:17" x14ac:dyDescent="0.3">
      <c r="A1436" t="s">
        <v>2709</v>
      </c>
      <c r="B1436" t="s">
        <v>2130</v>
      </c>
      <c r="C1436" s="1">
        <v>46120</v>
      </c>
      <c r="D1436" t="s">
        <v>16</v>
      </c>
      <c r="E1436" t="s">
        <v>17</v>
      </c>
      <c r="F1436" t="s">
        <v>74</v>
      </c>
      <c r="G1436" t="s">
        <v>43</v>
      </c>
      <c r="H1436" t="s">
        <v>44</v>
      </c>
      <c r="I1436" t="s">
        <v>45</v>
      </c>
      <c r="J1436">
        <v>3299</v>
      </c>
      <c r="K1436">
        <v>2</v>
      </c>
      <c r="L1436">
        <v>3284.4</v>
      </c>
      <c r="M1436">
        <v>656.88</v>
      </c>
      <c r="N1436">
        <v>6568.8</v>
      </c>
      <c r="O1436">
        <v>5911.92</v>
      </c>
      <c r="P1436" t="s">
        <v>2111</v>
      </c>
      <c r="Q1436" t="s">
        <v>1170</v>
      </c>
    </row>
    <row r="1437" spans="1:17" x14ac:dyDescent="0.3">
      <c r="A1437" t="s">
        <v>2794</v>
      </c>
      <c r="B1437" t="s">
        <v>55</v>
      </c>
      <c r="C1437" s="1">
        <v>46121</v>
      </c>
      <c r="D1437" t="s">
        <v>16</v>
      </c>
      <c r="E1437" t="s">
        <v>42</v>
      </c>
      <c r="F1437" t="s">
        <v>22</v>
      </c>
      <c r="G1437" t="s">
        <v>43</v>
      </c>
      <c r="H1437" t="s">
        <v>44</v>
      </c>
      <c r="I1437" t="s">
        <v>45</v>
      </c>
      <c r="J1437">
        <v>3299</v>
      </c>
      <c r="K1437">
        <v>2</v>
      </c>
      <c r="L1437">
        <v>3252.74</v>
      </c>
      <c r="M1437">
        <v>0</v>
      </c>
      <c r="N1437">
        <v>6505.48</v>
      </c>
      <c r="O1437">
        <v>6505.48</v>
      </c>
      <c r="P1437" t="s">
        <v>2111</v>
      </c>
      <c r="Q1437" t="s">
        <v>1170</v>
      </c>
    </row>
    <row r="1438" spans="1:17" x14ac:dyDescent="0.3">
      <c r="A1438" t="s">
        <v>2498</v>
      </c>
      <c r="B1438" t="s">
        <v>122</v>
      </c>
      <c r="C1438" s="1">
        <v>46160</v>
      </c>
      <c r="D1438" t="s">
        <v>26</v>
      </c>
      <c r="E1438" t="s">
        <v>17</v>
      </c>
      <c r="F1438" t="s">
        <v>60</v>
      </c>
      <c r="G1438" t="s">
        <v>112</v>
      </c>
      <c r="H1438" t="s">
        <v>113</v>
      </c>
      <c r="I1438" t="s">
        <v>37</v>
      </c>
      <c r="J1438">
        <v>1499</v>
      </c>
      <c r="K1438">
        <v>1</v>
      </c>
      <c r="L1438">
        <v>1352.41</v>
      </c>
      <c r="M1438">
        <v>135.24</v>
      </c>
      <c r="N1438">
        <v>1352.41</v>
      </c>
      <c r="O1438">
        <v>1217.17</v>
      </c>
      <c r="P1438" t="s">
        <v>2111</v>
      </c>
      <c r="Q1438" t="s">
        <v>1479</v>
      </c>
    </row>
    <row r="1439" spans="1:17" x14ac:dyDescent="0.3">
      <c r="A1439" t="s">
        <v>2339</v>
      </c>
      <c r="B1439" t="s">
        <v>1992</v>
      </c>
      <c r="C1439" s="1">
        <v>46138</v>
      </c>
      <c r="D1439" t="s">
        <v>34</v>
      </c>
      <c r="E1439" t="s">
        <v>50</v>
      </c>
      <c r="F1439" t="s">
        <v>31</v>
      </c>
      <c r="G1439" t="s">
        <v>126</v>
      </c>
      <c r="H1439" t="s">
        <v>127</v>
      </c>
      <c r="I1439" t="s">
        <v>45</v>
      </c>
      <c r="J1439">
        <v>2499</v>
      </c>
      <c r="K1439">
        <v>1</v>
      </c>
      <c r="L1439">
        <v>2712.19</v>
      </c>
      <c r="M1439">
        <v>0</v>
      </c>
      <c r="N1439">
        <v>2712.19</v>
      </c>
      <c r="O1439">
        <v>2712.19</v>
      </c>
      <c r="P1439" t="s">
        <v>2111</v>
      </c>
      <c r="Q1439" t="s">
        <v>1170</v>
      </c>
    </row>
    <row r="1440" spans="1:17" x14ac:dyDescent="0.3">
      <c r="A1440" t="s">
        <v>1669</v>
      </c>
      <c r="B1440" t="s">
        <v>1668</v>
      </c>
      <c r="C1440" s="1">
        <v>46158</v>
      </c>
      <c r="D1440" t="s">
        <v>16</v>
      </c>
      <c r="E1440" t="s">
        <v>17</v>
      </c>
      <c r="F1440" t="s">
        <v>74</v>
      </c>
      <c r="G1440" t="s">
        <v>126</v>
      </c>
      <c r="H1440" t="s">
        <v>127</v>
      </c>
      <c r="I1440" t="s">
        <v>45</v>
      </c>
      <c r="J1440">
        <v>2499</v>
      </c>
      <c r="K1440">
        <v>4</v>
      </c>
      <c r="L1440">
        <v>2550.63</v>
      </c>
      <c r="M1440">
        <v>1530.38</v>
      </c>
      <c r="N1440">
        <v>10202.52</v>
      </c>
      <c r="O1440">
        <v>8672.14</v>
      </c>
      <c r="P1440" t="s">
        <v>2111</v>
      </c>
      <c r="Q1440" t="s">
        <v>1479</v>
      </c>
    </row>
    <row r="1441" spans="1:17" x14ac:dyDescent="0.3">
      <c r="A1441" t="s">
        <v>706</v>
      </c>
      <c r="B1441" t="s">
        <v>705</v>
      </c>
      <c r="C1441" s="1">
        <v>46074</v>
      </c>
      <c r="D1441" t="s">
        <v>63</v>
      </c>
      <c r="E1441" t="s">
        <v>17</v>
      </c>
      <c r="F1441" t="s">
        <v>74</v>
      </c>
      <c r="G1441" t="s">
        <v>51</v>
      </c>
      <c r="H1441" t="s">
        <v>52</v>
      </c>
      <c r="I1441" t="s">
        <v>20</v>
      </c>
      <c r="J1441">
        <v>999</v>
      </c>
      <c r="K1441">
        <v>1</v>
      </c>
      <c r="L1441">
        <v>939.69</v>
      </c>
      <c r="M1441">
        <v>140.94999999999999</v>
      </c>
      <c r="N1441">
        <v>939.69</v>
      </c>
      <c r="O1441">
        <v>798.74</v>
      </c>
      <c r="P1441" t="s">
        <v>2111</v>
      </c>
      <c r="Q1441" t="s">
        <v>498</v>
      </c>
    </row>
    <row r="1442" spans="1:17" x14ac:dyDescent="0.3">
      <c r="A1442" t="s">
        <v>2357</v>
      </c>
      <c r="B1442" t="s">
        <v>2358</v>
      </c>
      <c r="C1442" s="1">
        <v>46111</v>
      </c>
      <c r="D1442" t="s">
        <v>63</v>
      </c>
      <c r="E1442" t="s">
        <v>17</v>
      </c>
      <c r="F1442" t="s">
        <v>47</v>
      </c>
      <c r="G1442" t="s">
        <v>91</v>
      </c>
      <c r="H1442" t="s">
        <v>92</v>
      </c>
      <c r="I1442" t="s">
        <v>37</v>
      </c>
      <c r="J1442">
        <v>1899</v>
      </c>
      <c r="K1442">
        <v>1</v>
      </c>
      <c r="L1442">
        <v>2058.37</v>
      </c>
      <c r="M1442">
        <v>0</v>
      </c>
      <c r="N1442">
        <v>2058.37</v>
      </c>
      <c r="O1442">
        <v>2058.37</v>
      </c>
      <c r="P1442" t="s">
        <v>2111</v>
      </c>
      <c r="Q1442" t="s">
        <v>789</v>
      </c>
    </row>
    <row r="1443" spans="1:17" x14ac:dyDescent="0.3">
      <c r="A1443" t="s">
        <v>737</v>
      </c>
      <c r="B1443" t="s">
        <v>736</v>
      </c>
      <c r="C1443" s="1">
        <v>46077</v>
      </c>
      <c r="D1443" t="s">
        <v>16</v>
      </c>
      <c r="E1443" t="s">
        <v>17</v>
      </c>
      <c r="F1443" t="s">
        <v>74</v>
      </c>
      <c r="G1443" t="s">
        <v>101</v>
      </c>
      <c r="H1443" t="s">
        <v>102</v>
      </c>
      <c r="I1443" t="s">
        <v>45</v>
      </c>
      <c r="J1443">
        <v>4999</v>
      </c>
      <c r="K1443">
        <v>1</v>
      </c>
      <c r="L1443">
        <v>5413.85</v>
      </c>
      <c r="M1443">
        <v>541.39</v>
      </c>
      <c r="N1443">
        <v>5413.85</v>
      </c>
      <c r="O1443">
        <v>4872.46</v>
      </c>
      <c r="P1443" t="s">
        <v>2111</v>
      </c>
      <c r="Q1443" t="s">
        <v>498</v>
      </c>
    </row>
    <row r="1444" spans="1:17" x14ac:dyDescent="0.3">
      <c r="A1444" t="s">
        <v>303</v>
      </c>
      <c r="B1444" t="s">
        <v>302</v>
      </c>
      <c r="C1444" s="1">
        <v>46037</v>
      </c>
      <c r="D1444" t="s">
        <v>63</v>
      </c>
      <c r="E1444" t="s">
        <v>17</v>
      </c>
      <c r="F1444" t="s">
        <v>22</v>
      </c>
      <c r="G1444" t="s">
        <v>191</v>
      </c>
      <c r="H1444" t="s">
        <v>192</v>
      </c>
      <c r="I1444" t="s">
        <v>45</v>
      </c>
      <c r="J1444">
        <v>699</v>
      </c>
      <c r="K1444">
        <v>1</v>
      </c>
      <c r="L1444">
        <v>767.39</v>
      </c>
      <c r="M1444">
        <v>0</v>
      </c>
      <c r="N1444">
        <v>767.39</v>
      </c>
      <c r="O1444">
        <v>767.39</v>
      </c>
      <c r="P1444" t="s">
        <v>2111</v>
      </c>
      <c r="Q1444" t="s">
        <v>23</v>
      </c>
    </row>
    <row r="1445" spans="1:17" x14ac:dyDescent="0.3">
      <c r="A1445" t="s">
        <v>2795</v>
      </c>
      <c r="B1445" t="s">
        <v>2796</v>
      </c>
      <c r="C1445" s="1">
        <v>46074</v>
      </c>
      <c r="D1445" t="s">
        <v>63</v>
      </c>
      <c r="E1445" t="s">
        <v>17</v>
      </c>
      <c r="F1445" t="s">
        <v>22</v>
      </c>
      <c r="G1445" t="s">
        <v>91</v>
      </c>
      <c r="H1445" t="s">
        <v>92</v>
      </c>
      <c r="I1445" t="s">
        <v>37</v>
      </c>
      <c r="J1445">
        <v>1899</v>
      </c>
      <c r="K1445">
        <v>1</v>
      </c>
      <c r="L1445">
        <v>2041.07</v>
      </c>
      <c r="M1445">
        <v>204.11</v>
      </c>
      <c r="N1445">
        <v>2041.07</v>
      </c>
      <c r="O1445">
        <v>1836.96</v>
      </c>
      <c r="P1445" t="s">
        <v>2111</v>
      </c>
      <c r="Q1445" t="s">
        <v>498</v>
      </c>
    </row>
    <row r="1446" spans="1:17" x14ac:dyDescent="0.3">
      <c r="A1446" t="s">
        <v>1887</v>
      </c>
      <c r="B1446" t="s">
        <v>116</v>
      </c>
      <c r="C1446" s="1">
        <v>46180</v>
      </c>
      <c r="D1446" t="s">
        <v>34</v>
      </c>
      <c r="E1446" t="s">
        <v>50</v>
      </c>
      <c r="F1446" t="s">
        <v>31</v>
      </c>
      <c r="G1446" t="s">
        <v>43</v>
      </c>
      <c r="H1446" t="s">
        <v>44</v>
      </c>
      <c r="I1446" t="s">
        <v>45</v>
      </c>
      <c r="J1446">
        <v>3299</v>
      </c>
      <c r="K1446">
        <v>3</v>
      </c>
      <c r="L1446">
        <v>3627.44</v>
      </c>
      <c r="M1446">
        <v>544.12</v>
      </c>
      <c r="N1446">
        <v>10882.32</v>
      </c>
      <c r="O1446">
        <v>10338.200000000001</v>
      </c>
      <c r="P1446" t="s">
        <v>2111</v>
      </c>
      <c r="Q1446" t="s">
        <v>1809</v>
      </c>
    </row>
    <row r="1447" spans="1:17" x14ac:dyDescent="0.3">
      <c r="A1447" t="s">
        <v>2797</v>
      </c>
      <c r="B1447" t="s">
        <v>654</v>
      </c>
      <c r="C1447" s="1">
        <v>46166</v>
      </c>
      <c r="D1447" t="s">
        <v>16</v>
      </c>
      <c r="E1447" t="s">
        <v>42</v>
      </c>
      <c r="F1447" t="s">
        <v>31</v>
      </c>
      <c r="G1447" t="s">
        <v>86</v>
      </c>
      <c r="H1447" t="s">
        <v>87</v>
      </c>
      <c r="I1447" t="s">
        <v>82</v>
      </c>
      <c r="J1447">
        <v>3499</v>
      </c>
      <c r="K1447">
        <v>1</v>
      </c>
      <c r="L1447">
        <v>3320.33</v>
      </c>
      <c r="M1447">
        <v>332.03</v>
      </c>
      <c r="N1447">
        <v>3320.33</v>
      </c>
      <c r="O1447">
        <v>2988.3</v>
      </c>
      <c r="P1447" t="s">
        <v>2114</v>
      </c>
      <c r="Q1447" t="s">
        <v>1479</v>
      </c>
    </row>
    <row r="1448" spans="1:17" x14ac:dyDescent="0.3">
      <c r="A1448" t="s">
        <v>1231</v>
      </c>
      <c r="B1448" t="s">
        <v>1230</v>
      </c>
      <c r="C1448" s="1">
        <v>46120</v>
      </c>
      <c r="D1448" t="s">
        <v>16</v>
      </c>
      <c r="E1448" t="s">
        <v>17</v>
      </c>
      <c r="F1448" t="s">
        <v>22</v>
      </c>
      <c r="G1448" t="s">
        <v>96</v>
      </c>
      <c r="H1448" t="s">
        <v>97</v>
      </c>
      <c r="I1448" t="s">
        <v>58</v>
      </c>
      <c r="J1448">
        <v>7499</v>
      </c>
      <c r="K1448">
        <v>1</v>
      </c>
      <c r="L1448">
        <v>8012.31</v>
      </c>
      <c r="M1448">
        <v>801.23</v>
      </c>
      <c r="N1448">
        <v>8012.31</v>
      </c>
      <c r="O1448">
        <v>7211.08</v>
      </c>
      <c r="P1448" t="s">
        <v>2111</v>
      </c>
      <c r="Q1448" t="s">
        <v>1170</v>
      </c>
    </row>
    <row r="1449" spans="1:17" x14ac:dyDescent="0.3">
      <c r="A1449" t="s">
        <v>2798</v>
      </c>
      <c r="B1449" t="s">
        <v>2799</v>
      </c>
      <c r="C1449" s="1">
        <v>46045</v>
      </c>
      <c r="D1449" t="s">
        <v>34</v>
      </c>
      <c r="E1449" t="s">
        <v>50</v>
      </c>
      <c r="F1449" t="s">
        <v>74</v>
      </c>
      <c r="G1449" t="s">
        <v>56</v>
      </c>
      <c r="H1449" t="s">
        <v>57</v>
      </c>
      <c r="I1449" t="s">
        <v>58</v>
      </c>
      <c r="J1449">
        <v>8999</v>
      </c>
      <c r="K1449">
        <v>3</v>
      </c>
      <c r="L1449">
        <v>9580.39</v>
      </c>
      <c r="M1449">
        <v>5748.23</v>
      </c>
      <c r="N1449">
        <v>28741.17</v>
      </c>
      <c r="O1449">
        <v>22992.94</v>
      </c>
      <c r="P1449" t="s">
        <v>2114</v>
      </c>
      <c r="Q1449" t="s">
        <v>23</v>
      </c>
    </row>
    <row r="1450" spans="1:17" x14ac:dyDescent="0.3">
      <c r="A1450" t="s">
        <v>1924</v>
      </c>
      <c r="B1450" t="s">
        <v>1923</v>
      </c>
      <c r="C1450" s="1">
        <v>46185</v>
      </c>
      <c r="D1450" t="s">
        <v>26</v>
      </c>
      <c r="E1450" t="s">
        <v>17</v>
      </c>
      <c r="F1450" t="s">
        <v>31</v>
      </c>
      <c r="G1450" t="s">
        <v>355</v>
      </c>
      <c r="H1450" t="s">
        <v>356</v>
      </c>
      <c r="I1450" t="s">
        <v>82</v>
      </c>
      <c r="J1450">
        <v>499</v>
      </c>
      <c r="K1450">
        <v>1</v>
      </c>
      <c r="L1450">
        <v>472.15</v>
      </c>
      <c r="M1450">
        <v>47.22</v>
      </c>
      <c r="N1450">
        <v>472.15</v>
      </c>
      <c r="O1450">
        <v>424.93</v>
      </c>
      <c r="P1450" t="s">
        <v>2111</v>
      </c>
      <c r="Q1450" t="s">
        <v>1809</v>
      </c>
    </row>
    <row r="1451" spans="1:17" x14ac:dyDescent="0.3">
      <c r="A1451" t="s">
        <v>2800</v>
      </c>
      <c r="B1451" t="s">
        <v>69</v>
      </c>
      <c r="C1451" s="1">
        <v>46066</v>
      </c>
      <c r="D1451" t="s">
        <v>34</v>
      </c>
      <c r="E1451" t="s">
        <v>42</v>
      </c>
      <c r="F1451" t="s">
        <v>31</v>
      </c>
      <c r="G1451" t="s">
        <v>96</v>
      </c>
      <c r="H1451" t="s">
        <v>97</v>
      </c>
      <c r="I1451" t="s">
        <v>58</v>
      </c>
      <c r="J1451">
        <v>7499</v>
      </c>
      <c r="K1451">
        <v>1</v>
      </c>
      <c r="L1451">
        <v>6896.74</v>
      </c>
      <c r="M1451">
        <v>689.67</v>
      </c>
      <c r="N1451">
        <v>6896.74</v>
      </c>
      <c r="O1451">
        <v>6207.07</v>
      </c>
      <c r="P1451" t="s">
        <v>2111</v>
      </c>
      <c r="Q1451" t="s">
        <v>498</v>
      </c>
    </row>
    <row r="1452" spans="1:17" x14ac:dyDescent="0.3">
      <c r="A1452" t="s">
        <v>2587</v>
      </c>
      <c r="B1452" t="s">
        <v>2588</v>
      </c>
      <c r="C1452" s="1">
        <v>46179</v>
      </c>
      <c r="D1452" t="s">
        <v>26</v>
      </c>
      <c r="E1452" t="s">
        <v>50</v>
      </c>
      <c r="F1452" t="s">
        <v>31</v>
      </c>
      <c r="G1452" t="s">
        <v>106</v>
      </c>
      <c r="H1452" t="s">
        <v>107</v>
      </c>
      <c r="I1452" t="s">
        <v>108</v>
      </c>
      <c r="J1452">
        <v>599</v>
      </c>
      <c r="K1452">
        <v>1</v>
      </c>
      <c r="L1452">
        <v>656.43</v>
      </c>
      <c r="M1452">
        <v>65.64</v>
      </c>
      <c r="N1452">
        <v>656.43</v>
      </c>
      <c r="O1452">
        <v>590.79</v>
      </c>
      <c r="P1452" t="s">
        <v>2111</v>
      </c>
      <c r="Q1452" t="s">
        <v>1809</v>
      </c>
    </row>
    <row r="1453" spans="1:17" x14ac:dyDescent="0.3">
      <c r="A1453" t="s">
        <v>2801</v>
      </c>
      <c r="B1453" t="s">
        <v>2802</v>
      </c>
      <c r="C1453" s="1">
        <v>46082</v>
      </c>
      <c r="D1453" t="s">
        <v>41</v>
      </c>
      <c r="E1453" t="s">
        <v>17</v>
      </c>
      <c r="F1453" t="s">
        <v>47</v>
      </c>
      <c r="G1453" t="s">
        <v>106</v>
      </c>
      <c r="H1453" t="s">
        <v>107</v>
      </c>
      <c r="I1453" t="s">
        <v>108</v>
      </c>
      <c r="J1453">
        <v>599</v>
      </c>
      <c r="K1453">
        <v>1</v>
      </c>
      <c r="L1453">
        <v>574.55999999999995</v>
      </c>
      <c r="M1453">
        <v>114.91</v>
      </c>
      <c r="N1453">
        <v>574.55999999999995</v>
      </c>
      <c r="O1453">
        <v>459.65</v>
      </c>
      <c r="P1453" t="s">
        <v>2111</v>
      </c>
      <c r="Q1453" t="s">
        <v>789</v>
      </c>
    </row>
    <row r="1454" spans="1:17" x14ac:dyDescent="0.3">
      <c r="A1454" t="s">
        <v>2803</v>
      </c>
      <c r="B1454" t="s">
        <v>2804</v>
      </c>
      <c r="C1454" s="1">
        <v>46074</v>
      </c>
      <c r="D1454" t="s">
        <v>16</v>
      </c>
      <c r="E1454" t="s">
        <v>17</v>
      </c>
      <c r="F1454" t="s">
        <v>31</v>
      </c>
      <c r="G1454" t="s">
        <v>160</v>
      </c>
      <c r="H1454" t="s">
        <v>161</v>
      </c>
      <c r="I1454" t="s">
        <v>82</v>
      </c>
      <c r="J1454">
        <v>799</v>
      </c>
      <c r="K1454">
        <v>1</v>
      </c>
      <c r="L1454">
        <v>858.27</v>
      </c>
      <c r="M1454">
        <v>128.74</v>
      </c>
      <c r="N1454">
        <v>858.27</v>
      </c>
      <c r="O1454">
        <v>729.53</v>
      </c>
      <c r="P1454" t="s">
        <v>2111</v>
      </c>
      <c r="Q1454" t="s">
        <v>498</v>
      </c>
    </row>
    <row r="1455" spans="1:17" x14ac:dyDescent="0.3">
      <c r="A1455" t="s">
        <v>2356</v>
      </c>
      <c r="B1455" t="s">
        <v>195</v>
      </c>
      <c r="C1455" s="1">
        <v>46157</v>
      </c>
      <c r="D1455" t="s">
        <v>41</v>
      </c>
      <c r="E1455" t="s">
        <v>50</v>
      </c>
      <c r="F1455" t="s">
        <v>31</v>
      </c>
      <c r="G1455" t="s">
        <v>112</v>
      </c>
      <c r="H1455" t="s">
        <v>113</v>
      </c>
      <c r="I1455" t="s">
        <v>37</v>
      </c>
      <c r="J1455">
        <v>1499</v>
      </c>
      <c r="K1455">
        <v>1</v>
      </c>
      <c r="L1455">
        <v>1350.34</v>
      </c>
      <c r="M1455">
        <v>67.52</v>
      </c>
      <c r="N1455">
        <v>1350.34</v>
      </c>
      <c r="O1455">
        <v>1282.82</v>
      </c>
      <c r="P1455" t="s">
        <v>2111</v>
      </c>
      <c r="Q1455" t="s">
        <v>1479</v>
      </c>
    </row>
    <row r="1456" spans="1:17" x14ac:dyDescent="0.3">
      <c r="A1456" t="s">
        <v>1054</v>
      </c>
      <c r="B1456" t="s">
        <v>1053</v>
      </c>
      <c r="C1456" s="1">
        <v>46102</v>
      </c>
      <c r="D1456" t="s">
        <v>34</v>
      </c>
      <c r="E1456" t="s">
        <v>50</v>
      </c>
      <c r="F1456" t="s">
        <v>47</v>
      </c>
      <c r="G1456" t="s">
        <v>91</v>
      </c>
      <c r="H1456" t="s">
        <v>92</v>
      </c>
      <c r="I1456" t="s">
        <v>37</v>
      </c>
      <c r="J1456">
        <v>1899</v>
      </c>
      <c r="K1456">
        <v>2</v>
      </c>
      <c r="L1456">
        <v>1717.09</v>
      </c>
      <c r="M1456">
        <v>686.84</v>
      </c>
      <c r="N1456">
        <v>3434.18</v>
      </c>
      <c r="O1456">
        <v>2747.34</v>
      </c>
      <c r="P1456" t="s">
        <v>2111</v>
      </c>
      <c r="Q1456" t="s">
        <v>789</v>
      </c>
    </row>
    <row r="1457" spans="1:17" x14ac:dyDescent="0.3">
      <c r="A1457" t="s">
        <v>2156</v>
      </c>
      <c r="B1457" t="s">
        <v>2157</v>
      </c>
      <c r="C1457" s="1">
        <v>46123</v>
      </c>
      <c r="D1457" t="s">
        <v>63</v>
      </c>
      <c r="E1457" t="s">
        <v>50</v>
      </c>
      <c r="F1457" t="s">
        <v>31</v>
      </c>
      <c r="G1457" t="s">
        <v>191</v>
      </c>
      <c r="H1457" t="s">
        <v>192</v>
      </c>
      <c r="I1457" t="s">
        <v>45</v>
      </c>
      <c r="J1457">
        <v>699</v>
      </c>
      <c r="K1457">
        <v>2</v>
      </c>
      <c r="L1457">
        <v>694.23</v>
      </c>
      <c r="M1457">
        <v>138.85</v>
      </c>
      <c r="N1457">
        <v>1388.46</v>
      </c>
      <c r="O1457">
        <v>1249.6099999999999</v>
      </c>
      <c r="P1457" t="s">
        <v>2111</v>
      </c>
      <c r="Q1457" t="s">
        <v>1170</v>
      </c>
    </row>
    <row r="1458" spans="1:17" x14ac:dyDescent="0.3">
      <c r="A1458" t="s">
        <v>1475</v>
      </c>
      <c r="B1458" t="s">
        <v>1474</v>
      </c>
      <c r="C1458" s="1">
        <v>46142</v>
      </c>
      <c r="D1458" t="s">
        <v>26</v>
      </c>
      <c r="E1458" t="s">
        <v>17</v>
      </c>
      <c r="F1458" t="s">
        <v>22</v>
      </c>
      <c r="G1458" t="s">
        <v>149</v>
      </c>
      <c r="H1458" t="s">
        <v>150</v>
      </c>
      <c r="I1458" t="s">
        <v>37</v>
      </c>
      <c r="J1458">
        <v>2999</v>
      </c>
      <c r="K1458">
        <v>2</v>
      </c>
      <c r="L1458">
        <v>2842.28</v>
      </c>
      <c r="M1458">
        <v>852.68</v>
      </c>
      <c r="N1458">
        <v>5684.56</v>
      </c>
      <c r="O1458">
        <v>4831.88</v>
      </c>
      <c r="P1458" t="s">
        <v>2111</v>
      </c>
      <c r="Q1458" t="s">
        <v>1170</v>
      </c>
    </row>
    <row r="1459" spans="1:17" x14ac:dyDescent="0.3">
      <c r="A1459" t="s">
        <v>2708</v>
      </c>
      <c r="B1459" t="s">
        <v>436</v>
      </c>
      <c r="C1459" s="1">
        <v>46099</v>
      </c>
      <c r="D1459" t="s">
        <v>26</v>
      </c>
      <c r="E1459" t="s">
        <v>17</v>
      </c>
      <c r="F1459" t="s">
        <v>60</v>
      </c>
      <c r="G1459" t="s">
        <v>96</v>
      </c>
      <c r="H1459" t="s">
        <v>97</v>
      </c>
      <c r="I1459" t="s">
        <v>58</v>
      </c>
      <c r="J1459">
        <v>7499</v>
      </c>
      <c r="K1459">
        <v>1</v>
      </c>
      <c r="L1459">
        <v>7783.72</v>
      </c>
      <c r="M1459">
        <v>1167.56</v>
      </c>
      <c r="N1459">
        <v>7783.72</v>
      </c>
      <c r="O1459">
        <v>6616.16</v>
      </c>
      <c r="P1459" t="s">
        <v>2114</v>
      </c>
      <c r="Q1459" t="s">
        <v>789</v>
      </c>
    </row>
    <row r="1460" spans="1:17" x14ac:dyDescent="0.3">
      <c r="A1460" t="s">
        <v>2006</v>
      </c>
      <c r="B1460" t="s">
        <v>2005</v>
      </c>
      <c r="C1460" s="1">
        <v>46195</v>
      </c>
      <c r="D1460" t="s">
        <v>16</v>
      </c>
      <c r="E1460" t="s">
        <v>50</v>
      </c>
      <c r="F1460" t="s">
        <v>74</v>
      </c>
      <c r="G1460" t="s">
        <v>43</v>
      </c>
      <c r="H1460" t="s">
        <v>44</v>
      </c>
      <c r="I1460" t="s">
        <v>45</v>
      </c>
      <c r="J1460">
        <v>3299</v>
      </c>
      <c r="K1460">
        <v>1</v>
      </c>
      <c r="L1460">
        <v>3342.26</v>
      </c>
      <c r="M1460">
        <v>0</v>
      </c>
      <c r="N1460">
        <v>3342.26</v>
      </c>
      <c r="O1460">
        <v>3342.26</v>
      </c>
      <c r="P1460" t="s">
        <v>2114</v>
      </c>
      <c r="Q1460" t="s">
        <v>1809</v>
      </c>
    </row>
    <row r="1461" spans="1:17" x14ac:dyDescent="0.3">
      <c r="A1461" t="s">
        <v>608</v>
      </c>
      <c r="B1461" t="s">
        <v>607</v>
      </c>
      <c r="C1461" s="1">
        <v>46063</v>
      </c>
      <c r="D1461" t="s">
        <v>16</v>
      </c>
      <c r="E1461" t="s">
        <v>17</v>
      </c>
      <c r="F1461" t="s">
        <v>47</v>
      </c>
      <c r="G1461" t="s">
        <v>106</v>
      </c>
      <c r="H1461" t="s">
        <v>107</v>
      </c>
      <c r="I1461" t="s">
        <v>108</v>
      </c>
      <c r="J1461">
        <v>599</v>
      </c>
      <c r="K1461">
        <v>1</v>
      </c>
      <c r="L1461">
        <v>548.38</v>
      </c>
      <c r="M1461">
        <v>82.26</v>
      </c>
      <c r="N1461">
        <v>548.38</v>
      </c>
      <c r="O1461">
        <v>466.12</v>
      </c>
      <c r="P1461" t="s">
        <v>2111</v>
      </c>
      <c r="Q1461" t="s">
        <v>498</v>
      </c>
    </row>
    <row r="1462" spans="1:17" x14ac:dyDescent="0.3">
      <c r="A1462" t="s">
        <v>2337</v>
      </c>
      <c r="B1462" t="s">
        <v>2338</v>
      </c>
      <c r="C1462" s="1">
        <v>46048</v>
      </c>
      <c r="D1462" t="s">
        <v>34</v>
      </c>
      <c r="E1462" t="s">
        <v>17</v>
      </c>
      <c r="F1462" t="s">
        <v>47</v>
      </c>
      <c r="G1462" t="s">
        <v>27</v>
      </c>
      <c r="H1462" t="s">
        <v>28</v>
      </c>
      <c r="I1462" t="s">
        <v>29</v>
      </c>
      <c r="J1462">
        <v>1599</v>
      </c>
      <c r="K1462">
        <v>1</v>
      </c>
      <c r="L1462">
        <v>1491.11</v>
      </c>
      <c r="M1462">
        <v>74.56</v>
      </c>
      <c r="N1462">
        <v>1491.11</v>
      </c>
      <c r="O1462">
        <v>1416.55</v>
      </c>
      <c r="P1462" t="s">
        <v>2111</v>
      </c>
      <c r="Q1462" t="s">
        <v>23</v>
      </c>
    </row>
    <row r="1463" spans="1:17" x14ac:dyDescent="0.3">
      <c r="A1463" t="s">
        <v>419</v>
      </c>
      <c r="B1463" t="s">
        <v>418</v>
      </c>
      <c r="C1463" s="1">
        <v>46047</v>
      </c>
      <c r="D1463" t="s">
        <v>41</v>
      </c>
      <c r="E1463" t="s">
        <v>17</v>
      </c>
      <c r="F1463" t="s">
        <v>74</v>
      </c>
      <c r="G1463" t="s">
        <v>91</v>
      </c>
      <c r="H1463" t="s">
        <v>92</v>
      </c>
      <c r="I1463" t="s">
        <v>37</v>
      </c>
      <c r="J1463">
        <v>1899</v>
      </c>
      <c r="K1463">
        <v>3</v>
      </c>
      <c r="L1463">
        <v>1856.48</v>
      </c>
      <c r="M1463">
        <v>278.47000000000003</v>
      </c>
      <c r="N1463">
        <v>5569.44</v>
      </c>
      <c r="O1463">
        <v>5290.97</v>
      </c>
      <c r="P1463" t="s">
        <v>2114</v>
      </c>
      <c r="Q1463" t="s">
        <v>23</v>
      </c>
    </row>
    <row r="1464" spans="1:17" x14ac:dyDescent="0.3">
      <c r="A1464" t="s">
        <v>2805</v>
      </c>
      <c r="B1464" t="s">
        <v>263</v>
      </c>
      <c r="C1464" s="1">
        <v>46052</v>
      </c>
      <c r="D1464" t="s">
        <v>16</v>
      </c>
      <c r="E1464" t="s">
        <v>50</v>
      </c>
      <c r="F1464" t="s">
        <v>22</v>
      </c>
      <c r="G1464" t="s">
        <v>165</v>
      </c>
      <c r="H1464" t="s">
        <v>166</v>
      </c>
      <c r="I1464" t="s">
        <v>29</v>
      </c>
      <c r="J1464">
        <v>449</v>
      </c>
      <c r="K1464">
        <v>1</v>
      </c>
      <c r="L1464">
        <v>420.77</v>
      </c>
      <c r="M1464">
        <v>21.04</v>
      </c>
      <c r="N1464">
        <v>420.77</v>
      </c>
      <c r="O1464">
        <v>399.73</v>
      </c>
      <c r="P1464" t="s">
        <v>2111</v>
      </c>
      <c r="Q1464" t="s">
        <v>23</v>
      </c>
    </row>
    <row r="1465" spans="1:17" x14ac:dyDescent="0.3">
      <c r="A1465" t="s">
        <v>2138</v>
      </c>
      <c r="B1465" t="s">
        <v>2139</v>
      </c>
      <c r="C1465" s="1">
        <v>46158</v>
      </c>
      <c r="D1465" t="s">
        <v>41</v>
      </c>
      <c r="E1465" t="s">
        <v>17</v>
      </c>
      <c r="F1465" t="s">
        <v>47</v>
      </c>
      <c r="G1465" t="s">
        <v>165</v>
      </c>
      <c r="H1465" t="s">
        <v>166</v>
      </c>
      <c r="I1465" t="s">
        <v>29</v>
      </c>
      <c r="J1465">
        <v>449</v>
      </c>
      <c r="K1465">
        <v>1</v>
      </c>
      <c r="L1465">
        <v>475.24</v>
      </c>
      <c r="M1465">
        <v>71.290000000000006</v>
      </c>
      <c r="N1465">
        <v>475.24</v>
      </c>
      <c r="O1465">
        <v>403.95</v>
      </c>
      <c r="P1465" t="s">
        <v>2111</v>
      </c>
      <c r="Q1465" t="s">
        <v>1479</v>
      </c>
    </row>
    <row r="1466" spans="1:17" x14ac:dyDescent="0.3">
      <c r="A1466" t="s">
        <v>2406</v>
      </c>
      <c r="B1466" t="s">
        <v>1031</v>
      </c>
      <c r="C1466" s="1">
        <v>46076</v>
      </c>
      <c r="D1466" t="s">
        <v>34</v>
      </c>
      <c r="E1466" t="s">
        <v>50</v>
      </c>
      <c r="F1466" t="s">
        <v>74</v>
      </c>
      <c r="G1466" t="s">
        <v>43</v>
      </c>
      <c r="H1466" t="s">
        <v>44</v>
      </c>
      <c r="I1466" t="s">
        <v>45</v>
      </c>
      <c r="J1466">
        <v>3299</v>
      </c>
      <c r="K1466">
        <v>2</v>
      </c>
      <c r="L1466">
        <v>3243.62</v>
      </c>
      <c r="M1466">
        <v>324.36</v>
      </c>
      <c r="N1466">
        <v>6487.24</v>
      </c>
      <c r="O1466">
        <v>6162.88</v>
      </c>
      <c r="P1466" t="s">
        <v>2111</v>
      </c>
      <c r="Q1466" t="s">
        <v>498</v>
      </c>
    </row>
    <row r="1467" spans="1:17" x14ac:dyDescent="0.3">
      <c r="A1467" t="s">
        <v>2806</v>
      </c>
      <c r="B1467" t="s">
        <v>2807</v>
      </c>
      <c r="C1467" s="1">
        <v>46027</v>
      </c>
      <c r="D1467" t="s">
        <v>16</v>
      </c>
      <c r="E1467" t="s">
        <v>17</v>
      </c>
      <c r="F1467" t="s">
        <v>22</v>
      </c>
      <c r="G1467" t="s">
        <v>43</v>
      </c>
      <c r="H1467" t="s">
        <v>44</v>
      </c>
      <c r="I1467" t="s">
        <v>45</v>
      </c>
      <c r="J1467">
        <v>3299</v>
      </c>
      <c r="K1467">
        <v>1</v>
      </c>
      <c r="L1467">
        <v>3030.75</v>
      </c>
      <c r="M1467">
        <v>0</v>
      </c>
      <c r="N1467">
        <v>3030.75</v>
      </c>
      <c r="O1467">
        <v>3030.75</v>
      </c>
      <c r="P1467" t="s">
        <v>2111</v>
      </c>
      <c r="Q1467" t="s">
        <v>23</v>
      </c>
    </row>
    <row r="1468" spans="1:17" x14ac:dyDescent="0.3">
      <c r="A1468" t="s">
        <v>2548</v>
      </c>
      <c r="B1468" t="s">
        <v>1068</v>
      </c>
      <c r="C1468" s="1">
        <v>46133</v>
      </c>
      <c r="D1468" t="s">
        <v>26</v>
      </c>
      <c r="E1468" t="s">
        <v>17</v>
      </c>
      <c r="F1468" t="s">
        <v>22</v>
      </c>
      <c r="G1468" t="s">
        <v>80</v>
      </c>
      <c r="H1468" t="s">
        <v>81</v>
      </c>
      <c r="I1468" t="s">
        <v>82</v>
      </c>
      <c r="J1468">
        <v>4299</v>
      </c>
      <c r="K1468">
        <v>1</v>
      </c>
      <c r="L1468">
        <v>4285.54</v>
      </c>
      <c r="M1468">
        <v>642.83000000000004</v>
      </c>
      <c r="N1468">
        <v>4285.54</v>
      </c>
      <c r="O1468">
        <v>3642.71</v>
      </c>
      <c r="P1468" t="s">
        <v>2111</v>
      </c>
      <c r="Q1468" t="s">
        <v>1170</v>
      </c>
    </row>
    <row r="1469" spans="1:17" x14ac:dyDescent="0.3">
      <c r="A1469" t="s">
        <v>2808</v>
      </c>
      <c r="B1469" t="s">
        <v>1474</v>
      </c>
      <c r="C1469" s="1">
        <v>46148</v>
      </c>
      <c r="D1469" t="s">
        <v>26</v>
      </c>
      <c r="E1469" t="s">
        <v>17</v>
      </c>
      <c r="F1469" t="s">
        <v>31</v>
      </c>
      <c r="G1469" t="s">
        <v>101</v>
      </c>
      <c r="H1469" t="s">
        <v>102</v>
      </c>
      <c r="I1469" t="s">
        <v>45</v>
      </c>
      <c r="J1469">
        <v>4999</v>
      </c>
      <c r="K1469">
        <v>2</v>
      </c>
      <c r="L1469">
        <v>4589.92</v>
      </c>
      <c r="M1469">
        <v>0</v>
      </c>
      <c r="N1469">
        <v>9179.84</v>
      </c>
      <c r="O1469">
        <v>9179.84</v>
      </c>
      <c r="P1469" t="s">
        <v>2111</v>
      </c>
      <c r="Q1469" t="s">
        <v>1479</v>
      </c>
    </row>
    <row r="1470" spans="1:17" x14ac:dyDescent="0.3">
      <c r="A1470" t="s">
        <v>2809</v>
      </c>
      <c r="B1470" t="s">
        <v>2810</v>
      </c>
      <c r="C1470" s="1">
        <v>46098</v>
      </c>
      <c r="D1470" t="s">
        <v>34</v>
      </c>
      <c r="E1470" t="s">
        <v>17</v>
      </c>
      <c r="F1470" t="s">
        <v>22</v>
      </c>
      <c r="G1470" t="s">
        <v>27</v>
      </c>
      <c r="H1470" t="s">
        <v>28</v>
      </c>
      <c r="I1470" t="s">
        <v>29</v>
      </c>
      <c r="J1470">
        <v>1599</v>
      </c>
      <c r="K1470">
        <v>2</v>
      </c>
      <c r="L1470">
        <v>1480.33</v>
      </c>
      <c r="M1470">
        <v>0</v>
      </c>
      <c r="N1470">
        <v>2960.66</v>
      </c>
      <c r="O1470">
        <v>2960.66</v>
      </c>
      <c r="P1470" t="s">
        <v>2111</v>
      </c>
      <c r="Q1470" t="s">
        <v>789</v>
      </c>
    </row>
    <row r="1471" spans="1:17" x14ac:dyDescent="0.3">
      <c r="A1471" t="s">
        <v>2811</v>
      </c>
      <c r="B1471" t="s">
        <v>2812</v>
      </c>
      <c r="C1471" s="1">
        <v>46071</v>
      </c>
      <c r="D1471" t="s">
        <v>26</v>
      </c>
      <c r="E1471" t="s">
        <v>17</v>
      </c>
      <c r="F1471" t="s">
        <v>60</v>
      </c>
      <c r="G1471" t="s">
        <v>149</v>
      </c>
      <c r="H1471" t="s">
        <v>150</v>
      </c>
      <c r="I1471" t="s">
        <v>37</v>
      </c>
      <c r="J1471">
        <v>2999</v>
      </c>
      <c r="K1471">
        <v>2</v>
      </c>
      <c r="L1471">
        <v>2842.82</v>
      </c>
      <c r="M1471">
        <v>284.27999999999997</v>
      </c>
      <c r="N1471">
        <v>5685.64</v>
      </c>
      <c r="O1471">
        <v>5401.36</v>
      </c>
      <c r="P1471" t="s">
        <v>2111</v>
      </c>
      <c r="Q1471" t="s">
        <v>498</v>
      </c>
    </row>
    <row r="1472" spans="1:17" x14ac:dyDescent="0.3">
      <c r="A1472" t="s">
        <v>2357</v>
      </c>
      <c r="B1472" t="s">
        <v>2358</v>
      </c>
      <c r="C1472" s="1">
        <v>46111</v>
      </c>
      <c r="D1472" t="s">
        <v>63</v>
      </c>
      <c r="E1472" t="s">
        <v>17</v>
      </c>
      <c r="F1472" t="s">
        <v>47</v>
      </c>
      <c r="G1472" t="s">
        <v>86</v>
      </c>
      <c r="H1472" t="s">
        <v>87</v>
      </c>
      <c r="I1472" t="s">
        <v>82</v>
      </c>
      <c r="J1472">
        <v>3499</v>
      </c>
      <c r="K1472">
        <v>1</v>
      </c>
      <c r="L1472">
        <v>3750.6</v>
      </c>
      <c r="M1472">
        <v>187.53</v>
      </c>
      <c r="N1472">
        <v>3750.6</v>
      </c>
      <c r="O1472">
        <v>3563.07</v>
      </c>
      <c r="P1472" t="s">
        <v>2111</v>
      </c>
      <c r="Q1472" t="s">
        <v>789</v>
      </c>
    </row>
    <row r="1473" spans="1:17" x14ac:dyDescent="0.3">
      <c r="A1473" t="s">
        <v>2251</v>
      </c>
      <c r="B1473" t="s">
        <v>1216</v>
      </c>
      <c r="C1473" s="1">
        <v>46084</v>
      </c>
      <c r="D1473" t="s">
        <v>26</v>
      </c>
      <c r="E1473" t="s">
        <v>17</v>
      </c>
      <c r="F1473" t="s">
        <v>60</v>
      </c>
      <c r="G1473" t="s">
        <v>355</v>
      </c>
      <c r="H1473" t="s">
        <v>356</v>
      </c>
      <c r="I1473" t="s">
        <v>82</v>
      </c>
      <c r="J1473">
        <v>499</v>
      </c>
      <c r="K1473">
        <v>1</v>
      </c>
      <c r="L1473">
        <v>541.38</v>
      </c>
      <c r="M1473">
        <v>54.14</v>
      </c>
      <c r="N1473">
        <v>541.38</v>
      </c>
      <c r="O1473">
        <v>487.24</v>
      </c>
      <c r="P1473" t="s">
        <v>2111</v>
      </c>
      <c r="Q1473" t="s">
        <v>789</v>
      </c>
    </row>
    <row r="1474" spans="1:17" x14ac:dyDescent="0.3">
      <c r="A1474" t="s">
        <v>590</v>
      </c>
      <c r="B1474" t="s">
        <v>589</v>
      </c>
      <c r="C1474" s="1">
        <v>46062</v>
      </c>
      <c r="D1474" t="s">
        <v>63</v>
      </c>
      <c r="E1474" t="s">
        <v>17</v>
      </c>
      <c r="F1474" t="s">
        <v>74</v>
      </c>
      <c r="G1474" t="s">
        <v>86</v>
      </c>
      <c r="H1474" t="s">
        <v>87</v>
      </c>
      <c r="I1474" t="s">
        <v>82</v>
      </c>
      <c r="J1474">
        <v>3499</v>
      </c>
      <c r="K1474">
        <v>2</v>
      </c>
      <c r="L1474">
        <v>3727.32</v>
      </c>
      <c r="M1474">
        <v>0</v>
      </c>
      <c r="N1474">
        <v>7454.64</v>
      </c>
      <c r="O1474">
        <v>7454.64</v>
      </c>
      <c r="P1474" t="s">
        <v>2111</v>
      </c>
      <c r="Q1474" t="s">
        <v>498</v>
      </c>
    </row>
    <row r="1475" spans="1:17" x14ac:dyDescent="0.3">
      <c r="A1475" t="s">
        <v>923</v>
      </c>
      <c r="B1475" t="s">
        <v>922</v>
      </c>
      <c r="C1475" s="1">
        <v>46091</v>
      </c>
      <c r="D1475" t="s">
        <v>26</v>
      </c>
      <c r="E1475" t="s">
        <v>50</v>
      </c>
      <c r="F1475" t="s">
        <v>74</v>
      </c>
      <c r="G1475" t="s">
        <v>160</v>
      </c>
      <c r="H1475" t="s">
        <v>161</v>
      </c>
      <c r="I1475" t="s">
        <v>82</v>
      </c>
      <c r="J1475">
        <v>799</v>
      </c>
      <c r="K1475">
        <v>1</v>
      </c>
      <c r="L1475">
        <v>772.49</v>
      </c>
      <c r="M1475">
        <v>193.12</v>
      </c>
      <c r="N1475">
        <v>772.49</v>
      </c>
      <c r="O1475">
        <v>579.37</v>
      </c>
      <c r="P1475" t="s">
        <v>2111</v>
      </c>
      <c r="Q1475" t="s">
        <v>789</v>
      </c>
    </row>
    <row r="1476" spans="1:17" x14ac:dyDescent="0.3">
      <c r="A1476" t="s">
        <v>1259</v>
      </c>
      <c r="B1476" t="s">
        <v>1258</v>
      </c>
      <c r="C1476" s="1">
        <v>46122</v>
      </c>
      <c r="D1476" t="s">
        <v>41</v>
      </c>
      <c r="E1476" t="s">
        <v>17</v>
      </c>
      <c r="F1476" t="s">
        <v>60</v>
      </c>
      <c r="G1476" t="s">
        <v>355</v>
      </c>
      <c r="H1476" t="s">
        <v>356</v>
      </c>
      <c r="I1476" t="s">
        <v>82</v>
      </c>
      <c r="J1476">
        <v>499</v>
      </c>
      <c r="K1476">
        <v>1</v>
      </c>
      <c r="L1476">
        <v>476.29</v>
      </c>
      <c r="M1476">
        <v>71.44</v>
      </c>
      <c r="N1476">
        <v>476.29</v>
      </c>
      <c r="O1476">
        <v>404.85</v>
      </c>
      <c r="P1476" t="s">
        <v>2111</v>
      </c>
      <c r="Q1476" t="s">
        <v>1170</v>
      </c>
    </row>
    <row r="1477" spans="1:17" x14ac:dyDescent="0.3">
      <c r="A1477" t="s">
        <v>2813</v>
      </c>
      <c r="B1477" t="s">
        <v>2814</v>
      </c>
      <c r="C1477" s="1">
        <v>46097</v>
      </c>
      <c r="D1477" t="s">
        <v>34</v>
      </c>
      <c r="E1477" t="s">
        <v>17</v>
      </c>
      <c r="F1477" t="s">
        <v>47</v>
      </c>
      <c r="G1477" t="s">
        <v>355</v>
      </c>
      <c r="H1477" t="s">
        <v>356</v>
      </c>
      <c r="I1477" t="s">
        <v>82</v>
      </c>
      <c r="J1477">
        <v>499</v>
      </c>
      <c r="K1477">
        <v>3</v>
      </c>
      <c r="L1477">
        <v>503.91</v>
      </c>
      <c r="M1477">
        <v>75.59</v>
      </c>
      <c r="N1477">
        <v>1511.73</v>
      </c>
      <c r="O1477">
        <v>1436.14</v>
      </c>
      <c r="P1477" t="s">
        <v>2111</v>
      </c>
      <c r="Q1477" t="s">
        <v>789</v>
      </c>
    </row>
    <row r="1478" spans="1:17" x14ac:dyDescent="0.3">
      <c r="A1478" t="s">
        <v>2815</v>
      </c>
      <c r="B1478" t="s">
        <v>2816</v>
      </c>
      <c r="C1478" s="1">
        <v>46110</v>
      </c>
      <c r="D1478" t="s">
        <v>34</v>
      </c>
      <c r="E1478" t="s">
        <v>17</v>
      </c>
      <c r="F1478" t="s">
        <v>74</v>
      </c>
      <c r="G1478" t="s">
        <v>355</v>
      </c>
      <c r="H1478" t="s">
        <v>356</v>
      </c>
      <c r="I1478" t="s">
        <v>82</v>
      </c>
      <c r="J1478">
        <v>499</v>
      </c>
      <c r="K1478">
        <v>1</v>
      </c>
      <c r="L1478">
        <v>521.14</v>
      </c>
      <c r="M1478">
        <v>26.06</v>
      </c>
      <c r="N1478">
        <v>521.14</v>
      </c>
      <c r="O1478">
        <v>495.08</v>
      </c>
      <c r="P1478" t="s">
        <v>2114</v>
      </c>
      <c r="Q1478" t="s">
        <v>789</v>
      </c>
    </row>
    <row r="1479" spans="1:17" x14ac:dyDescent="0.3">
      <c r="A1479" t="s">
        <v>1322</v>
      </c>
      <c r="B1479" t="s">
        <v>1321</v>
      </c>
      <c r="C1479" s="1">
        <v>46130</v>
      </c>
      <c r="D1479" t="s">
        <v>26</v>
      </c>
      <c r="E1479" t="s">
        <v>17</v>
      </c>
      <c r="F1479" t="s">
        <v>60</v>
      </c>
      <c r="G1479" t="s">
        <v>165</v>
      </c>
      <c r="H1479" t="s">
        <v>166</v>
      </c>
      <c r="I1479" t="s">
        <v>29</v>
      </c>
      <c r="J1479">
        <v>449</v>
      </c>
      <c r="K1479">
        <v>2</v>
      </c>
      <c r="L1479">
        <v>493.3</v>
      </c>
      <c r="M1479">
        <v>98.66</v>
      </c>
      <c r="N1479">
        <v>986.6</v>
      </c>
      <c r="O1479">
        <v>887.94</v>
      </c>
      <c r="P1479" t="s">
        <v>2111</v>
      </c>
      <c r="Q1479" t="s">
        <v>1170</v>
      </c>
    </row>
    <row r="1480" spans="1:17" x14ac:dyDescent="0.3">
      <c r="A1480" t="s">
        <v>996</v>
      </c>
      <c r="B1480" t="s">
        <v>995</v>
      </c>
      <c r="C1480" s="1">
        <v>46097</v>
      </c>
      <c r="D1480" t="s">
        <v>16</v>
      </c>
      <c r="E1480" t="s">
        <v>50</v>
      </c>
      <c r="F1480" t="s">
        <v>74</v>
      </c>
      <c r="G1480" t="s">
        <v>250</v>
      </c>
      <c r="H1480" t="s">
        <v>251</v>
      </c>
      <c r="I1480" t="s">
        <v>108</v>
      </c>
      <c r="J1480">
        <v>899</v>
      </c>
      <c r="K1480">
        <v>1</v>
      </c>
      <c r="L1480">
        <v>832.76</v>
      </c>
      <c r="M1480">
        <v>83.28</v>
      </c>
      <c r="N1480">
        <v>832.76</v>
      </c>
      <c r="O1480">
        <v>749.48</v>
      </c>
      <c r="P1480" t="s">
        <v>2111</v>
      </c>
      <c r="Q1480" t="s">
        <v>789</v>
      </c>
    </row>
    <row r="1481" spans="1:17" x14ac:dyDescent="0.3">
      <c r="A1481" t="s">
        <v>2547</v>
      </c>
      <c r="B1481" t="s">
        <v>978</v>
      </c>
      <c r="C1481" s="1">
        <v>46171</v>
      </c>
      <c r="D1481" t="s">
        <v>16</v>
      </c>
      <c r="E1481" t="s">
        <v>50</v>
      </c>
      <c r="F1481" t="s">
        <v>47</v>
      </c>
      <c r="G1481" t="s">
        <v>165</v>
      </c>
      <c r="H1481" t="s">
        <v>166</v>
      </c>
      <c r="I1481" t="s">
        <v>29</v>
      </c>
      <c r="J1481">
        <v>449</v>
      </c>
      <c r="K1481">
        <v>1</v>
      </c>
      <c r="L1481">
        <v>408.53</v>
      </c>
      <c r="M1481">
        <v>0</v>
      </c>
      <c r="N1481">
        <v>408.53</v>
      </c>
      <c r="O1481">
        <v>408.53</v>
      </c>
      <c r="P1481" t="s">
        <v>2111</v>
      </c>
      <c r="Q1481" t="s">
        <v>1479</v>
      </c>
    </row>
    <row r="1482" spans="1:17" x14ac:dyDescent="0.3">
      <c r="A1482" t="s">
        <v>1514</v>
      </c>
      <c r="B1482" t="s">
        <v>1513</v>
      </c>
      <c r="C1482" s="1">
        <v>46145</v>
      </c>
      <c r="D1482" t="s">
        <v>34</v>
      </c>
      <c r="E1482" t="s">
        <v>50</v>
      </c>
      <c r="F1482" t="s">
        <v>22</v>
      </c>
      <c r="G1482" t="s">
        <v>126</v>
      </c>
      <c r="H1482" t="s">
        <v>127</v>
      </c>
      <c r="I1482" t="s">
        <v>45</v>
      </c>
      <c r="J1482">
        <v>2499</v>
      </c>
      <c r="K1482">
        <v>1</v>
      </c>
      <c r="L1482">
        <v>2596.14</v>
      </c>
      <c r="M1482">
        <v>0</v>
      </c>
      <c r="N1482">
        <v>2596.14</v>
      </c>
      <c r="O1482">
        <v>2596.14</v>
      </c>
      <c r="P1482" t="s">
        <v>2114</v>
      </c>
      <c r="Q1482" t="s">
        <v>1479</v>
      </c>
    </row>
    <row r="1483" spans="1:17" x14ac:dyDescent="0.3">
      <c r="A1483" t="s">
        <v>2414</v>
      </c>
      <c r="B1483" t="s">
        <v>2415</v>
      </c>
      <c r="C1483" s="1">
        <v>46140</v>
      </c>
      <c r="D1483" t="s">
        <v>26</v>
      </c>
      <c r="E1483" t="s">
        <v>17</v>
      </c>
      <c r="F1483" t="s">
        <v>22</v>
      </c>
      <c r="G1483" t="s">
        <v>86</v>
      </c>
      <c r="H1483" t="s">
        <v>87</v>
      </c>
      <c r="I1483" t="s">
        <v>82</v>
      </c>
      <c r="J1483">
        <v>3499</v>
      </c>
      <c r="K1483">
        <v>2</v>
      </c>
      <c r="L1483">
        <v>3731.49</v>
      </c>
      <c r="M1483">
        <v>1492.6</v>
      </c>
      <c r="N1483">
        <v>7462.98</v>
      </c>
      <c r="O1483">
        <v>5970.38</v>
      </c>
      <c r="P1483" t="s">
        <v>2111</v>
      </c>
      <c r="Q1483" t="s">
        <v>1170</v>
      </c>
    </row>
    <row r="1484" spans="1:17" x14ac:dyDescent="0.3">
      <c r="A1484" t="s">
        <v>1208</v>
      </c>
      <c r="B1484" t="s">
        <v>1207</v>
      </c>
      <c r="C1484" s="1">
        <v>46118</v>
      </c>
      <c r="D1484" t="s">
        <v>16</v>
      </c>
      <c r="E1484" t="s">
        <v>50</v>
      </c>
      <c r="F1484" t="s">
        <v>60</v>
      </c>
      <c r="G1484" t="s">
        <v>160</v>
      </c>
      <c r="H1484" t="s">
        <v>161</v>
      </c>
      <c r="I1484" t="s">
        <v>82</v>
      </c>
      <c r="J1484">
        <v>799</v>
      </c>
      <c r="K1484">
        <v>1</v>
      </c>
      <c r="L1484">
        <v>854.35</v>
      </c>
      <c r="M1484">
        <v>42.72</v>
      </c>
      <c r="N1484">
        <v>854.35</v>
      </c>
      <c r="O1484">
        <v>811.63</v>
      </c>
      <c r="P1484" t="s">
        <v>2111</v>
      </c>
      <c r="Q1484" t="s">
        <v>1170</v>
      </c>
    </row>
    <row r="1485" spans="1:17" x14ac:dyDescent="0.3">
      <c r="A1485" t="s">
        <v>1836</v>
      </c>
      <c r="B1485" t="s">
        <v>1835</v>
      </c>
      <c r="C1485" s="1">
        <v>46175</v>
      </c>
      <c r="D1485" t="s">
        <v>63</v>
      </c>
      <c r="E1485" t="s">
        <v>17</v>
      </c>
      <c r="F1485" t="s">
        <v>60</v>
      </c>
      <c r="G1485" t="s">
        <v>101</v>
      </c>
      <c r="H1485" t="s">
        <v>102</v>
      </c>
      <c r="I1485" t="s">
        <v>45</v>
      </c>
      <c r="J1485">
        <v>4999</v>
      </c>
      <c r="K1485">
        <v>1</v>
      </c>
      <c r="L1485">
        <v>5177.43</v>
      </c>
      <c r="M1485">
        <v>517.74</v>
      </c>
      <c r="N1485">
        <v>5177.43</v>
      </c>
      <c r="O1485">
        <v>4659.6899999999996</v>
      </c>
      <c r="P1485" t="s">
        <v>2111</v>
      </c>
      <c r="Q1485" t="s">
        <v>1809</v>
      </c>
    </row>
    <row r="1486" spans="1:17" x14ac:dyDescent="0.3">
      <c r="A1486" t="s">
        <v>2817</v>
      </c>
      <c r="B1486" t="s">
        <v>2818</v>
      </c>
      <c r="C1486" s="1">
        <v>46118</v>
      </c>
      <c r="D1486" t="s">
        <v>16</v>
      </c>
      <c r="E1486" t="s">
        <v>17</v>
      </c>
      <c r="F1486" t="s">
        <v>47</v>
      </c>
      <c r="G1486" t="s">
        <v>106</v>
      </c>
      <c r="H1486" t="s">
        <v>107</v>
      </c>
      <c r="I1486" t="s">
        <v>108</v>
      </c>
      <c r="J1486">
        <v>599</v>
      </c>
      <c r="K1486">
        <v>2</v>
      </c>
      <c r="L1486">
        <v>653.39</v>
      </c>
      <c r="M1486">
        <v>261.36</v>
      </c>
      <c r="N1486">
        <v>1306.78</v>
      </c>
      <c r="O1486">
        <v>1045.42</v>
      </c>
      <c r="P1486" t="s">
        <v>2111</v>
      </c>
      <c r="Q1486" t="s">
        <v>1170</v>
      </c>
    </row>
    <row r="1487" spans="1:17" x14ac:dyDescent="0.3">
      <c r="A1487" t="s">
        <v>828</v>
      </c>
      <c r="B1487" t="s">
        <v>827</v>
      </c>
      <c r="C1487" s="1">
        <v>46084</v>
      </c>
      <c r="D1487" t="s">
        <v>16</v>
      </c>
      <c r="E1487" t="s">
        <v>50</v>
      </c>
      <c r="F1487" t="s">
        <v>31</v>
      </c>
      <c r="G1487" t="s">
        <v>35</v>
      </c>
      <c r="H1487" t="s">
        <v>36</v>
      </c>
      <c r="I1487" t="s">
        <v>37</v>
      </c>
      <c r="J1487">
        <v>799</v>
      </c>
      <c r="K1487">
        <v>2</v>
      </c>
      <c r="L1487">
        <v>800.76</v>
      </c>
      <c r="M1487">
        <v>240.23</v>
      </c>
      <c r="N1487">
        <v>1601.52</v>
      </c>
      <c r="O1487">
        <v>1361.29</v>
      </c>
      <c r="P1487" t="s">
        <v>2111</v>
      </c>
      <c r="Q1487" t="s">
        <v>789</v>
      </c>
    </row>
    <row r="1488" spans="1:17" x14ac:dyDescent="0.3">
      <c r="A1488" t="s">
        <v>1285</v>
      </c>
      <c r="B1488" t="s">
        <v>580</v>
      </c>
      <c r="C1488" s="1">
        <v>46126</v>
      </c>
      <c r="D1488" t="s">
        <v>63</v>
      </c>
      <c r="E1488" t="s">
        <v>17</v>
      </c>
      <c r="F1488" t="s">
        <v>31</v>
      </c>
      <c r="G1488" t="s">
        <v>56</v>
      </c>
      <c r="H1488" t="s">
        <v>57</v>
      </c>
      <c r="I1488" t="s">
        <v>58</v>
      </c>
      <c r="J1488">
        <v>8999</v>
      </c>
      <c r="K1488">
        <v>3</v>
      </c>
      <c r="L1488">
        <v>9743.7800000000007</v>
      </c>
      <c r="M1488">
        <v>1461.57</v>
      </c>
      <c r="N1488">
        <v>29231.34</v>
      </c>
      <c r="O1488">
        <v>27769.77</v>
      </c>
      <c r="P1488" t="s">
        <v>2111</v>
      </c>
      <c r="Q1488" t="s">
        <v>1170</v>
      </c>
    </row>
    <row r="1489" spans="1:17" x14ac:dyDescent="0.3">
      <c r="A1489" t="s">
        <v>1350</v>
      </c>
      <c r="B1489" t="s">
        <v>1349</v>
      </c>
      <c r="C1489" s="1">
        <v>46132</v>
      </c>
      <c r="D1489" t="s">
        <v>26</v>
      </c>
      <c r="E1489" t="s">
        <v>50</v>
      </c>
      <c r="F1489" t="s">
        <v>22</v>
      </c>
      <c r="G1489" t="s">
        <v>250</v>
      </c>
      <c r="H1489" t="s">
        <v>251</v>
      </c>
      <c r="I1489" t="s">
        <v>108</v>
      </c>
      <c r="J1489">
        <v>899</v>
      </c>
      <c r="K1489">
        <v>1</v>
      </c>
      <c r="L1489">
        <v>983.11</v>
      </c>
      <c r="M1489">
        <v>147.47</v>
      </c>
      <c r="N1489">
        <v>983.11</v>
      </c>
      <c r="O1489">
        <v>835.64</v>
      </c>
      <c r="P1489" t="s">
        <v>2114</v>
      </c>
      <c r="Q1489" t="s">
        <v>1170</v>
      </c>
    </row>
    <row r="1490" spans="1:17" x14ac:dyDescent="0.3">
      <c r="A1490" t="s">
        <v>273</v>
      </c>
      <c r="B1490" t="s">
        <v>272</v>
      </c>
      <c r="C1490" s="1">
        <v>46035</v>
      </c>
      <c r="D1490" t="s">
        <v>16</v>
      </c>
      <c r="E1490" t="s">
        <v>50</v>
      </c>
      <c r="F1490" t="s">
        <v>60</v>
      </c>
      <c r="G1490" t="s">
        <v>27</v>
      </c>
      <c r="H1490" t="s">
        <v>28</v>
      </c>
      <c r="I1490" t="s">
        <v>29</v>
      </c>
      <c r="J1490">
        <v>1599</v>
      </c>
      <c r="K1490">
        <v>1</v>
      </c>
      <c r="L1490">
        <v>1710.02</v>
      </c>
      <c r="M1490">
        <v>0</v>
      </c>
      <c r="N1490">
        <v>1710.02</v>
      </c>
      <c r="O1490">
        <v>1710.02</v>
      </c>
      <c r="P1490" t="s">
        <v>2111</v>
      </c>
      <c r="Q1490" t="s">
        <v>23</v>
      </c>
    </row>
    <row r="1491" spans="1:17" x14ac:dyDescent="0.3">
      <c r="A1491" t="s">
        <v>64</v>
      </c>
      <c r="B1491" t="s">
        <v>62</v>
      </c>
      <c r="C1491" s="1">
        <v>46023</v>
      </c>
      <c r="D1491" t="s">
        <v>34</v>
      </c>
      <c r="E1491" t="s">
        <v>17</v>
      </c>
      <c r="F1491" t="s">
        <v>22</v>
      </c>
      <c r="G1491" t="s">
        <v>56</v>
      </c>
      <c r="H1491" t="s">
        <v>57</v>
      </c>
      <c r="I1491" t="s">
        <v>58</v>
      </c>
      <c r="J1491">
        <v>8999</v>
      </c>
      <c r="K1491">
        <v>3</v>
      </c>
      <c r="L1491">
        <v>8656.6</v>
      </c>
      <c r="M1491">
        <v>3895.47</v>
      </c>
      <c r="N1491">
        <v>25969.8</v>
      </c>
      <c r="O1491">
        <v>22074.33</v>
      </c>
      <c r="P1491" t="s">
        <v>2111</v>
      </c>
      <c r="Q1491" t="s">
        <v>23</v>
      </c>
    </row>
    <row r="1492" spans="1:17" x14ac:dyDescent="0.3">
      <c r="A1492" t="s">
        <v>1478</v>
      </c>
      <c r="B1492" t="s">
        <v>1477</v>
      </c>
      <c r="C1492" s="1">
        <v>46143</v>
      </c>
      <c r="D1492" t="s">
        <v>26</v>
      </c>
      <c r="E1492" t="s">
        <v>17</v>
      </c>
      <c r="F1492" t="s">
        <v>31</v>
      </c>
      <c r="G1492" t="s">
        <v>160</v>
      </c>
      <c r="H1492" t="s">
        <v>161</v>
      </c>
      <c r="I1492" t="s">
        <v>82</v>
      </c>
      <c r="J1492">
        <v>799</v>
      </c>
      <c r="K1492">
        <v>2</v>
      </c>
      <c r="L1492">
        <v>750.46</v>
      </c>
      <c r="M1492">
        <v>150.09</v>
      </c>
      <c r="N1492">
        <v>1500.92</v>
      </c>
      <c r="O1492">
        <v>1350.83</v>
      </c>
      <c r="P1492" t="s">
        <v>2111</v>
      </c>
      <c r="Q1492" t="s">
        <v>1479</v>
      </c>
    </row>
    <row r="1493" spans="1:17" x14ac:dyDescent="0.3">
      <c r="A1493" t="s">
        <v>1035</v>
      </c>
      <c r="B1493" t="s">
        <v>1034</v>
      </c>
      <c r="C1493" s="1">
        <v>46099</v>
      </c>
      <c r="D1493" t="s">
        <v>16</v>
      </c>
      <c r="E1493" t="s">
        <v>17</v>
      </c>
      <c r="F1493" t="s">
        <v>47</v>
      </c>
      <c r="G1493" t="s">
        <v>51</v>
      </c>
      <c r="H1493" t="s">
        <v>52</v>
      </c>
      <c r="I1493" t="s">
        <v>20</v>
      </c>
      <c r="J1493">
        <v>999</v>
      </c>
      <c r="K1493">
        <v>1</v>
      </c>
      <c r="L1493">
        <v>1008.61</v>
      </c>
      <c r="M1493">
        <v>151.29</v>
      </c>
      <c r="N1493">
        <v>1008.61</v>
      </c>
      <c r="O1493">
        <v>857.32</v>
      </c>
      <c r="P1493" t="s">
        <v>2114</v>
      </c>
      <c r="Q1493" t="s">
        <v>789</v>
      </c>
    </row>
    <row r="1494" spans="1:17" x14ac:dyDescent="0.3">
      <c r="A1494" t="s">
        <v>2712</v>
      </c>
      <c r="B1494" t="s">
        <v>275</v>
      </c>
      <c r="C1494" s="1">
        <v>46079</v>
      </c>
      <c r="D1494" t="s">
        <v>26</v>
      </c>
      <c r="E1494" t="s">
        <v>17</v>
      </c>
      <c r="F1494" t="s">
        <v>31</v>
      </c>
      <c r="G1494" t="s">
        <v>250</v>
      </c>
      <c r="H1494" t="s">
        <v>251</v>
      </c>
      <c r="I1494" t="s">
        <v>108</v>
      </c>
      <c r="J1494">
        <v>899</v>
      </c>
      <c r="K1494">
        <v>1</v>
      </c>
      <c r="L1494">
        <v>890.55</v>
      </c>
      <c r="M1494">
        <v>222.64</v>
      </c>
      <c r="N1494">
        <v>890.55</v>
      </c>
      <c r="O1494">
        <v>667.91</v>
      </c>
      <c r="P1494" t="s">
        <v>2111</v>
      </c>
      <c r="Q1494" t="s">
        <v>498</v>
      </c>
    </row>
    <row r="1495" spans="1:17" x14ac:dyDescent="0.3">
      <c r="A1495" t="s">
        <v>673</v>
      </c>
      <c r="B1495" t="s">
        <v>672</v>
      </c>
      <c r="C1495" s="1">
        <v>46071</v>
      </c>
      <c r="D1495" t="s">
        <v>63</v>
      </c>
      <c r="E1495" t="s">
        <v>50</v>
      </c>
      <c r="F1495" t="s">
        <v>31</v>
      </c>
      <c r="G1495" t="s">
        <v>165</v>
      </c>
      <c r="H1495" t="s">
        <v>166</v>
      </c>
      <c r="I1495" t="s">
        <v>29</v>
      </c>
      <c r="J1495">
        <v>449</v>
      </c>
      <c r="K1495">
        <v>2</v>
      </c>
      <c r="L1495">
        <v>482.92</v>
      </c>
      <c r="M1495">
        <v>193.17</v>
      </c>
      <c r="N1495">
        <v>965.84</v>
      </c>
      <c r="O1495">
        <v>772.67</v>
      </c>
      <c r="P1495" t="s">
        <v>2111</v>
      </c>
      <c r="Q1495" t="s">
        <v>498</v>
      </c>
    </row>
    <row r="1496" spans="1:17" x14ac:dyDescent="0.3">
      <c r="A1496" t="s">
        <v>2767</v>
      </c>
      <c r="B1496" t="s">
        <v>2596</v>
      </c>
      <c r="C1496" s="1">
        <v>46195</v>
      </c>
      <c r="D1496" t="s">
        <v>41</v>
      </c>
      <c r="E1496" t="s">
        <v>50</v>
      </c>
      <c r="F1496" t="s">
        <v>60</v>
      </c>
      <c r="G1496" t="s">
        <v>149</v>
      </c>
      <c r="H1496" t="s">
        <v>150</v>
      </c>
      <c r="I1496" t="s">
        <v>37</v>
      </c>
      <c r="J1496">
        <v>2999</v>
      </c>
      <c r="K1496">
        <v>1</v>
      </c>
      <c r="L1496">
        <v>2759.1</v>
      </c>
      <c r="M1496">
        <v>551.82000000000005</v>
      </c>
      <c r="N1496">
        <v>2759.1</v>
      </c>
      <c r="O1496">
        <v>2207.2800000000002</v>
      </c>
      <c r="P1496" t="s">
        <v>2114</v>
      </c>
      <c r="Q1496" t="s">
        <v>1809</v>
      </c>
    </row>
    <row r="1497" spans="1:17" x14ac:dyDescent="0.3">
      <c r="A1497" t="s">
        <v>2668</v>
      </c>
      <c r="B1497" t="s">
        <v>2298</v>
      </c>
      <c r="C1497" s="1">
        <v>46039</v>
      </c>
      <c r="D1497" t="s">
        <v>41</v>
      </c>
      <c r="E1497" t="s">
        <v>50</v>
      </c>
      <c r="F1497" t="s">
        <v>47</v>
      </c>
      <c r="G1497" t="s">
        <v>56</v>
      </c>
      <c r="H1497" t="s">
        <v>57</v>
      </c>
      <c r="I1497" t="s">
        <v>58</v>
      </c>
      <c r="J1497">
        <v>8999</v>
      </c>
      <c r="K1497">
        <v>2</v>
      </c>
      <c r="L1497">
        <v>8562.98</v>
      </c>
      <c r="M1497">
        <v>1712.6</v>
      </c>
      <c r="N1497">
        <v>17125.96</v>
      </c>
      <c r="O1497">
        <v>15413.36</v>
      </c>
      <c r="P1497" t="s">
        <v>2111</v>
      </c>
      <c r="Q1497" t="s">
        <v>23</v>
      </c>
    </row>
    <row r="1498" spans="1:17" x14ac:dyDescent="0.3">
      <c r="A1498" t="s">
        <v>1704</v>
      </c>
      <c r="B1498" t="s">
        <v>1703</v>
      </c>
      <c r="C1498" s="1">
        <v>46163</v>
      </c>
      <c r="D1498" t="s">
        <v>41</v>
      </c>
      <c r="E1498" t="s">
        <v>17</v>
      </c>
      <c r="F1498" t="s">
        <v>74</v>
      </c>
      <c r="G1498" t="s">
        <v>51</v>
      </c>
      <c r="H1498" t="s">
        <v>52</v>
      </c>
      <c r="I1498" t="s">
        <v>20</v>
      </c>
      <c r="J1498">
        <v>999</v>
      </c>
      <c r="K1498">
        <v>1</v>
      </c>
      <c r="L1498">
        <v>1049.31</v>
      </c>
      <c r="M1498">
        <v>52.47</v>
      </c>
      <c r="N1498">
        <v>1049.31</v>
      </c>
      <c r="O1498">
        <v>996.84</v>
      </c>
      <c r="P1498" t="s">
        <v>2111</v>
      </c>
      <c r="Q1498" t="s">
        <v>1479</v>
      </c>
    </row>
    <row r="1499" spans="1:17" x14ac:dyDescent="0.3">
      <c r="A1499" t="s">
        <v>1350</v>
      </c>
      <c r="B1499" t="s">
        <v>1349</v>
      </c>
      <c r="C1499" s="1">
        <v>46132</v>
      </c>
      <c r="D1499" t="s">
        <v>26</v>
      </c>
      <c r="E1499" t="s">
        <v>50</v>
      </c>
      <c r="F1499" t="s">
        <v>22</v>
      </c>
      <c r="G1499" t="s">
        <v>96</v>
      </c>
      <c r="H1499" t="s">
        <v>97</v>
      </c>
      <c r="I1499" t="s">
        <v>58</v>
      </c>
      <c r="J1499">
        <v>7499</v>
      </c>
      <c r="K1499">
        <v>1</v>
      </c>
      <c r="L1499">
        <v>6891.56</v>
      </c>
      <c r="M1499">
        <v>689.16</v>
      </c>
      <c r="N1499">
        <v>6891.56</v>
      </c>
      <c r="O1499">
        <v>6202.4</v>
      </c>
      <c r="P1499" t="s">
        <v>2111</v>
      </c>
      <c r="Q1499" t="s">
        <v>1170</v>
      </c>
    </row>
    <row r="1500" spans="1:17" x14ac:dyDescent="0.3">
      <c r="A1500" t="s">
        <v>1358</v>
      </c>
      <c r="B1500" t="s">
        <v>1357</v>
      </c>
      <c r="C1500" s="1">
        <v>46133</v>
      </c>
      <c r="D1500" t="s">
        <v>41</v>
      </c>
      <c r="E1500" t="s">
        <v>17</v>
      </c>
      <c r="F1500" t="s">
        <v>31</v>
      </c>
      <c r="G1500" t="s">
        <v>91</v>
      </c>
      <c r="H1500" t="s">
        <v>92</v>
      </c>
      <c r="I1500" t="s">
        <v>37</v>
      </c>
      <c r="J1500">
        <v>1899</v>
      </c>
      <c r="K1500">
        <v>1</v>
      </c>
      <c r="L1500">
        <v>1830.93</v>
      </c>
      <c r="M1500">
        <v>274.64</v>
      </c>
      <c r="N1500">
        <v>1830.93</v>
      </c>
      <c r="O1500">
        <v>1556.29</v>
      </c>
      <c r="P1500" t="s">
        <v>2114</v>
      </c>
      <c r="Q1500" t="s">
        <v>1170</v>
      </c>
    </row>
    <row r="1501" spans="1:17" x14ac:dyDescent="0.3">
      <c r="A1501" t="s">
        <v>2819</v>
      </c>
      <c r="B1501" t="s">
        <v>2820</v>
      </c>
      <c r="C1501" s="1">
        <v>46052</v>
      </c>
      <c r="D1501" t="s">
        <v>63</v>
      </c>
      <c r="E1501" t="s">
        <v>17</v>
      </c>
      <c r="F1501" t="s">
        <v>47</v>
      </c>
      <c r="G1501" t="s">
        <v>43</v>
      </c>
      <c r="H1501" t="s">
        <v>44</v>
      </c>
      <c r="I1501" t="s">
        <v>45</v>
      </c>
      <c r="J1501">
        <v>3299</v>
      </c>
      <c r="K1501">
        <v>1</v>
      </c>
      <c r="L1501">
        <v>3224.55</v>
      </c>
      <c r="M1501">
        <v>644.91</v>
      </c>
      <c r="N1501">
        <v>3224.55</v>
      </c>
      <c r="O1501">
        <v>2579.64</v>
      </c>
      <c r="P1501" t="s">
        <v>2111</v>
      </c>
      <c r="Q1501" t="s">
        <v>23</v>
      </c>
    </row>
    <row r="1502" spans="1:17" x14ac:dyDescent="0.3">
      <c r="A1502" t="s">
        <v>288</v>
      </c>
      <c r="B1502" t="s">
        <v>287</v>
      </c>
      <c r="C1502" s="1">
        <v>46036</v>
      </c>
      <c r="D1502" t="s">
        <v>34</v>
      </c>
      <c r="E1502" t="s">
        <v>50</v>
      </c>
      <c r="F1502" t="s">
        <v>47</v>
      </c>
      <c r="G1502" t="s">
        <v>160</v>
      </c>
      <c r="H1502" t="s">
        <v>161</v>
      </c>
      <c r="I1502" t="s">
        <v>82</v>
      </c>
      <c r="J1502">
        <v>799</v>
      </c>
      <c r="K1502">
        <v>1</v>
      </c>
      <c r="L1502">
        <v>818.59</v>
      </c>
      <c r="M1502">
        <v>40.93</v>
      </c>
      <c r="N1502">
        <v>818.59</v>
      </c>
      <c r="O1502">
        <v>777.66</v>
      </c>
      <c r="P1502" t="s">
        <v>2111</v>
      </c>
      <c r="Q1502" t="s">
        <v>23</v>
      </c>
    </row>
    <row r="1503" spans="1:17" x14ac:dyDescent="0.3">
      <c r="A1503" t="s">
        <v>622</v>
      </c>
      <c r="B1503" t="s">
        <v>621</v>
      </c>
      <c r="C1503" s="1">
        <v>46065</v>
      </c>
      <c r="D1503" t="s">
        <v>63</v>
      </c>
      <c r="E1503" t="s">
        <v>50</v>
      </c>
      <c r="F1503" t="s">
        <v>22</v>
      </c>
      <c r="G1503" t="s">
        <v>80</v>
      </c>
      <c r="H1503" t="s">
        <v>81</v>
      </c>
      <c r="I1503" t="s">
        <v>82</v>
      </c>
      <c r="J1503">
        <v>4299</v>
      </c>
      <c r="K1503">
        <v>1</v>
      </c>
      <c r="L1503">
        <v>4005.06</v>
      </c>
      <c r="M1503">
        <v>801.01</v>
      </c>
      <c r="N1503">
        <v>4005.06</v>
      </c>
      <c r="O1503">
        <v>3204.05</v>
      </c>
      <c r="P1503" t="s">
        <v>2111</v>
      </c>
      <c r="Q1503" t="s">
        <v>498</v>
      </c>
    </row>
    <row r="1504" spans="1:17" x14ac:dyDescent="0.3">
      <c r="A1504" t="s">
        <v>2229</v>
      </c>
      <c r="B1504" t="s">
        <v>1414</v>
      </c>
      <c r="C1504" s="1">
        <v>46067</v>
      </c>
      <c r="D1504" t="s">
        <v>26</v>
      </c>
      <c r="E1504" t="s">
        <v>17</v>
      </c>
      <c r="F1504" t="s">
        <v>47</v>
      </c>
      <c r="G1504" t="s">
        <v>51</v>
      </c>
      <c r="H1504" t="s">
        <v>52</v>
      </c>
      <c r="I1504" t="s">
        <v>20</v>
      </c>
      <c r="J1504">
        <v>999</v>
      </c>
      <c r="K1504">
        <v>1</v>
      </c>
      <c r="L1504">
        <v>1071.05</v>
      </c>
      <c r="M1504">
        <v>160.66</v>
      </c>
      <c r="N1504">
        <v>1071.05</v>
      </c>
      <c r="O1504">
        <v>910.39</v>
      </c>
      <c r="P1504" t="s">
        <v>2111</v>
      </c>
      <c r="Q1504" t="s">
        <v>498</v>
      </c>
    </row>
    <row r="1505" spans="1:17" x14ac:dyDescent="0.3">
      <c r="A1505" t="s">
        <v>611</v>
      </c>
      <c r="B1505" t="s">
        <v>610</v>
      </c>
      <c r="C1505" s="1">
        <v>46064</v>
      </c>
      <c r="D1505" t="s">
        <v>34</v>
      </c>
      <c r="E1505" t="s">
        <v>42</v>
      </c>
      <c r="F1505" t="s">
        <v>74</v>
      </c>
      <c r="G1505" t="s">
        <v>18</v>
      </c>
      <c r="H1505" t="s">
        <v>19</v>
      </c>
      <c r="I1505" t="s">
        <v>20</v>
      </c>
      <c r="J1505">
        <v>2799</v>
      </c>
      <c r="K1505">
        <v>2</v>
      </c>
      <c r="L1505">
        <v>2769.63</v>
      </c>
      <c r="M1505">
        <v>1384.82</v>
      </c>
      <c r="N1505">
        <v>5539.26</v>
      </c>
      <c r="O1505">
        <v>4154.4399999999996</v>
      </c>
      <c r="P1505" t="s">
        <v>2111</v>
      </c>
      <c r="Q1505" t="s">
        <v>498</v>
      </c>
    </row>
    <row r="1506" spans="1:17" x14ac:dyDescent="0.3">
      <c r="A1506" t="s">
        <v>2768</v>
      </c>
      <c r="B1506" t="s">
        <v>2049</v>
      </c>
      <c r="C1506" s="1">
        <v>46032</v>
      </c>
      <c r="D1506" t="s">
        <v>34</v>
      </c>
      <c r="E1506" t="s">
        <v>50</v>
      </c>
      <c r="F1506" t="s">
        <v>31</v>
      </c>
      <c r="G1506" t="s">
        <v>191</v>
      </c>
      <c r="H1506" t="s">
        <v>192</v>
      </c>
      <c r="I1506" t="s">
        <v>45</v>
      </c>
      <c r="J1506">
        <v>699</v>
      </c>
      <c r="K1506">
        <v>2</v>
      </c>
      <c r="L1506">
        <v>757.3</v>
      </c>
      <c r="M1506">
        <v>302.92</v>
      </c>
      <c r="N1506">
        <v>1514.6</v>
      </c>
      <c r="O1506">
        <v>1211.68</v>
      </c>
      <c r="P1506" t="s">
        <v>2114</v>
      </c>
      <c r="Q1506" t="s">
        <v>23</v>
      </c>
    </row>
    <row r="1507" spans="1:17" x14ac:dyDescent="0.3">
      <c r="A1507" t="s">
        <v>2029</v>
      </c>
      <c r="B1507" t="s">
        <v>2028</v>
      </c>
      <c r="C1507" s="1">
        <v>46196</v>
      </c>
      <c r="D1507" t="s">
        <v>34</v>
      </c>
      <c r="E1507" t="s">
        <v>50</v>
      </c>
      <c r="F1507" t="s">
        <v>74</v>
      </c>
      <c r="G1507" t="s">
        <v>250</v>
      </c>
      <c r="H1507" t="s">
        <v>251</v>
      </c>
      <c r="I1507" t="s">
        <v>108</v>
      </c>
      <c r="J1507">
        <v>899</v>
      </c>
      <c r="K1507">
        <v>2</v>
      </c>
      <c r="L1507">
        <v>893.22</v>
      </c>
      <c r="M1507">
        <v>89.32</v>
      </c>
      <c r="N1507">
        <v>1786.44</v>
      </c>
      <c r="O1507">
        <v>1697.12</v>
      </c>
      <c r="P1507" t="s">
        <v>2111</v>
      </c>
      <c r="Q1507" t="s">
        <v>1809</v>
      </c>
    </row>
    <row r="1508" spans="1:17" x14ac:dyDescent="0.3">
      <c r="A1508" t="s">
        <v>131</v>
      </c>
      <c r="B1508" t="s">
        <v>130</v>
      </c>
      <c r="C1508" s="1">
        <v>46027</v>
      </c>
      <c r="D1508" t="s">
        <v>63</v>
      </c>
      <c r="E1508" t="s">
        <v>42</v>
      </c>
      <c r="F1508" t="s">
        <v>60</v>
      </c>
      <c r="G1508" t="s">
        <v>51</v>
      </c>
      <c r="H1508" t="s">
        <v>52</v>
      </c>
      <c r="I1508" t="s">
        <v>20</v>
      </c>
      <c r="J1508">
        <v>999</v>
      </c>
      <c r="K1508">
        <v>1</v>
      </c>
      <c r="L1508">
        <v>954.05</v>
      </c>
      <c r="M1508">
        <v>0</v>
      </c>
      <c r="N1508">
        <v>954.05</v>
      </c>
      <c r="O1508">
        <v>954.05</v>
      </c>
      <c r="P1508" t="s">
        <v>2111</v>
      </c>
      <c r="Q1508" t="s">
        <v>23</v>
      </c>
    </row>
    <row r="1509" spans="1:17" x14ac:dyDescent="0.3">
      <c r="A1509" t="s">
        <v>494</v>
      </c>
      <c r="B1509" t="s">
        <v>493</v>
      </c>
      <c r="C1509" s="1">
        <v>46053</v>
      </c>
      <c r="D1509" t="s">
        <v>34</v>
      </c>
      <c r="E1509" t="s">
        <v>50</v>
      </c>
      <c r="F1509" t="s">
        <v>74</v>
      </c>
      <c r="G1509" t="s">
        <v>355</v>
      </c>
      <c r="H1509" t="s">
        <v>356</v>
      </c>
      <c r="I1509" t="s">
        <v>82</v>
      </c>
      <c r="J1509">
        <v>499</v>
      </c>
      <c r="K1509">
        <v>1</v>
      </c>
      <c r="L1509">
        <v>463.25</v>
      </c>
      <c r="M1509">
        <v>0</v>
      </c>
      <c r="N1509">
        <v>463.25</v>
      </c>
      <c r="O1509">
        <v>463.25</v>
      </c>
      <c r="P1509" t="s">
        <v>2111</v>
      </c>
      <c r="Q1509" t="s">
        <v>23</v>
      </c>
    </row>
    <row r="1510" spans="1:17" x14ac:dyDescent="0.3">
      <c r="A1510" t="s">
        <v>422</v>
      </c>
      <c r="B1510" t="s">
        <v>421</v>
      </c>
      <c r="C1510" s="1">
        <v>46047</v>
      </c>
      <c r="D1510" t="s">
        <v>34</v>
      </c>
      <c r="E1510" t="s">
        <v>17</v>
      </c>
      <c r="F1510" t="s">
        <v>31</v>
      </c>
      <c r="G1510" t="s">
        <v>165</v>
      </c>
      <c r="H1510" t="s">
        <v>166</v>
      </c>
      <c r="I1510" t="s">
        <v>29</v>
      </c>
      <c r="J1510">
        <v>449</v>
      </c>
      <c r="K1510">
        <v>1</v>
      </c>
      <c r="L1510">
        <v>404.44</v>
      </c>
      <c r="M1510">
        <v>20.22</v>
      </c>
      <c r="N1510">
        <v>404.44</v>
      </c>
      <c r="O1510">
        <v>384.22</v>
      </c>
      <c r="P1510" t="s">
        <v>2111</v>
      </c>
      <c r="Q1510" t="s">
        <v>23</v>
      </c>
    </row>
    <row r="1511" spans="1:17" x14ac:dyDescent="0.3">
      <c r="A1511" t="s">
        <v>2115</v>
      </c>
      <c r="B1511" t="s">
        <v>2116</v>
      </c>
      <c r="C1511" s="1">
        <v>46121</v>
      </c>
      <c r="D1511" t="s">
        <v>34</v>
      </c>
      <c r="E1511" t="s">
        <v>17</v>
      </c>
      <c r="F1511" t="s">
        <v>47</v>
      </c>
      <c r="G1511" t="s">
        <v>355</v>
      </c>
      <c r="H1511" t="s">
        <v>356</v>
      </c>
      <c r="I1511" t="s">
        <v>82</v>
      </c>
      <c r="J1511">
        <v>499</v>
      </c>
      <c r="K1511">
        <v>3</v>
      </c>
      <c r="L1511">
        <v>502.21</v>
      </c>
      <c r="M1511">
        <v>150.66</v>
      </c>
      <c r="N1511">
        <v>1506.63</v>
      </c>
      <c r="O1511">
        <v>1355.97</v>
      </c>
      <c r="P1511" t="s">
        <v>2111</v>
      </c>
      <c r="Q1511" t="s">
        <v>1170</v>
      </c>
    </row>
    <row r="1512" spans="1:17" x14ac:dyDescent="0.3">
      <c r="A1512" t="s">
        <v>288</v>
      </c>
      <c r="B1512" t="s">
        <v>287</v>
      </c>
      <c r="C1512" s="1">
        <v>46036</v>
      </c>
      <c r="D1512" t="s">
        <v>34</v>
      </c>
      <c r="E1512" t="s">
        <v>50</v>
      </c>
      <c r="F1512" t="s">
        <v>47</v>
      </c>
      <c r="G1512" t="s">
        <v>126</v>
      </c>
      <c r="H1512" t="s">
        <v>127</v>
      </c>
      <c r="I1512" t="s">
        <v>45</v>
      </c>
      <c r="J1512">
        <v>2499</v>
      </c>
      <c r="K1512">
        <v>2</v>
      </c>
      <c r="L1512">
        <v>2302.66</v>
      </c>
      <c r="M1512">
        <v>690.8</v>
      </c>
      <c r="N1512">
        <v>4605.32</v>
      </c>
      <c r="O1512">
        <v>3914.52</v>
      </c>
      <c r="P1512" t="s">
        <v>2111</v>
      </c>
      <c r="Q1512" t="s">
        <v>23</v>
      </c>
    </row>
    <row r="1513" spans="1:17" x14ac:dyDescent="0.3">
      <c r="A1513" t="s">
        <v>2000</v>
      </c>
      <c r="B1513" t="s">
        <v>1999</v>
      </c>
      <c r="C1513" s="1">
        <v>46194</v>
      </c>
      <c r="D1513" t="s">
        <v>26</v>
      </c>
      <c r="E1513" t="s">
        <v>17</v>
      </c>
      <c r="F1513" t="s">
        <v>31</v>
      </c>
      <c r="G1513" t="s">
        <v>96</v>
      </c>
      <c r="H1513" t="s">
        <v>97</v>
      </c>
      <c r="I1513" t="s">
        <v>58</v>
      </c>
      <c r="J1513">
        <v>7499</v>
      </c>
      <c r="K1513">
        <v>2</v>
      </c>
      <c r="L1513">
        <v>7336.61</v>
      </c>
      <c r="M1513">
        <v>2934.64</v>
      </c>
      <c r="N1513">
        <v>14673.22</v>
      </c>
      <c r="O1513">
        <v>11738.58</v>
      </c>
      <c r="P1513" t="s">
        <v>2111</v>
      </c>
      <c r="Q1513" t="s">
        <v>1809</v>
      </c>
    </row>
    <row r="1514" spans="1:17" x14ac:dyDescent="0.3">
      <c r="A1514" t="s">
        <v>2412</v>
      </c>
      <c r="B1514" t="s">
        <v>201</v>
      </c>
      <c r="C1514" s="1">
        <v>46041</v>
      </c>
      <c r="D1514" t="s">
        <v>34</v>
      </c>
      <c r="E1514" t="s">
        <v>17</v>
      </c>
      <c r="F1514" t="s">
        <v>60</v>
      </c>
      <c r="G1514" t="s">
        <v>126</v>
      </c>
      <c r="H1514" t="s">
        <v>127</v>
      </c>
      <c r="I1514" t="s">
        <v>45</v>
      </c>
      <c r="J1514">
        <v>2499</v>
      </c>
      <c r="K1514">
        <v>1</v>
      </c>
      <c r="L1514">
        <v>2543.62</v>
      </c>
      <c r="M1514">
        <v>254.36</v>
      </c>
      <c r="N1514">
        <v>2543.62</v>
      </c>
      <c r="O1514">
        <v>2289.2600000000002</v>
      </c>
      <c r="P1514" t="s">
        <v>2111</v>
      </c>
      <c r="Q1514" t="s">
        <v>23</v>
      </c>
    </row>
    <row r="1515" spans="1:17" x14ac:dyDescent="0.3">
      <c r="A1515" t="s">
        <v>862</v>
      </c>
      <c r="B1515" t="s">
        <v>861</v>
      </c>
      <c r="C1515" s="1">
        <v>46087</v>
      </c>
      <c r="D1515" t="s">
        <v>16</v>
      </c>
      <c r="E1515" t="s">
        <v>17</v>
      </c>
      <c r="F1515" t="s">
        <v>31</v>
      </c>
      <c r="G1515" t="s">
        <v>43</v>
      </c>
      <c r="H1515" t="s">
        <v>44</v>
      </c>
      <c r="I1515" t="s">
        <v>45</v>
      </c>
      <c r="J1515">
        <v>3299</v>
      </c>
      <c r="K1515">
        <v>1</v>
      </c>
      <c r="L1515">
        <v>3151</v>
      </c>
      <c r="M1515">
        <v>0</v>
      </c>
      <c r="N1515">
        <v>3151</v>
      </c>
      <c r="O1515">
        <v>3151</v>
      </c>
      <c r="P1515" t="s">
        <v>2111</v>
      </c>
      <c r="Q1515" t="s">
        <v>789</v>
      </c>
    </row>
    <row r="1516" spans="1:17" x14ac:dyDescent="0.3">
      <c r="A1516" t="s">
        <v>1375</v>
      </c>
      <c r="B1516" t="s">
        <v>1374</v>
      </c>
      <c r="C1516" s="1">
        <v>46134</v>
      </c>
      <c r="D1516" t="s">
        <v>16</v>
      </c>
      <c r="E1516" t="s">
        <v>17</v>
      </c>
      <c r="F1516" t="s">
        <v>60</v>
      </c>
      <c r="G1516" t="s">
        <v>86</v>
      </c>
      <c r="H1516" t="s">
        <v>87</v>
      </c>
      <c r="I1516" t="s">
        <v>82</v>
      </c>
      <c r="J1516">
        <v>3499</v>
      </c>
      <c r="K1516">
        <v>1</v>
      </c>
      <c r="L1516">
        <v>3271.72</v>
      </c>
      <c r="M1516">
        <v>0</v>
      </c>
      <c r="N1516">
        <v>3271.72</v>
      </c>
      <c r="O1516">
        <v>3271.72</v>
      </c>
      <c r="P1516" t="s">
        <v>2111</v>
      </c>
      <c r="Q1516" t="s">
        <v>1170</v>
      </c>
    </row>
    <row r="1517" spans="1:17" x14ac:dyDescent="0.3">
      <c r="A1517" t="s">
        <v>1277</v>
      </c>
      <c r="B1517" t="s">
        <v>1276</v>
      </c>
      <c r="C1517" s="1">
        <v>46124</v>
      </c>
      <c r="D1517" t="s">
        <v>16</v>
      </c>
      <c r="E1517" t="s">
        <v>42</v>
      </c>
      <c r="F1517" t="s">
        <v>74</v>
      </c>
      <c r="G1517" t="s">
        <v>106</v>
      </c>
      <c r="H1517" t="s">
        <v>107</v>
      </c>
      <c r="I1517" t="s">
        <v>108</v>
      </c>
      <c r="J1517">
        <v>599</v>
      </c>
      <c r="K1517">
        <v>1</v>
      </c>
      <c r="L1517">
        <v>631.91</v>
      </c>
      <c r="M1517">
        <v>0</v>
      </c>
      <c r="N1517">
        <v>631.91</v>
      </c>
      <c r="O1517">
        <v>631.91</v>
      </c>
      <c r="P1517" t="s">
        <v>2111</v>
      </c>
      <c r="Q1517" t="s">
        <v>1170</v>
      </c>
    </row>
    <row r="1518" spans="1:17" x14ac:dyDescent="0.3">
      <c r="A1518" t="s">
        <v>2663</v>
      </c>
      <c r="B1518" t="s">
        <v>2664</v>
      </c>
      <c r="C1518" s="1">
        <v>46180</v>
      </c>
      <c r="D1518" t="s">
        <v>26</v>
      </c>
      <c r="E1518" t="s">
        <v>17</v>
      </c>
      <c r="F1518" t="s">
        <v>74</v>
      </c>
      <c r="G1518" t="s">
        <v>355</v>
      </c>
      <c r="H1518" t="s">
        <v>356</v>
      </c>
      <c r="I1518" t="s">
        <v>82</v>
      </c>
      <c r="J1518">
        <v>499</v>
      </c>
      <c r="K1518">
        <v>1</v>
      </c>
      <c r="L1518">
        <v>543.59</v>
      </c>
      <c r="M1518">
        <v>27.18</v>
      </c>
      <c r="N1518">
        <v>543.59</v>
      </c>
      <c r="O1518">
        <v>516.41</v>
      </c>
      <c r="P1518" t="s">
        <v>2111</v>
      </c>
      <c r="Q1518" t="s">
        <v>1809</v>
      </c>
    </row>
    <row r="1519" spans="1:17" x14ac:dyDescent="0.3">
      <c r="A1519" t="s">
        <v>2026</v>
      </c>
      <c r="B1519" t="s">
        <v>2025</v>
      </c>
      <c r="C1519" s="1">
        <v>46196</v>
      </c>
      <c r="D1519" t="s">
        <v>26</v>
      </c>
      <c r="E1519" t="s">
        <v>17</v>
      </c>
      <c r="F1519" t="s">
        <v>31</v>
      </c>
      <c r="G1519" t="s">
        <v>106</v>
      </c>
      <c r="H1519" t="s">
        <v>107</v>
      </c>
      <c r="I1519" t="s">
        <v>108</v>
      </c>
      <c r="J1519">
        <v>599</v>
      </c>
      <c r="K1519">
        <v>3</v>
      </c>
      <c r="L1519">
        <v>551.13</v>
      </c>
      <c r="M1519">
        <v>165.34</v>
      </c>
      <c r="N1519">
        <v>1653.39</v>
      </c>
      <c r="O1519">
        <v>1488.05</v>
      </c>
      <c r="P1519" t="s">
        <v>2111</v>
      </c>
      <c r="Q1519" t="s">
        <v>1809</v>
      </c>
    </row>
    <row r="1520" spans="1:17" x14ac:dyDescent="0.3">
      <c r="A1520" t="s">
        <v>318</v>
      </c>
      <c r="B1520" t="s">
        <v>317</v>
      </c>
      <c r="C1520" s="1">
        <v>46038</v>
      </c>
      <c r="D1520" t="s">
        <v>34</v>
      </c>
      <c r="E1520" t="s">
        <v>17</v>
      </c>
      <c r="F1520" t="s">
        <v>47</v>
      </c>
      <c r="G1520" t="s">
        <v>165</v>
      </c>
      <c r="H1520" t="s">
        <v>166</v>
      </c>
      <c r="I1520" t="s">
        <v>29</v>
      </c>
      <c r="J1520">
        <v>449</v>
      </c>
      <c r="K1520">
        <v>1</v>
      </c>
      <c r="L1520">
        <v>418.07</v>
      </c>
      <c r="M1520">
        <v>0</v>
      </c>
      <c r="N1520">
        <v>418.07</v>
      </c>
      <c r="O1520">
        <v>418.07</v>
      </c>
      <c r="P1520" t="s">
        <v>2111</v>
      </c>
      <c r="Q1520" t="s">
        <v>23</v>
      </c>
    </row>
    <row r="1521" spans="1:17" x14ac:dyDescent="0.3">
      <c r="A1521" t="s">
        <v>2372</v>
      </c>
      <c r="B1521" t="s">
        <v>571</v>
      </c>
      <c r="C1521" s="1">
        <v>46129</v>
      </c>
      <c r="D1521" t="s">
        <v>26</v>
      </c>
      <c r="E1521" t="s">
        <v>42</v>
      </c>
      <c r="F1521" t="s">
        <v>60</v>
      </c>
      <c r="G1521" t="s">
        <v>56</v>
      </c>
      <c r="H1521" t="s">
        <v>57</v>
      </c>
      <c r="I1521" t="s">
        <v>58</v>
      </c>
      <c r="J1521">
        <v>8999</v>
      </c>
      <c r="K1521">
        <v>1</v>
      </c>
      <c r="L1521">
        <v>9826.93</v>
      </c>
      <c r="M1521">
        <v>491.35</v>
      </c>
      <c r="N1521">
        <v>9826.93</v>
      </c>
      <c r="O1521">
        <v>9335.58</v>
      </c>
      <c r="P1521" t="s">
        <v>2111</v>
      </c>
      <c r="Q1521" t="s">
        <v>1170</v>
      </c>
    </row>
    <row r="1522" spans="1:17" x14ac:dyDescent="0.3">
      <c r="A1522" t="s">
        <v>2554</v>
      </c>
      <c r="B1522" t="s">
        <v>2555</v>
      </c>
      <c r="C1522" s="1">
        <v>46199</v>
      </c>
      <c r="D1522" t="s">
        <v>34</v>
      </c>
      <c r="E1522" t="s">
        <v>42</v>
      </c>
      <c r="F1522" t="s">
        <v>31</v>
      </c>
      <c r="G1522" t="s">
        <v>80</v>
      </c>
      <c r="H1522" t="s">
        <v>81</v>
      </c>
      <c r="I1522" t="s">
        <v>82</v>
      </c>
      <c r="J1522">
        <v>4299</v>
      </c>
      <c r="K1522">
        <v>1</v>
      </c>
      <c r="L1522">
        <v>3901.59</v>
      </c>
      <c r="M1522">
        <v>0</v>
      </c>
      <c r="N1522">
        <v>3901.59</v>
      </c>
      <c r="O1522">
        <v>3901.59</v>
      </c>
      <c r="P1522" t="s">
        <v>2111</v>
      </c>
      <c r="Q1522" t="s">
        <v>1809</v>
      </c>
    </row>
    <row r="1523" spans="1:17" x14ac:dyDescent="0.3">
      <c r="A1523" t="s">
        <v>2301</v>
      </c>
      <c r="B1523" t="s">
        <v>2302</v>
      </c>
      <c r="C1523" s="1">
        <v>46114</v>
      </c>
      <c r="D1523" t="s">
        <v>34</v>
      </c>
      <c r="E1523" t="s">
        <v>50</v>
      </c>
      <c r="F1523" t="s">
        <v>74</v>
      </c>
      <c r="G1523" t="s">
        <v>355</v>
      </c>
      <c r="H1523" t="s">
        <v>356</v>
      </c>
      <c r="I1523" t="s">
        <v>82</v>
      </c>
      <c r="J1523">
        <v>499</v>
      </c>
      <c r="K1523">
        <v>3</v>
      </c>
      <c r="L1523">
        <v>546.66999999999996</v>
      </c>
      <c r="M1523">
        <v>246</v>
      </c>
      <c r="N1523">
        <v>1640.01</v>
      </c>
      <c r="O1523">
        <v>1394.01</v>
      </c>
      <c r="P1523" t="s">
        <v>2111</v>
      </c>
      <c r="Q1523" t="s">
        <v>1170</v>
      </c>
    </row>
    <row r="1524" spans="1:17" x14ac:dyDescent="0.3">
      <c r="A1524" t="s">
        <v>2821</v>
      </c>
      <c r="B1524" t="s">
        <v>2822</v>
      </c>
      <c r="C1524" s="1">
        <v>46154</v>
      </c>
      <c r="D1524" t="s">
        <v>34</v>
      </c>
      <c r="E1524" t="s">
        <v>50</v>
      </c>
      <c r="F1524" t="s">
        <v>47</v>
      </c>
      <c r="G1524" t="s">
        <v>35</v>
      </c>
      <c r="H1524" t="s">
        <v>36</v>
      </c>
      <c r="I1524" t="s">
        <v>37</v>
      </c>
      <c r="J1524">
        <v>799</v>
      </c>
      <c r="K1524">
        <v>1</v>
      </c>
      <c r="L1524">
        <v>719.84</v>
      </c>
      <c r="M1524">
        <v>71.98</v>
      </c>
      <c r="N1524">
        <v>719.84</v>
      </c>
      <c r="O1524">
        <v>647.86</v>
      </c>
      <c r="P1524" t="s">
        <v>2111</v>
      </c>
      <c r="Q1524" t="s">
        <v>1479</v>
      </c>
    </row>
    <row r="1525" spans="1:17" x14ac:dyDescent="0.3">
      <c r="A1525" t="s">
        <v>1964</v>
      </c>
      <c r="B1525" t="s">
        <v>496</v>
      </c>
      <c r="C1525" s="1">
        <v>46190</v>
      </c>
      <c r="D1525" t="s">
        <v>63</v>
      </c>
      <c r="E1525" t="s">
        <v>50</v>
      </c>
      <c r="F1525" t="s">
        <v>22</v>
      </c>
      <c r="G1525" t="s">
        <v>27</v>
      </c>
      <c r="H1525" t="s">
        <v>28</v>
      </c>
      <c r="I1525" t="s">
        <v>29</v>
      </c>
      <c r="J1525">
        <v>1599</v>
      </c>
      <c r="K1525">
        <v>2</v>
      </c>
      <c r="L1525">
        <v>1718.5</v>
      </c>
      <c r="M1525">
        <v>343.7</v>
      </c>
      <c r="N1525">
        <v>3437</v>
      </c>
      <c r="O1525">
        <v>3093.3</v>
      </c>
      <c r="P1525" t="s">
        <v>2111</v>
      </c>
      <c r="Q1525" t="s">
        <v>1809</v>
      </c>
    </row>
    <row r="1526" spans="1:17" x14ac:dyDescent="0.3">
      <c r="A1526" t="s">
        <v>410</v>
      </c>
      <c r="B1526" t="s">
        <v>409</v>
      </c>
      <c r="C1526" s="1">
        <v>46046</v>
      </c>
      <c r="D1526" t="s">
        <v>34</v>
      </c>
      <c r="E1526" t="s">
        <v>50</v>
      </c>
      <c r="F1526" t="s">
        <v>47</v>
      </c>
      <c r="G1526" t="s">
        <v>106</v>
      </c>
      <c r="H1526" t="s">
        <v>107</v>
      </c>
      <c r="I1526" t="s">
        <v>108</v>
      </c>
      <c r="J1526">
        <v>599</v>
      </c>
      <c r="K1526">
        <v>3</v>
      </c>
      <c r="L1526">
        <v>575.91999999999996</v>
      </c>
      <c r="M1526">
        <v>172.78</v>
      </c>
      <c r="N1526">
        <v>1727.76</v>
      </c>
      <c r="O1526">
        <v>1554.98</v>
      </c>
      <c r="P1526" t="s">
        <v>2111</v>
      </c>
      <c r="Q1526" t="s">
        <v>23</v>
      </c>
    </row>
    <row r="1527" spans="1:17" x14ac:dyDescent="0.3">
      <c r="A1527" t="s">
        <v>2823</v>
      </c>
      <c r="B1527" t="s">
        <v>2311</v>
      </c>
      <c r="C1527" s="1">
        <v>46080</v>
      </c>
      <c r="D1527" t="s">
        <v>26</v>
      </c>
      <c r="E1527" t="s">
        <v>50</v>
      </c>
      <c r="F1527" t="s">
        <v>74</v>
      </c>
      <c r="G1527" t="s">
        <v>86</v>
      </c>
      <c r="H1527" t="s">
        <v>87</v>
      </c>
      <c r="I1527" t="s">
        <v>82</v>
      </c>
      <c r="J1527">
        <v>3499</v>
      </c>
      <c r="K1527">
        <v>1</v>
      </c>
      <c r="L1527">
        <v>3805.92</v>
      </c>
      <c r="M1527">
        <v>951.48</v>
      </c>
      <c r="N1527">
        <v>3805.92</v>
      </c>
      <c r="O1527">
        <v>2854.44</v>
      </c>
      <c r="P1527" t="s">
        <v>2111</v>
      </c>
      <c r="Q1527" t="s">
        <v>498</v>
      </c>
    </row>
    <row r="1528" spans="1:17" x14ac:dyDescent="0.3">
      <c r="A1528" t="s">
        <v>2452</v>
      </c>
      <c r="B1528" t="s">
        <v>2453</v>
      </c>
      <c r="C1528" s="1">
        <v>46200</v>
      </c>
      <c r="D1528" t="s">
        <v>34</v>
      </c>
      <c r="E1528" t="s">
        <v>17</v>
      </c>
      <c r="F1528" t="s">
        <v>74</v>
      </c>
      <c r="G1528" t="s">
        <v>160</v>
      </c>
      <c r="H1528" t="s">
        <v>161</v>
      </c>
      <c r="I1528" t="s">
        <v>82</v>
      </c>
      <c r="J1528">
        <v>799</v>
      </c>
      <c r="K1528">
        <v>2</v>
      </c>
      <c r="L1528">
        <v>769.75</v>
      </c>
      <c r="M1528">
        <v>76.98</v>
      </c>
      <c r="N1528">
        <v>1539.5</v>
      </c>
      <c r="O1528">
        <v>1462.52</v>
      </c>
      <c r="P1528" t="s">
        <v>2111</v>
      </c>
      <c r="Q1528" t="s">
        <v>1809</v>
      </c>
    </row>
    <row r="1529" spans="1:17" x14ac:dyDescent="0.3">
      <c r="A1529" t="s">
        <v>2531</v>
      </c>
      <c r="B1529" t="s">
        <v>2532</v>
      </c>
      <c r="C1529" s="1">
        <v>46182</v>
      </c>
      <c r="D1529" t="s">
        <v>63</v>
      </c>
      <c r="E1529" t="s">
        <v>17</v>
      </c>
      <c r="F1529" t="s">
        <v>22</v>
      </c>
      <c r="G1529" t="s">
        <v>86</v>
      </c>
      <c r="H1529" t="s">
        <v>87</v>
      </c>
      <c r="I1529" t="s">
        <v>82</v>
      </c>
      <c r="J1529">
        <v>3499</v>
      </c>
      <c r="K1529">
        <v>1</v>
      </c>
      <c r="L1529">
        <v>3606.98</v>
      </c>
      <c r="M1529">
        <v>360.7</v>
      </c>
      <c r="N1529">
        <v>3606.98</v>
      </c>
      <c r="O1529">
        <v>3246.28</v>
      </c>
      <c r="P1529" t="s">
        <v>2111</v>
      </c>
      <c r="Q1529" t="s">
        <v>1809</v>
      </c>
    </row>
    <row r="1530" spans="1:17" x14ac:dyDescent="0.3">
      <c r="A1530" t="s">
        <v>474</v>
      </c>
      <c r="B1530" t="s">
        <v>473</v>
      </c>
      <c r="C1530" s="1">
        <v>46052</v>
      </c>
      <c r="D1530" t="s">
        <v>63</v>
      </c>
      <c r="E1530" t="s">
        <v>17</v>
      </c>
      <c r="F1530" t="s">
        <v>31</v>
      </c>
      <c r="G1530" t="s">
        <v>106</v>
      </c>
      <c r="H1530" t="s">
        <v>107</v>
      </c>
      <c r="I1530" t="s">
        <v>108</v>
      </c>
      <c r="J1530">
        <v>599</v>
      </c>
      <c r="K1530">
        <v>1</v>
      </c>
      <c r="L1530">
        <v>548.69000000000005</v>
      </c>
      <c r="M1530">
        <v>82.3</v>
      </c>
      <c r="N1530">
        <v>548.69000000000005</v>
      </c>
      <c r="O1530">
        <v>466.39</v>
      </c>
      <c r="P1530" t="s">
        <v>2111</v>
      </c>
      <c r="Q1530" t="s">
        <v>23</v>
      </c>
    </row>
    <row r="1531" spans="1:17" x14ac:dyDescent="0.3">
      <c r="A1531" t="s">
        <v>2813</v>
      </c>
      <c r="B1531" t="s">
        <v>2814</v>
      </c>
      <c r="C1531" s="1">
        <v>46097</v>
      </c>
      <c r="D1531" t="s">
        <v>34</v>
      </c>
      <c r="E1531" t="s">
        <v>17</v>
      </c>
      <c r="F1531" t="s">
        <v>47</v>
      </c>
      <c r="G1531" t="s">
        <v>18</v>
      </c>
      <c r="H1531" t="s">
        <v>19</v>
      </c>
      <c r="I1531" t="s">
        <v>20</v>
      </c>
      <c r="J1531">
        <v>2799</v>
      </c>
      <c r="K1531">
        <v>2</v>
      </c>
      <c r="L1531">
        <v>2654.76</v>
      </c>
      <c r="M1531">
        <v>530.95000000000005</v>
      </c>
      <c r="N1531">
        <v>5309.52</v>
      </c>
      <c r="O1531">
        <v>4778.57</v>
      </c>
      <c r="P1531" t="s">
        <v>2111</v>
      </c>
      <c r="Q1531" t="s">
        <v>789</v>
      </c>
    </row>
    <row r="1532" spans="1:17" x14ac:dyDescent="0.3">
      <c r="A1532" t="s">
        <v>1181</v>
      </c>
      <c r="B1532" t="s">
        <v>243</v>
      </c>
      <c r="C1532" s="1">
        <v>46115</v>
      </c>
      <c r="D1532" t="s">
        <v>34</v>
      </c>
      <c r="E1532" t="s">
        <v>17</v>
      </c>
      <c r="F1532" t="s">
        <v>74</v>
      </c>
      <c r="G1532" t="s">
        <v>112</v>
      </c>
      <c r="H1532" t="s">
        <v>113</v>
      </c>
      <c r="I1532" t="s">
        <v>37</v>
      </c>
      <c r="J1532">
        <v>1499</v>
      </c>
      <c r="K1532">
        <v>2</v>
      </c>
      <c r="L1532">
        <v>1581.05</v>
      </c>
      <c r="M1532">
        <v>632.41999999999996</v>
      </c>
      <c r="N1532">
        <v>3162.1</v>
      </c>
      <c r="O1532">
        <v>2529.6799999999998</v>
      </c>
      <c r="P1532" t="s">
        <v>2111</v>
      </c>
      <c r="Q1532" t="s">
        <v>1170</v>
      </c>
    </row>
    <row r="1533" spans="1:17" x14ac:dyDescent="0.3">
      <c r="A1533" t="s">
        <v>2824</v>
      </c>
      <c r="B1533" t="s">
        <v>299</v>
      </c>
      <c r="C1533" s="1">
        <v>46054</v>
      </c>
      <c r="D1533" t="s">
        <v>34</v>
      </c>
      <c r="E1533" t="s">
        <v>17</v>
      </c>
      <c r="F1533" t="s">
        <v>74</v>
      </c>
      <c r="G1533" t="s">
        <v>35</v>
      </c>
      <c r="H1533" t="s">
        <v>36</v>
      </c>
      <c r="I1533" t="s">
        <v>37</v>
      </c>
      <c r="J1533">
        <v>799</v>
      </c>
      <c r="K1533">
        <v>1</v>
      </c>
      <c r="L1533">
        <v>803.58</v>
      </c>
      <c r="M1533">
        <v>40.18</v>
      </c>
      <c r="N1533">
        <v>803.58</v>
      </c>
      <c r="O1533">
        <v>763.4</v>
      </c>
      <c r="P1533" t="s">
        <v>2111</v>
      </c>
      <c r="Q1533" t="s">
        <v>498</v>
      </c>
    </row>
    <row r="1534" spans="1:17" x14ac:dyDescent="0.3">
      <c r="A1534" t="s">
        <v>1399</v>
      </c>
      <c r="B1534" t="s">
        <v>1039</v>
      </c>
      <c r="C1534" s="1">
        <v>46136</v>
      </c>
      <c r="D1534" t="s">
        <v>41</v>
      </c>
      <c r="E1534" t="s">
        <v>50</v>
      </c>
      <c r="F1534" t="s">
        <v>74</v>
      </c>
      <c r="G1534" t="s">
        <v>51</v>
      </c>
      <c r="H1534" t="s">
        <v>52</v>
      </c>
      <c r="I1534" t="s">
        <v>20</v>
      </c>
      <c r="J1534">
        <v>999</v>
      </c>
      <c r="K1534">
        <v>1</v>
      </c>
      <c r="L1534">
        <v>1084.51</v>
      </c>
      <c r="M1534">
        <v>108.45</v>
      </c>
      <c r="N1534">
        <v>1084.51</v>
      </c>
      <c r="O1534">
        <v>976.06</v>
      </c>
      <c r="P1534" t="s">
        <v>2111</v>
      </c>
      <c r="Q1534" t="s">
        <v>1170</v>
      </c>
    </row>
    <row r="1535" spans="1:17" x14ac:dyDescent="0.3">
      <c r="A1535" t="s">
        <v>2825</v>
      </c>
      <c r="B1535" t="s">
        <v>2826</v>
      </c>
      <c r="C1535" s="1">
        <v>46047</v>
      </c>
      <c r="D1535" t="s">
        <v>16</v>
      </c>
      <c r="E1535" t="s">
        <v>42</v>
      </c>
      <c r="F1535" t="s">
        <v>22</v>
      </c>
      <c r="G1535" t="s">
        <v>106</v>
      </c>
      <c r="H1535" t="s">
        <v>107</v>
      </c>
      <c r="I1535" t="s">
        <v>108</v>
      </c>
      <c r="J1535">
        <v>599</v>
      </c>
      <c r="K1535">
        <v>1</v>
      </c>
      <c r="L1535">
        <v>590.46</v>
      </c>
      <c r="M1535">
        <v>0</v>
      </c>
      <c r="N1535">
        <v>590.46</v>
      </c>
      <c r="O1535">
        <v>590.46</v>
      </c>
      <c r="P1535" t="s">
        <v>2111</v>
      </c>
      <c r="Q1535" t="s">
        <v>23</v>
      </c>
    </row>
    <row r="1536" spans="1:17" x14ac:dyDescent="0.3">
      <c r="A1536" t="s">
        <v>2781</v>
      </c>
      <c r="B1536" t="s">
        <v>2782</v>
      </c>
      <c r="C1536" s="1">
        <v>46066</v>
      </c>
      <c r="D1536" t="s">
        <v>34</v>
      </c>
      <c r="E1536" t="s">
        <v>50</v>
      </c>
      <c r="F1536" t="s">
        <v>74</v>
      </c>
      <c r="G1536" t="s">
        <v>165</v>
      </c>
      <c r="H1536" t="s">
        <v>166</v>
      </c>
      <c r="I1536" t="s">
        <v>29</v>
      </c>
      <c r="J1536">
        <v>449</v>
      </c>
      <c r="K1536">
        <v>1</v>
      </c>
      <c r="L1536">
        <v>482.21</v>
      </c>
      <c r="M1536">
        <v>48.22</v>
      </c>
      <c r="N1536">
        <v>482.21</v>
      </c>
      <c r="O1536">
        <v>433.99</v>
      </c>
      <c r="P1536" t="s">
        <v>2111</v>
      </c>
      <c r="Q1536" t="s">
        <v>498</v>
      </c>
    </row>
    <row r="1537" spans="1:17" x14ac:dyDescent="0.3">
      <c r="A1537" t="s">
        <v>2669</v>
      </c>
      <c r="B1537" t="s">
        <v>1454</v>
      </c>
      <c r="C1537" s="1">
        <v>46073</v>
      </c>
      <c r="D1537" t="s">
        <v>34</v>
      </c>
      <c r="E1537" t="s">
        <v>17</v>
      </c>
      <c r="F1537" t="s">
        <v>31</v>
      </c>
      <c r="G1537" t="s">
        <v>91</v>
      </c>
      <c r="H1537" t="s">
        <v>92</v>
      </c>
      <c r="I1537" t="s">
        <v>37</v>
      </c>
      <c r="J1537">
        <v>1899</v>
      </c>
      <c r="K1537">
        <v>1</v>
      </c>
      <c r="L1537">
        <v>1879.61</v>
      </c>
      <c r="M1537">
        <v>93.98</v>
      </c>
      <c r="N1537">
        <v>1879.61</v>
      </c>
      <c r="O1537">
        <v>1785.63</v>
      </c>
      <c r="P1537" t="s">
        <v>2114</v>
      </c>
      <c r="Q1537" t="s">
        <v>498</v>
      </c>
    </row>
    <row r="1538" spans="1:17" x14ac:dyDescent="0.3">
      <c r="A1538" t="s">
        <v>2827</v>
      </c>
      <c r="B1538" t="s">
        <v>2723</v>
      </c>
      <c r="C1538" s="1">
        <v>46087</v>
      </c>
      <c r="D1538" t="s">
        <v>63</v>
      </c>
      <c r="E1538" t="s">
        <v>17</v>
      </c>
      <c r="F1538" t="s">
        <v>31</v>
      </c>
      <c r="G1538" t="s">
        <v>96</v>
      </c>
      <c r="H1538" t="s">
        <v>97</v>
      </c>
      <c r="I1538" t="s">
        <v>58</v>
      </c>
      <c r="J1538">
        <v>7499</v>
      </c>
      <c r="K1538">
        <v>1</v>
      </c>
      <c r="L1538">
        <v>8217.7800000000007</v>
      </c>
      <c r="M1538">
        <v>0</v>
      </c>
      <c r="N1538">
        <v>8217.7800000000007</v>
      </c>
      <c r="O1538">
        <v>8217.7800000000007</v>
      </c>
      <c r="P1538" t="s">
        <v>2111</v>
      </c>
      <c r="Q1538" t="s">
        <v>789</v>
      </c>
    </row>
    <row r="1539" spans="1:17" x14ac:dyDescent="0.3">
      <c r="A1539" t="s">
        <v>546</v>
      </c>
      <c r="B1539" t="s">
        <v>545</v>
      </c>
      <c r="C1539" s="1">
        <v>46058</v>
      </c>
      <c r="D1539" t="s">
        <v>34</v>
      </c>
      <c r="E1539" t="s">
        <v>17</v>
      </c>
      <c r="F1539" t="s">
        <v>22</v>
      </c>
      <c r="G1539" t="s">
        <v>51</v>
      </c>
      <c r="H1539" t="s">
        <v>52</v>
      </c>
      <c r="I1539" t="s">
        <v>20</v>
      </c>
      <c r="J1539">
        <v>999</v>
      </c>
      <c r="K1539">
        <v>1</v>
      </c>
      <c r="L1539">
        <v>1090.8699999999999</v>
      </c>
      <c r="M1539">
        <v>109.09</v>
      </c>
      <c r="N1539">
        <v>1090.8699999999999</v>
      </c>
      <c r="O1539">
        <v>981.78</v>
      </c>
      <c r="P1539" t="s">
        <v>2111</v>
      </c>
      <c r="Q1539" t="s">
        <v>498</v>
      </c>
    </row>
    <row r="1540" spans="1:17" x14ac:dyDescent="0.3">
      <c r="A1540" t="s">
        <v>214</v>
      </c>
      <c r="B1540" t="s">
        <v>213</v>
      </c>
      <c r="C1540" s="1">
        <v>46032</v>
      </c>
      <c r="D1540" t="s">
        <v>34</v>
      </c>
      <c r="E1540" t="s">
        <v>42</v>
      </c>
      <c r="F1540" t="s">
        <v>31</v>
      </c>
      <c r="G1540" t="s">
        <v>126</v>
      </c>
      <c r="H1540" t="s">
        <v>127</v>
      </c>
      <c r="I1540" t="s">
        <v>45</v>
      </c>
      <c r="J1540">
        <v>2499</v>
      </c>
      <c r="K1540">
        <v>2</v>
      </c>
      <c r="L1540">
        <v>2413.6</v>
      </c>
      <c r="M1540">
        <v>482.72</v>
      </c>
      <c r="N1540">
        <v>4827.2</v>
      </c>
      <c r="O1540">
        <v>4344.4799999999996</v>
      </c>
      <c r="P1540" t="s">
        <v>2111</v>
      </c>
      <c r="Q1540" t="s">
        <v>23</v>
      </c>
    </row>
    <row r="1541" spans="1:17" x14ac:dyDescent="0.3">
      <c r="A1541" t="s">
        <v>807</v>
      </c>
      <c r="B1541" t="s">
        <v>806</v>
      </c>
      <c r="C1541" s="1">
        <v>46083</v>
      </c>
      <c r="D1541" t="s">
        <v>34</v>
      </c>
      <c r="E1541" t="s">
        <v>17</v>
      </c>
      <c r="F1541" t="s">
        <v>47</v>
      </c>
      <c r="G1541" t="s">
        <v>91</v>
      </c>
      <c r="H1541" t="s">
        <v>92</v>
      </c>
      <c r="I1541" t="s">
        <v>37</v>
      </c>
      <c r="J1541">
        <v>1899</v>
      </c>
      <c r="K1541">
        <v>1</v>
      </c>
      <c r="L1541">
        <v>2045.57</v>
      </c>
      <c r="M1541">
        <v>0</v>
      </c>
      <c r="N1541">
        <v>2045.57</v>
      </c>
      <c r="O1541">
        <v>2045.57</v>
      </c>
      <c r="P1541" t="s">
        <v>2111</v>
      </c>
      <c r="Q1541" t="s">
        <v>789</v>
      </c>
    </row>
    <row r="1542" spans="1:17" x14ac:dyDescent="0.3">
      <c r="A1542" t="s">
        <v>1722</v>
      </c>
      <c r="B1542" t="s">
        <v>1721</v>
      </c>
      <c r="C1542" s="1">
        <v>46164</v>
      </c>
      <c r="D1542" t="s">
        <v>26</v>
      </c>
      <c r="E1542" t="s">
        <v>50</v>
      </c>
      <c r="F1542" t="s">
        <v>74</v>
      </c>
      <c r="G1542" t="s">
        <v>106</v>
      </c>
      <c r="H1542" t="s">
        <v>107</v>
      </c>
      <c r="I1542" t="s">
        <v>108</v>
      </c>
      <c r="J1542">
        <v>599</v>
      </c>
      <c r="K1542">
        <v>1</v>
      </c>
      <c r="L1542">
        <v>640.64</v>
      </c>
      <c r="M1542">
        <v>96.1</v>
      </c>
      <c r="N1542">
        <v>640.64</v>
      </c>
      <c r="O1542">
        <v>544.54</v>
      </c>
      <c r="P1542" t="s">
        <v>2111</v>
      </c>
      <c r="Q1542" t="s">
        <v>1479</v>
      </c>
    </row>
    <row r="1543" spans="1:17" x14ac:dyDescent="0.3">
      <c r="A1543" t="s">
        <v>2828</v>
      </c>
      <c r="B1543" t="s">
        <v>1819</v>
      </c>
      <c r="C1543" s="1">
        <v>46098</v>
      </c>
      <c r="D1543" t="s">
        <v>26</v>
      </c>
      <c r="E1543" t="s">
        <v>50</v>
      </c>
      <c r="F1543" t="s">
        <v>60</v>
      </c>
      <c r="G1543" t="s">
        <v>165</v>
      </c>
      <c r="H1543" t="s">
        <v>166</v>
      </c>
      <c r="I1543" t="s">
        <v>29</v>
      </c>
      <c r="J1543">
        <v>449</v>
      </c>
      <c r="K1543">
        <v>1</v>
      </c>
      <c r="L1543">
        <v>423.02</v>
      </c>
      <c r="M1543">
        <v>42.3</v>
      </c>
      <c r="N1543">
        <v>423.02</v>
      </c>
      <c r="O1543">
        <v>380.72</v>
      </c>
      <c r="P1543" t="s">
        <v>2111</v>
      </c>
      <c r="Q1543" t="s">
        <v>789</v>
      </c>
    </row>
    <row r="1544" spans="1:17" x14ac:dyDescent="0.3">
      <c r="A1544" t="s">
        <v>360</v>
      </c>
      <c r="B1544" t="s">
        <v>359</v>
      </c>
      <c r="C1544" s="1">
        <v>46042</v>
      </c>
      <c r="D1544" t="s">
        <v>16</v>
      </c>
      <c r="E1544" t="s">
        <v>50</v>
      </c>
      <c r="F1544" t="s">
        <v>60</v>
      </c>
      <c r="G1544" t="s">
        <v>56</v>
      </c>
      <c r="H1544" t="s">
        <v>57</v>
      </c>
      <c r="I1544" t="s">
        <v>58</v>
      </c>
      <c r="J1544">
        <v>8999</v>
      </c>
      <c r="K1544">
        <v>2</v>
      </c>
      <c r="L1544">
        <v>9222.7000000000007</v>
      </c>
      <c r="M1544">
        <v>0</v>
      </c>
      <c r="N1544">
        <v>18445.400000000001</v>
      </c>
      <c r="O1544">
        <v>18445.400000000001</v>
      </c>
      <c r="P1544" t="s">
        <v>2111</v>
      </c>
      <c r="Q1544" t="s">
        <v>23</v>
      </c>
    </row>
    <row r="1545" spans="1:17" x14ac:dyDescent="0.3">
      <c r="A1545" t="s">
        <v>1577</v>
      </c>
      <c r="B1545" t="s">
        <v>1576</v>
      </c>
      <c r="C1545" s="1">
        <v>46151</v>
      </c>
      <c r="D1545" t="s">
        <v>26</v>
      </c>
      <c r="E1545" t="s">
        <v>17</v>
      </c>
      <c r="F1545" t="s">
        <v>22</v>
      </c>
      <c r="G1545" t="s">
        <v>101</v>
      </c>
      <c r="H1545" t="s">
        <v>102</v>
      </c>
      <c r="I1545" t="s">
        <v>45</v>
      </c>
      <c r="J1545">
        <v>4999</v>
      </c>
      <c r="K1545">
        <v>1</v>
      </c>
      <c r="L1545">
        <v>4571.7700000000004</v>
      </c>
      <c r="M1545">
        <v>457.18</v>
      </c>
      <c r="N1545">
        <v>4571.7700000000004</v>
      </c>
      <c r="O1545">
        <v>4114.59</v>
      </c>
      <c r="P1545" t="s">
        <v>2111</v>
      </c>
      <c r="Q1545" t="s">
        <v>1479</v>
      </c>
    </row>
    <row r="1546" spans="1:17" x14ac:dyDescent="0.3">
      <c r="A1546" t="s">
        <v>2357</v>
      </c>
      <c r="B1546" t="s">
        <v>2358</v>
      </c>
      <c r="C1546" s="1">
        <v>46111</v>
      </c>
      <c r="D1546" t="s">
        <v>63</v>
      </c>
      <c r="E1546" t="s">
        <v>17</v>
      </c>
      <c r="F1546" t="s">
        <v>47</v>
      </c>
      <c r="G1546" t="s">
        <v>91</v>
      </c>
      <c r="H1546" t="s">
        <v>92</v>
      </c>
      <c r="I1546" t="s">
        <v>37</v>
      </c>
      <c r="J1546">
        <v>1899</v>
      </c>
      <c r="K1546">
        <v>1</v>
      </c>
      <c r="L1546">
        <v>2026.88</v>
      </c>
      <c r="M1546">
        <v>304.02999999999997</v>
      </c>
      <c r="N1546">
        <v>2026.88</v>
      </c>
      <c r="O1546">
        <v>1722.85</v>
      </c>
      <c r="P1546" t="s">
        <v>2111</v>
      </c>
      <c r="Q1546" t="s">
        <v>789</v>
      </c>
    </row>
    <row r="1547" spans="1:17" x14ac:dyDescent="0.3">
      <c r="A1547" t="s">
        <v>2573</v>
      </c>
      <c r="B1547" t="s">
        <v>2574</v>
      </c>
      <c r="C1547" s="1">
        <v>46076</v>
      </c>
      <c r="D1547" t="s">
        <v>26</v>
      </c>
      <c r="E1547" t="s">
        <v>42</v>
      </c>
      <c r="F1547" t="s">
        <v>47</v>
      </c>
      <c r="G1547" t="s">
        <v>96</v>
      </c>
      <c r="H1547" t="s">
        <v>97</v>
      </c>
      <c r="I1547" t="s">
        <v>58</v>
      </c>
      <c r="J1547">
        <v>7499</v>
      </c>
      <c r="K1547">
        <v>1</v>
      </c>
      <c r="L1547">
        <v>7010.88</v>
      </c>
      <c r="M1547">
        <v>701.09</v>
      </c>
      <c r="N1547">
        <v>7010.88</v>
      </c>
      <c r="O1547">
        <v>6309.79</v>
      </c>
      <c r="P1547" t="s">
        <v>2114</v>
      </c>
      <c r="Q1547" t="s">
        <v>498</v>
      </c>
    </row>
    <row r="1548" spans="1:17" x14ac:dyDescent="0.3">
      <c r="A1548" t="s">
        <v>2829</v>
      </c>
      <c r="B1548" t="s">
        <v>1374</v>
      </c>
      <c r="C1548" s="1">
        <v>46155</v>
      </c>
      <c r="D1548" t="s">
        <v>26</v>
      </c>
      <c r="E1548" t="s">
        <v>17</v>
      </c>
      <c r="F1548" t="s">
        <v>31</v>
      </c>
      <c r="G1548" t="s">
        <v>106</v>
      </c>
      <c r="H1548" t="s">
        <v>107</v>
      </c>
      <c r="I1548" t="s">
        <v>108</v>
      </c>
      <c r="J1548">
        <v>599</v>
      </c>
      <c r="K1548">
        <v>2</v>
      </c>
      <c r="L1548">
        <v>547.58000000000004</v>
      </c>
      <c r="M1548">
        <v>109.52</v>
      </c>
      <c r="N1548">
        <v>1095.1600000000001</v>
      </c>
      <c r="O1548">
        <v>985.64</v>
      </c>
      <c r="P1548" t="s">
        <v>2111</v>
      </c>
      <c r="Q1548" t="s">
        <v>1479</v>
      </c>
    </row>
    <row r="1549" spans="1:17" x14ac:dyDescent="0.3">
      <c r="A1549" t="s">
        <v>1782</v>
      </c>
      <c r="B1549" t="s">
        <v>1781</v>
      </c>
      <c r="C1549" s="1">
        <v>46170</v>
      </c>
      <c r="D1549" t="s">
        <v>26</v>
      </c>
      <c r="E1549" t="s">
        <v>17</v>
      </c>
      <c r="F1549" t="s">
        <v>22</v>
      </c>
      <c r="G1549" t="s">
        <v>149</v>
      </c>
      <c r="H1549" t="s">
        <v>150</v>
      </c>
      <c r="I1549" t="s">
        <v>37</v>
      </c>
      <c r="J1549">
        <v>2999</v>
      </c>
      <c r="K1549">
        <v>1</v>
      </c>
      <c r="L1549">
        <v>2939.15</v>
      </c>
      <c r="M1549">
        <v>146.96</v>
      </c>
      <c r="N1549">
        <v>2939.15</v>
      </c>
      <c r="O1549">
        <v>2792.19</v>
      </c>
      <c r="P1549" t="s">
        <v>2111</v>
      </c>
      <c r="Q1549" t="s">
        <v>1479</v>
      </c>
    </row>
    <row r="1550" spans="1:17" x14ac:dyDescent="0.3">
      <c r="A1550" t="s">
        <v>1729</v>
      </c>
      <c r="B1550" t="s">
        <v>1728</v>
      </c>
      <c r="C1550" s="1">
        <v>46165</v>
      </c>
      <c r="D1550" t="s">
        <v>41</v>
      </c>
      <c r="E1550" t="s">
        <v>17</v>
      </c>
      <c r="F1550" t="s">
        <v>47</v>
      </c>
      <c r="G1550" t="s">
        <v>126</v>
      </c>
      <c r="H1550" t="s">
        <v>127</v>
      </c>
      <c r="I1550" t="s">
        <v>45</v>
      </c>
      <c r="J1550">
        <v>2499</v>
      </c>
      <c r="K1550">
        <v>2</v>
      </c>
      <c r="L1550">
        <v>2537.4499999999998</v>
      </c>
      <c r="M1550">
        <v>507.49</v>
      </c>
      <c r="N1550">
        <v>5074.8999999999996</v>
      </c>
      <c r="O1550">
        <v>4567.41</v>
      </c>
      <c r="P1550" t="s">
        <v>2114</v>
      </c>
      <c r="Q1550" t="s">
        <v>1479</v>
      </c>
    </row>
    <row r="1551" spans="1:17" x14ac:dyDescent="0.3">
      <c r="A1551" t="s">
        <v>1845</v>
      </c>
      <c r="B1551" t="s">
        <v>1496</v>
      </c>
      <c r="C1551" s="1">
        <v>46176</v>
      </c>
      <c r="D1551" t="s">
        <v>26</v>
      </c>
      <c r="E1551" t="s">
        <v>17</v>
      </c>
      <c r="F1551" t="s">
        <v>22</v>
      </c>
      <c r="G1551" t="s">
        <v>149</v>
      </c>
      <c r="H1551" t="s">
        <v>150</v>
      </c>
      <c r="I1551" t="s">
        <v>37</v>
      </c>
      <c r="J1551">
        <v>2999</v>
      </c>
      <c r="K1551">
        <v>3</v>
      </c>
      <c r="L1551">
        <v>3211.88</v>
      </c>
      <c r="M1551">
        <v>1927.13</v>
      </c>
      <c r="N1551">
        <v>9635.64</v>
      </c>
      <c r="O1551">
        <v>7708.51</v>
      </c>
      <c r="P1551" t="s">
        <v>2111</v>
      </c>
      <c r="Q1551" t="s">
        <v>1809</v>
      </c>
    </row>
    <row r="1552" spans="1:17" x14ac:dyDescent="0.3">
      <c r="A1552" t="s">
        <v>2068</v>
      </c>
      <c r="B1552" t="s">
        <v>1107</v>
      </c>
      <c r="C1552" s="1">
        <v>46200</v>
      </c>
      <c r="D1552" t="s">
        <v>16</v>
      </c>
      <c r="E1552" t="s">
        <v>17</v>
      </c>
      <c r="F1552" t="s">
        <v>74</v>
      </c>
      <c r="G1552" t="s">
        <v>80</v>
      </c>
      <c r="H1552" t="s">
        <v>81</v>
      </c>
      <c r="I1552" t="s">
        <v>82</v>
      </c>
      <c r="J1552">
        <v>4299</v>
      </c>
      <c r="K1552">
        <v>2</v>
      </c>
      <c r="L1552">
        <v>4706.75</v>
      </c>
      <c r="M1552">
        <v>1412.02</v>
      </c>
      <c r="N1552">
        <v>9413.5</v>
      </c>
      <c r="O1552">
        <v>8001.48</v>
      </c>
      <c r="P1552" t="s">
        <v>2111</v>
      </c>
      <c r="Q1552" t="s">
        <v>1809</v>
      </c>
    </row>
    <row r="1553" spans="1:17" x14ac:dyDescent="0.3">
      <c r="A1553" t="s">
        <v>1828</v>
      </c>
      <c r="B1553" t="s">
        <v>1403</v>
      </c>
      <c r="C1553" s="1">
        <v>46174</v>
      </c>
      <c r="D1553" t="s">
        <v>26</v>
      </c>
      <c r="E1553" t="s">
        <v>17</v>
      </c>
      <c r="F1553" t="s">
        <v>22</v>
      </c>
      <c r="G1553" t="s">
        <v>101</v>
      </c>
      <c r="H1553" t="s">
        <v>102</v>
      </c>
      <c r="I1553" t="s">
        <v>45</v>
      </c>
      <c r="J1553">
        <v>4999</v>
      </c>
      <c r="K1553">
        <v>1</v>
      </c>
      <c r="L1553">
        <v>4938.5</v>
      </c>
      <c r="M1553">
        <v>0</v>
      </c>
      <c r="N1553">
        <v>4938.5</v>
      </c>
      <c r="O1553">
        <v>4938.5</v>
      </c>
      <c r="P1553" t="s">
        <v>2111</v>
      </c>
      <c r="Q1553" t="s">
        <v>1809</v>
      </c>
    </row>
    <row r="1554" spans="1:17" x14ac:dyDescent="0.3">
      <c r="A1554" t="s">
        <v>619</v>
      </c>
      <c r="B1554" t="s">
        <v>231</v>
      </c>
      <c r="C1554" s="1">
        <v>46065</v>
      </c>
      <c r="D1554" t="s">
        <v>16</v>
      </c>
      <c r="E1554" t="s">
        <v>17</v>
      </c>
      <c r="F1554" t="s">
        <v>60</v>
      </c>
      <c r="G1554" t="s">
        <v>101</v>
      </c>
      <c r="H1554" t="s">
        <v>102</v>
      </c>
      <c r="I1554" t="s">
        <v>45</v>
      </c>
      <c r="J1554">
        <v>4999</v>
      </c>
      <c r="K1554">
        <v>1</v>
      </c>
      <c r="L1554">
        <v>4559.53</v>
      </c>
      <c r="M1554">
        <v>455.95</v>
      </c>
      <c r="N1554">
        <v>4559.53</v>
      </c>
      <c r="O1554">
        <v>4103.58</v>
      </c>
      <c r="P1554" t="s">
        <v>2111</v>
      </c>
      <c r="Q1554" t="s">
        <v>498</v>
      </c>
    </row>
    <row r="1555" spans="1:17" x14ac:dyDescent="0.3">
      <c r="A1555" t="s">
        <v>1099</v>
      </c>
      <c r="B1555" t="s">
        <v>243</v>
      </c>
      <c r="C1555" s="1">
        <v>46106</v>
      </c>
      <c r="D1555" t="s">
        <v>16</v>
      </c>
      <c r="E1555" t="s">
        <v>50</v>
      </c>
      <c r="F1555" t="s">
        <v>47</v>
      </c>
      <c r="G1555" t="s">
        <v>56</v>
      </c>
      <c r="H1555" t="s">
        <v>57</v>
      </c>
      <c r="I1555" t="s">
        <v>58</v>
      </c>
      <c r="J1555">
        <v>8999</v>
      </c>
      <c r="K1555">
        <v>1</v>
      </c>
      <c r="L1555">
        <v>9447.36</v>
      </c>
      <c r="M1555">
        <v>1889.47</v>
      </c>
      <c r="N1555">
        <v>9447.36</v>
      </c>
      <c r="O1555">
        <v>7557.89</v>
      </c>
      <c r="P1555" t="s">
        <v>2111</v>
      </c>
      <c r="Q1555" t="s">
        <v>789</v>
      </c>
    </row>
    <row r="1556" spans="1:17" x14ac:dyDescent="0.3">
      <c r="A1556" t="s">
        <v>2276</v>
      </c>
      <c r="B1556" t="s">
        <v>2277</v>
      </c>
      <c r="C1556" s="1">
        <v>46078</v>
      </c>
      <c r="D1556" t="s">
        <v>41</v>
      </c>
      <c r="E1556" t="s">
        <v>50</v>
      </c>
      <c r="F1556" t="s">
        <v>74</v>
      </c>
      <c r="G1556" t="s">
        <v>101</v>
      </c>
      <c r="H1556" t="s">
        <v>102</v>
      </c>
      <c r="I1556" t="s">
        <v>45</v>
      </c>
      <c r="J1556">
        <v>4999</v>
      </c>
      <c r="K1556">
        <v>4</v>
      </c>
      <c r="L1556">
        <v>5064.16</v>
      </c>
      <c r="M1556">
        <v>0</v>
      </c>
      <c r="N1556">
        <v>20256.64</v>
      </c>
      <c r="O1556">
        <v>20256.64</v>
      </c>
      <c r="P1556" t="s">
        <v>2111</v>
      </c>
      <c r="Q1556" t="s">
        <v>498</v>
      </c>
    </row>
    <row r="1557" spans="1:17" x14ac:dyDescent="0.3">
      <c r="A1557" t="s">
        <v>2830</v>
      </c>
      <c r="B1557" t="s">
        <v>2831</v>
      </c>
      <c r="C1557" s="1">
        <v>46074</v>
      </c>
      <c r="D1557" t="s">
        <v>41</v>
      </c>
      <c r="E1557" t="s">
        <v>17</v>
      </c>
      <c r="F1557" t="s">
        <v>22</v>
      </c>
      <c r="G1557" t="s">
        <v>112</v>
      </c>
      <c r="H1557" t="s">
        <v>113</v>
      </c>
      <c r="I1557" t="s">
        <v>37</v>
      </c>
      <c r="J1557">
        <v>1499</v>
      </c>
      <c r="K1557">
        <v>1</v>
      </c>
      <c r="L1557">
        <v>1483.38</v>
      </c>
      <c r="M1557">
        <v>370.84</v>
      </c>
      <c r="N1557">
        <v>1483.38</v>
      </c>
      <c r="O1557">
        <v>1112.54</v>
      </c>
      <c r="P1557" t="s">
        <v>2111</v>
      </c>
      <c r="Q1557" t="s">
        <v>498</v>
      </c>
    </row>
    <row r="1558" spans="1:17" x14ac:dyDescent="0.3">
      <c r="A1558" t="s">
        <v>958</v>
      </c>
      <c r="B1558" t="s">
        <v>957</v>
      </c>
      <c r="C1558" s="1">
        <v>46093</v>
      </c>
      <c r="D1558" t="s">
        <v>34</v>
      </c>
      <c r="E1558" t="s">
        <v>17</v>
      </c>
      <c r="F1558" t="s">
        <v>22</v>
      </c>
      <c r="G1558" t="s">
        <v>149</v>
      </c>
      <c r="H1558" t="s">
        <v>150</v>
      </c>
      <c r="I1558" t="s">
        <v>37</v>
      </c>
      <c r="J1558">
        <v>2999</v>
      </c>
      <c r="K1558">
        <v>1</v>
      </c>
      <c r="L1558">
        <v>2884.6</v>
      </c>
      <c r="M1558">
        <v>576.91999999999996</v>
      </c>
      <c r="N1558">
        <v>2884.6</v>
      </c>
      <c r="O1558">
        <v>2307.6799999999998</v>
      </c>
      <c r="P1558" t="s">
        <v>2111</v>
      </c>
      <c r="Q1558" t="s">
        <v>789</v>
      </c>
    </row>
    <row r="1559" spans="1:17" x14ac:dyDescent="0.3">
      <c r="A1559" t="s">
        <v>2734</v>
      </c>
      <c r="B1559" t="s">
        <v>2735</v>
      </c>
      <c r="C1559" s="1">
        <v>46068</v>
      </c>
      <c r="D1559" t="s">
        <v>41</v>
      </c>
      <c r="E1559" t="s">
        <v>17</v>
      </c>
      <c r="F1559" t="s">
        <v>60</v>
      </c>
      <c r="G1559" t="s">
        <v>355</v>
      </c>
      <c r="H1559" t="s">
        <v>356</v>
      </c>
      <c r="I1559" t="s">
        <v>82</v>
      </c>
      <c r="J1559">
        <v>499</v>
      </c>
      <c r="K1559">
        <v>2</v>
      </c>
      <c r="L1559">
        <v>499.24</v>
      </c>
      <c r="M1559">
        <v>0</v>
      </c>
      <c r="N1559">
        <v>998.48</v>
      </c>
      <c r="O1559">
        <v>998.48</v>
      </c>
      <c r="P1559" t="s">
        <v>2111</v>
      </c>
      <c r="Q1559" t="s">
        <v>498</v>
      </c>
    </row>
    <row r="1560" spans="1:17" x14ac:dyDescent="0.3">
      <c r="A1560" t="s">
        <v>2543</v>
      </c>
      <c r="B1560" t="s">
        <v>2088</v>
      </c>
      <c r="C1560" s="1">
        <v>46126</v>
      </c>
      <c r="D1560" t="s">
        <v>41</v>
      </c>
      <c r="E1560" t="s">
        <v>17</v>
      </c>
      <c r="F1560" t="s">
        <v>74</v>
      </c>
      <c r="G1560" t="s">
        <v>160</v>
      </c>
      <c r="H1560" t="s">
        <v>161</v>
      </c>
      <c r="I1560" t="s">
        <v>82</v>
      </c>
      <c r="J1560">
        <v>799</v>
      </c>
      <c r="K1560">
        <v>1</v>
      </c>
      <c r="L1560">
        <v>773.22</v>
      </c>
      <c r="M1560">
        <v>154.63999999999999</v>
      </c>
      <c r="N1560">
        <v>773.22</v>
      </c>
      <c r="O1560">
        <v>618.58000000000004</v>
      </c>
      <c r="P1560" t="s">
        <v>2114</v>
      </c>
      <c r="Q1560" t="s">
        <v>1170</v>
      </c>
    </row>
    <row r="1561" spans="1:17" x14ac:dyDescent="0.3">
      <c r="A1561" t="s">
        <v>1681</v>
      </c>
      <c r="B1561" t="s">
        <v>1680</v>
      </c>
      <c r="C1561" s="1">
        <v>46159</v>
      </c>
      <c r="D1561" t="s">
        <v>34</v>
      </c>
      <c r="E1561" t="s">
        <v>17</v>
      </c>
      <c r="F1561" t="s">
        <v>47</v>
      </c>
      <c r="G1561" t="s">
        <v>101</v>
      </c>
      <c r="H1561" t="s">
        <v>102</v>
      </c>
      <c r="I1561" t="s">
        <v>45</v>
      </c>
      <c r="J1561">
        <v>4999</v>
      </c>
      <c r="K1561">
        <v>1</v>
      </c>
      <c r="L1561">
        <v>5255.96</v>
      </c>
      <c r="M1561">
        <v>262.8</v>
      </c>
      <c r="N1561">
        <v>5255.96</v>
      </c>
      <c r="O1561">
        <v>4993.16</v>
      </c>
      <c r="P1561" t="s">
        <v>2111</v>
      </c>
      <c r="Q1561" t="s">
        <v>1479</v>
      </c>
    </row>
    <row r="1562" spans="1:17" x14ac:dyDescent="0.3">
      <c r="A1562" t="s">
        <v>2313</v>
      </c>
      <c r="B1562" t="s">
        <v>2314</v>
      </c>
      <c r="C1562" s="1">
        <v>46203</v>
      </c>
      <c r="D1562" t="s">
        <v>26</v>
      </c>
      <c r="E1562" t="s">
        <v>50</v>
      </c>
      <c r="F1562" t="s">
        <v>47</v>
      </c>
      <c r="G1562" t="s">
        <v>86</v>
      </c>
      <c r="H1562" t="s">
        <v>87</v>
      </c>
      <c r="I1562" t="s">
        <v>82</v>
      </c>
      <c r="J1562">
        <v>3499</v>
      </c>
      <c r="K1562">
        <v>1</v>
      </c>
      <c r="L1562">
        <v>3529.72</v>
      </c>
      <c r="M1562">
        <v>705.94</v>
      </c>
      <c r="N1562">
        <v>3529.72</v>
      </c>
      <c r="O1562">
        <v>2823.78</v>
      </c>
      <c r="P1562" t="s">
        <v>2111</v>
      </c>
      <c r="Q1562" t="s">
        <v>1809</v>
      </c>
    </row>
    <row r="1563" spans="1:17" x14ac:dyDescent="0.3">
      <c r="A1563" t="s">
        <v>2832</v>
      </c>
      <c r="B1563" t="s">
        <v>2833</v>
      </c>
      <c r="C1563" s="1">
        <v>46170</v>
      </c>
      <c r="D1563" t="s">
        <v>41</v>
      </c>
      <c r="E1563" t="s">
        <v>50</v>
      </c>
      <c r="F1563" t="s">
        <v>47</v>
      </c>
      <c r="G1563" t="s">
        <v>250</v>
      </c>
      <c r="H1563" t="s">
        <v>251</v>
      </c>
      <c r="I1563" t="s">
        <v>108</v>
      </c>
      <c r="J1563">
        <v>899</v>
      </c>
      <c r="K1563">
        <v>1</v>
      </c>
      <c r="L1563">
        <v>966.76</v>
      </c>
      <c r="M1563">
        <v>96.68</v>
      </c>
      <c r="N1563">
        <v>966.76</v>
      </c>
      <c r="O1563">
        <v>870.08</v>
      </c>
      <c r="P1563" t="s">
        <v>2111</v>
      </c>
      <c r="Q1563" t="s">
        <v>1479</v>
      </c>
    </row>
    <row r="1564" spans="1:17" x14ac:dyDescent="0.3">
      <c r="A1564" t="s">
        <v>2449</v>
      </c>
      <c r="B1564" t="s">
        <v>2450</v>
      </c>
      <c r="C1564" s="1">
        <v>46146</v>
      </c>
      <c r="D1564" t="s">
        <v>34</v>
      </c>
      <c r="E1564" t="s">
        <v>17</v>
      </c>
      <c r="F1564" t="s">
        <v>60</v>
      </c>
      <c r="G1564" t="s">
        <v>191</v>
      </c>
      <c r="H1564" t="s">
        <v>192</v>
      </c>
      <c r="I1564" t="s">
        <v>45</v>
      </c>
      <c r="J1564">
        <v>699</v>
      </c>
      <c r="K1564">
        <v>2</v>
      </c>
      <c r="L1564">
        <v>705.09</v>
      </c>
      <c r="M1564">
        <v>141.02000000000001</v>
      </c>
      <c r="N1564">
        <v>1410.18</v>
      </c>
      <c r="O1564">
        <v>1269.1600000000001</v>
      </c>
      <c r="P1564" t="s">
        <v>2111</v>
      </c>
      <c r="Q1564" t="s">
        <v>1479</v>
      </c>
    </row>
    <row r="1565" spans="1:17" x14ac:dyDescent="0.3">
      <c r="A1565" t="s">
        <v>2524</v>
      </c>
      <c r="B1565" t="s">
        <v>2525</v>
      </c>
      <c r="C1565" s="1">
        <v>46064</v>
      </c>
      <c r="D1565" t="s">
        <v>41</v>
      </c>
      <c r="E1565" t="s">
        <v>17</v>
      </c>
      <c r="F1565" t="s">
        <v>31</v>
      </c>
      <c r="G1565" t="s">
        <v>165</v>
      </c>
      <c r="H1565" t="s">
        <v>166</v>
      </c>
      <c r="I1565" t="s">
        <v>29</v>
      </c>
      <c r="J1565">
        <v>449</v>
      </c>
      <c r="K1565">
        <v>1</v>
      </c>
      <c r="L1565">
        <v>425.5</v>
      </c>
      <c r="M1565">
        <v>63.82</v>
      </c>
      <c r="N1565">
        <v>425.5</v>
      </c>
      <c r="O1565">
        <v>361.68</v>
      </c>
      <c r="P1565" t="s">
        <v>2111</v>
      </c>
      <c r="Q1565" t="s">
        <v>498</v>
      </c>
    </row>
    <row r="1566" spans="1:17" x14ac:dyDescent="0.3">
      <c r="A1566" t="s">
        <v>2250</v>
      </c>
      <c r="B1566" t="s">
        <v>1352</v>
      </c>
      <c r="C1566" s="1">
        <v>46140</v>
      </c>
      <c r="D1566" t="s">
        <v>34</v>
      </c>
      <c r="E1566" t="s">
        <v>17</v>
      </c>
      <c r="F1566" t="s">
        <v>74</v>
      </c>
      <c r="G1566" t="s">
        <v>96</v>
      </c>
      <c r="H1566" t="s">
        <v>97</v>
      </c>
      <c r="I1566" t="s">
        <v>58</v>
      </c>
      <c r="J1566">
        <v>7499</v>
      </c>
      <c r="K1566">
        <v>1</v>
      </c>
      <c r="L1566">
        <v>8025.57</v>
      </c>
      <c r="M1566">
        <v>1203.8399999999999</v>
      </c>
      <c r="N1566">
        <v>8025.57</v>
      </c>
      <c r="O1566">
        <v>6821.73</v>
      </c>
      <c r="P1566" t="s">
        <v>2111</v>
      </c>
      <c r="Q1566" t="s">
        <v>1170</v>
      </c>
    </row>
    <row r="1567" spans="1:17" x14ac:dyDescent="0.3">
      <c r="A1567" t="s">
        <v>173</v>
      </c>
      <c r="B1567" t="s">
        <v>172</v>
      </c>
      <c r="C1567" s="1">
        <v>46029</v>
      </c>
      <c r="D1567" t="s">
        <v>26</v>
      </c>
      <c r="E1567" t="s">
        <v>17</v>
      </c>
      <c r="F1567" t="s">
        <v>60</v>
      </c>
      <c r="G1567" t="s">
        <v>165</v>
      </c>
      <c r="H1567" t="s">
        <v>166</v>
      </c>
      <c r="I1567" t="s">
        <v>29</v>
      </c>
      <c r="J1567">
        <v>449</v>
      </c>
      <c r="K1567">
        <v>1</v>
      </c>
      <c r="L1567">
        <v>454.14</v>
      </c>
      <c r="M1567">
        <v>0</v>
      </c>
      <c r="N1567">
        <v>454.14</v>
      </c>
      <c r="O1567">
        <v>454.14</v>
      </c>
      <c r="P1567" t="s">
        <v>2111</v>
      </c>
      <c r="Q1567" t="s">
        <v>23</v>
      </c>
    </row>
    <row r="1568" spans="1:17" x14ac:dyDescent="0.3">
      <c r="A1568" t="s">
        <v>2250</v>
      </c>
      <c r="B1568" t="s">
        <v>1352</v>
      </c>
      <c r="C1568" s="1">
        <v>46140</v>
      </c>
      <c r="D1568" t="s">
        <v>34</v>
      </c>
      <c r="E1568" t="s">
        <v>17</v>
      </c>
      <c r="F1568" t="s">
        <v>74</v>
      </c>
      <c r="G1568" t="s">
        <v>80</v>
      </c>
      <c r="H1568" t="s">
        <v>81</v>
      </c>
      <c r="I1568" t="s">
        <v>82</v>
      </c>
      <c r="J1568">
        <v>4299</v>
      </c>
      <c r="K1568">
        <v>2</v>
      </c>
      <c r="L1568">
        <v>4046.94</v>
      </c>
      <c r="M1568">
        <v>809.39</v>
      </c>
      <c r="N1568">
        <v>8093.88</v>
      </c>
      <c r="O1568">
        <v>7284.49</v>
      </c>
      <c r="P1568" t="s">
        <v>2111</v>
      </c>
      <c r="Q1568" t="s">
        <v>1170</v>
      </c>
    </row>
    <row r="1569" spans="1:17" x14ac:dyDescent="0.3">
      <c r="A1569" t="s">
        <v>2196</v>
      </c>
      <c r="B1569" t="s">
        <v>2197</v>
      </c>
      <c r="C1569" s="1">
        <v>46157</v>
      </c>
      <c r="D1569" t="s">
        <v>16</v>
      </c>
      <c r="E1569" t="s">
        <v>50</v>
      </c>
      <c r="F1569" t="s">
        <v>47</v>
      </c>
      <c r="G1569" t="s">
        <v>126</v>
      </c>
      <c r="H1569" t="s">
        <v>127</v>
      </c>
      <c r="I1569" t="s">
        <v>45</v>
      </c>
      <c r="J1569">
        <v>2499</v>
      </c>
      <c r="K1569">
        <v>2</v>
      </c>
      <c r="L1569">
        <v>2560.73</v>
      </c>
      <c r="M1569">
        <v>0</v>
      </c>
      <c r="N1569">
        <v>5121.46</v>
      </c>
      <c r="O1569">
        <v>5121.46</v>
      </c>
      <c r="P1569" t="s">
        <v>2111</v>
      </c>
      <c r="Q1569" t="s">
        <v>1479</v>
      </c>
    </row>
    <row r="1570" spans="1:17" x14ac:dyDescent="0.3">
      <c r="A1570" t="s">
        <v>1742</v>
      </c>
      <c r="B1570" t="s">
        <v>164</v>
      </c>
      <c r="C1570" s="1">
        <v>46167</v>
      </c>
      <c r="D1570" t="s">
        <v>63</v>
      </c>
      <c r="E1570" t="s">
        <v>17</v>
      </c>
      <c r="F1570" t="s">
        <v>74</v>
      </c>
      <c r="G1570" t="s">
        <v>101</v>
      </c>
      <c r="H1570" t="s">
        <v>102</v>
      </c>
      <c r="I1570" t="s">
        <v>45</v>
      </c>
      <c r="J1570">
        <v>4999</v>
      </c>
      <c r="K1570">
        <v>1</v>
      </c>
      <c r="L1570">
        <v>4856.75</v>
      </c>
      <c r="M1570">
        <v>242.84</v>
      </c>
      <c r="N1570">
        <v>4856.75</v>
      </c>
      <c r="O1570">
        <v>4613.91</v>
      </c>
      <c r="P1570" t="s">
        <v>2111</v>
      </c>
      <c r="Q1570" t="s">
        <v>1479</v>
      </c>
    </row>
    <row r="1571" spans="1:17" x14ac:dyDescent="0.3">
      <c r="A1571" t="s">
        <v>309</v>
      </c>
      <c r="B1571" t="s">
        <v>308</v>
      </c>
      <c r="C1571" s="1">
        <v>46038</v>
      </c>
      <c r="D1571" t="s">
        <v>63</v>
      </c>
      <c r="E1571" t="s">
        <v>50</v>
      </c>
      <c r="F1571" t="s">
        <v>60</v>
      </c>
      <c r="G1571" t="s">
        <v>96</v>
      </c>
      <c r="H1571" t="s">
        <v>97</v>
      </c>
      <c r="I1571" t="s">
        <v>58</v>
      </c>
      <c r="J1571">
        <v>7499</v>
      </c>
      <c r="K1571">
        <v>2</v>
      </c>
      <c r="L1571">
        <v>8015.54</v>
      </c>
      <c r="M1571">
        <v>801.55</v>
      </c>
      <c r="N1571">
        <v>16031.08</v>
      </c>
      <c r="O1571">
        <v>15229.53</v>
      </c>
      <c r="P1571" t="s">
        <v>2111</v>
      </c>
      <c r="Q1571" t="s">
        <v>23</v>
      </c>
    </row>
    <row r="1572" spans="1:17" x14ac:dyDescent="0.3">
      <c r="A1572" t="s">
        <v>2487</v>
      </c>
      <c r="B1572" t="s">
        <v>1160</v>
      </c>
      <c r="C1572" s="1">
        <v>46048</v>
      </c>
      <c r="D1572" t="s">
        <v>41</v>
      </c>
      <c r="E1572" t="s">
        <v>17</v>
      </c>
      <c r="F1572" t="s">
        <v>22</v>
      </c>
      <c r="G1572" t="s">
        <v>355</v>
      </c>
      <c r="H1572" t="s">
        <v>356</v>
      </c>
      <c r="I1572" t="s">
        <v>82</v>
      </c>
      <c r="J1572">
        <v>499</v>
      </c>
      <c r="K1572">
        <v>1</v>
      </c>
      <c r="L1572">
        <v>494.34</v>
      </c>
      <c r="M1572">
        <v>49.43</v>
      </c>
      <c r="N1572">
        <v>494.34</v>
      </c>
      <c r="O1572">
        <v>444.91</v>
      </c>
      <c r="P1572" t="s">
        <v>2111</v>
      </c>
      <c r="Q1572" t="s">
        <v>23</v>
      </c>
    </row>
    <row r="1573" spans="1:17" x14ac:dyDescent="0.3">
      <c r="A1573" t="s">
        <v>1219</v>
      </c>
      <c r="B1573" t="s">
        <v>1039</v>
      </c>
      <c r="C1573" s="1">
        <v>46119</v>
      </c>
      <c r="D1573" t="s">
        <v>16</v>
      </c>
      <c r="E1573" t="s">
        <v>17</v>
      </c>
      <c r="F1573" t="s">
        <v>31</v>
      </c>
      <c r="G1573" t="s">
        <v>112</v>
      </c>
      <c r="H1573" t="s">
        <v>113</v>
      </c>
      <c r="I1573" t="s">
        <v>37</v>
      </c>
      <c r="J1573">
        <v>1499</v>
      </c>
      <c r="K1573">
        <v>3</v>
      </c>
      <c r="L1573">
        <v>1566.89</v>
      </c>
      <c r="M1573">
        <v>235.03</v>
      </c>
      <c r="N1573">
        <v>4700.67</v>
      </c>
      <c r="O1573">
        <v>4465.6400000000003</v>
      </c>
      <c r="P1573" t="s">
        <v>2111</v>
      </c>
      <c r="Q1573" t="s">
        <v>1170</v>
      </c>
    </row>
    <row r="1574" spans="1:17" x14ac:dyDescent="0.3">
      <c r="A1574" t="s">
        <v>419</v>
      </c>
      <c r="B1574" t="s">
        <v>418</v>
      </c>
      <c r="C1574" s="1">
        <v>46047</v>
      </c>
      <c r="D1574" t="s">
        <v>41</v>
      </c>
      <c r="E1574" t="s">
        <v>17</v>
      </c>
      <c r="F1574" t="s">
        <v>74</v>
      </c>
      <c r="G1574" t="s">
        <v>112</v>
      </c>
      <c r="H1574" t="s">
        <v>113</v>
      </c>
      <c r="I1574" t="s">
        <v>37</v>
      </c>
      <c r="J1574">
        <v>1499</v>
      </c>
      <c r="K1574">
        <v>1</v>
      </c>
      <c r="L1574">
        <v>1377.74</v>
      </c>
      <c r="M1574">
        <v>0</v>
      </c>
      <c r="N1574">
        <v>1377.74</v>
      </c>
      <c r="O1574">
        <v>1377.74</v>
      </c>
      <c r="P1574" t="s">
        <v>2111</v>
      </c>
      <c r="Q1574" t="s">
        <v>23</v>
      </c>
    </row>
    <row r="1575" spans="1:17" x14ac:dyDescent="0.3">
      <c r="A1575" t="s">
        <v>185</v>
      </c>
      <c r="B1575" t="s">
        <v>184</v>
      </c>
      <c r="C1575" s="1">
        <v>46029</v>
      </c>
      <c r="D1575" t="s">
        <v>34</v>
      </c>
      <c r="E1575" t="s">
        <v>17</v>
      </c>
      <c r="F1575" t="s">
        <v>31</v>
      </c>
      <c r="G1575" t="s">
        <v>86</v>
      </c>
      <c r="H1575" t="s">
        <v>87</v>
      </c>
      <c r="I1575" t="s">
        <v>82</v>
      </c>
      <c r="J1575">
        <v>3499</v>
      </c>
      <c r="K1575">
        <v>2</v>
      </c>
      <c r="L1575">
        <v>3426.24</v>
      </c>
      <c r="M1575">
        <v>0</v>
      </c>
      <c r="N1575">
        <v>6852.48</v>
      </c>
      <c r="O1575">
        <v>6852.48</v>
      </c>
      <c r="P1575" t="s">
        <v>2111</v>
      </c>
      <c r="Q1575" t="s">
        <v>23</v>
      </c>
    </row>
    <row r="1576" spans="1:17" x14ac:dyDescent="0.3">
      <c r="A1576" t="s">
        <v>509</v>
      </c>
      <c r="B1576" t="s">
        <v>508</v>
      </c>
      <c r="C1576" s="1">
        <v>46054</v>
      </c>
      <c r="D1576" t="s">
        <v>34</v>
      </c>
      <c r="E1576" t="s">
        <v>17</v>
      </c>
      <c r="F1576" t="s">
        <v>60</v>
      </c>
      <c r="G1576" t="s">
        <v>250</v>
      </c>
      <c r="H1576" t="s">
        <v>251</v>
      </c>
      <c r="I1576" t="s">
        <v>108</v>
      </c>
      <c r="J1576">
        <v>899</v>
      </c>
      <c r="K1576">
        <v>1</v>
      </c>
      <c r="L1576">
        <v>985.89</v>
      </c>
      <c r="M1576">
        <v>0</v>
      </c>
      <c r="N1576">
        <v>985.89</v>
      </c>
      <c r="O1576">
        <v>985.89</v>
      </c>
      <c r="P1576" t="s">
        <v>2111</v>
      </c>
      <c r="Q1576" t="s">
        <v>498</v>
      </c>
    </row>
    <row r="1577" spans="1:17" x14ac:dyDescent="0.3">
      <c r="A1577" t="s">
        <v>1954</v>
      </c>
      <c r="B1577" t="s">
        <v>1953</v>
      </c>
      <c r="C1577" s="1">
        <v>46188</v>
      </c>
      <c r="D1577" t="s">
        <v>16</v>
      </c>
      <c r="E1577" t="s">
        <v>50</v>
      </c>
      <c r="F1577" t="s">
        <v>60</v>
      </c>
      <c r="G1577" t="s">
        <v>35</v>
      </c>
      <c r="H1577" t="s">
        <v>36</v>
      </c>
      <c r="I1577" t="s">
        <v>37</v>
      </c>
      <c r="J1577">
        <v>799</v>
      </c>
      <c r="K1577">
        <v>1</v>
      </c>
      <c r="L1577">
        <v>848.29</v>
      </c>
      <c r="M1577">
        <v>84.83</v>
      </c>
      <c r="N1577">
        <v>848.29</v>
      </c>
      <c r="O1577">
        <v>763.46</v>
      </c>
      <c r="P1577" t="s">
        <v>2111</v>
      </c>
      <c r="Q1577" t="s">
        <v>1809</v>
      </c>
    </row>
    <row r="1578" spans="1:17" x14ac:dyDescent="0.3">
      <c r="A1578" t="s">
        <v>1722</v>
      </c>
      <c r="B1578" t="s">
        <v>1721</v>
      </c>
      <c r="C1578" s="1">
        <v>46164</v>
      </c>
      <c r="D1578" t="s">
        <v>26</v>
      </c>
      <c r="E1578" t="s">
        <v>50</v>
      </c>
      <c r="F1578" t="s">
        <v>74</v>
      </c>
      <c r="G1578" t="s">
        <v>27</v>
      </c>
      <c r="H1578" t="s">
        <v>28</v>
      </c>
      <c r="I1578" t="s">
        <v>29</v>
      </c>
      <c r="J1578">
        <v>1599</v>
      </c>
      <c r="K1578">
        <v>1</v>
      </c>
      <c r="L1578">
        <v>1490.25</v>
      </c>
      <c r="M1578">
        <v>372.56</v>
      </c>
      <c r="N1578">
        <v>1490.25</v>
      </c>
      <c r="O1578">
        <v>1117.69</v>
      </c>
      <c r="P1578" t="s">
        <v>2111</v>
      </c>
      <c r="Q1578" t="s">
        <v>1479</v>
      </c>
    </row>
    <row r="1579" spans="1:17" x14ac:dyDescent="0.3">
      <c r="A1579" t="s">
        <v>309</v>
      </c>
      <c r="B1579" t="s">
        <v>308</v>
      </c>
      <c r="C1579" s="1">
        <v>46038</v>
      </c>
      <c r="D1579" t="s">
        <v>63</v>
      </c>
      <c r="E1579" t="s">
        <v>50</v>
      </c>
      <c r="F1579" t="s">
        <v>60</v>
      </c>
      <c r="G1579" t="s">
        <v>355</v>
      </c>
      <c r="H1579" t="s">
        <v>356</v>
      </c>
      <c r="I1579" t="s">
        <v>82</v>
      </c>
      <c r="J1579">
        <v>499</v>
      </c>
      <c r="K1579">
        <v>3</v>
      </c>
      <c r="L1579">
        <v>476.82</v>
      </c>
      <c r="M1579">
        <v>0</v>
      </c>
      <c r="N1579">
        <v>1430.46</v>
      </c>
      <c r="O1579">
        <v>1430.46</v>
      </c>
      <c r="P1579" t="s">
        <v>2111</v>
      </c>
      <c r="Q1579" t="s">
        <v>23</v>
      </c>
    </row>
    <row r="1580" spans="1:17" x14ac:dyDescent="0.3">
      <c r="A1580" t="s">
        <v>1845</v>
      </c>
      <c r="B1580" t="s">
        <v>1496</v>
      </c>
      <c r="C1580" s="1">
        <v>46176</v>
      </c>
      <c r="D1580" t="s">
        <v>26</v>
      </c>
      <c r="E1580" t="s">
        <v>17</v>
      </c>
      <c r="F1580" t="s">
        <v>22</v>
      </c>
      <c r="G1580" t="s">
        <v>56</v>
      </c>
      <c r="H1580" t="s">
        <v>57</v>
      </c>
      <c r="I1580" t="s">
        <v>58</v>
      </c>
      <c r="J1580">
        <v>8999</v>
      </c>
      <c r="K1580">
        <v>1</v>
      </c>
      <c r="L1580">
        <v>8692.7000000000007</v>
      </c>
      <c r="M1580">
        <v>1738.54</v>
      </c>
      <c r="N1580">
        <v>8692.7000000000007</v>
      </c>
      <c r="O1580">
        <v>6954.16</v>
      </c>
      <c r="P1580" t="s">
        <v>2111</v>
      </c>
      <c r="Q1580" t="s">
        <v>1809</v>
      </c>
    </row>
    <row r="1581" spans="1:17" x14ac:dyDescent="0.3">
      <c r="A1581" t="s">
        <v>1535</v>
      </c>
      <c r="B1581" t="s">
        <v>1534</v>
      </c>
      <c r="C1581" s="1">
        <v>46147</v>
      </c>
      <c r="D1581" t="s">
        <v>16</v>
      </c>
      <c r="E1581" t="s">
        <v>42</v>
      </c>
      <c r="F1581" t="s">
        <v>60</v>
      </c>
      <c r="G1581" t="s">
        <v>165</v>
      </c>
      <c r="H1581" t="s">
        <v>166</v>
      </c>
      <c r="I1581" t="s">
        <v>29</v>
      </c>
      <c r="J1581">
        <v>449</v>
      </c>
      <c r="K1581">
        <v>3</v>
      </c>
      <c r="L1581">
        <v>462.5</v>
      </c>
      <c r="M1581">
        <v>208.12</v>
      </c>
      <c r="N1581">
        <v>1387.5</v>
      </c>
      <c r="O1581">
        <v>1179.3800000000001</v>
      </c>
      <c r="P1581" t="s">
        <v>2111</v>
      </c>
      <c r="Q1581" t="s">
        <v>1479</v>
      </c>
    </row>
    <row r="1582" spans="1:17" x14ac:dyDescent="0.3">
      <c r="A1582" t="s">
        <v>294</v>
      </c>
      <c r="B1582" t="s">
        <v>293</v>
      </c>
      <c r="C1582" s="1">
        <v>46037</v>
      </c>
      <c r="D1582" t="s">
        <v>63</v>
      </c>
      <c r="E1582" t="s">
        <v>50</v>
      </c>
      <c r="F1582" t="s">
        <v>47</v>
      </c>
      <c r="G1582" t="s">
        <v>91</v>
      </c>
      <c r="H1582" t="s">
        <v>92</v>
      </c>
      <c r="I1582" t="s">
        <v>37</v>
      </c>
      <c r="J1582">
        <v>1899</v>
      </c>
      <c r="K1582">
        <v>1</v>
      </c>
      <c r="L1582">
        <v>1996.61</v>
      </c>
      <c r="M1582">
        <v>299.49</v>
      </c>
      <c r="N1582">
        <v>1996.61</v>
      </c>
      <c r="O1582">
        <v>1697.12</v>
      </c>
      <c r="P1582" t="s">
        <v>2111</v>
      </c>
      <c r="Q1582" t="s">
        <v>23</v>
      </c>
    </row>
    <row r="1583" spans="1:17" x14ac:dyDescent="0.3">
      <c r="A1583" t="s">
        <v>474</v>
      </c>
      <c r="B1583" t="s">
        <v>473</v>
      </c>
      <c r="C1583" s="1">
        <v>46052</v>
      </c>
      <c r="D1583" t="s">
        <v>63</v>
      </c>
      <c r="E1583" t="s">
        <v>17</v>
      </c>
      <c r="F1583" t="s">
        <v>31</v>
      </c>
      <c r="G1583" t="s">
        <v>355</v>
      </c>
      <c r="H1583" t="s">
        <v>356</v>
      </c>
      <c r="I1583" t="s">
        <v>82</v>
      </c>
      <c r="J1583">
        <v>499</v>
      </c>
      <c r="K1583">
        <v>1</v>
      </c>
      <c r="L1583">
        <v>523.9</v>
      </c>
      <c r="M1583">
        <v>78.58</v>
      </c>
      <c r="N1583">
        <v>523.9</v>
      </c>
      <c r="O1583">
        <v>445.32</v>
      </c>
      <c r="P1583" t="s">
        <v>2111</v>
      </c>
      <c r="Q1583" t="s">
        <v>23</v>
      </c>
    </row>
    <row r="1584" spans="1:17" x14ac:dyDescent="0.3">
      <c r="A1584" t="s">
        <v>315</v>
      </c>
      <c r="B1584" t="s">
        <v>314</v>
      </c>
      <c r="C1584" s="1">
        <v>46038</v>
      </c>
      <c r="D1584" t="s">
        <v>34</v>
      </c>
      <c r="E1584" t="s">
        <v>42</v>
      </c>
      <c r="F1584" t="s">
        <v>47</v>
      </c>
      <c r="G1584" t="s">
        <v>191</v>
      </c>
      <c r="H1584" t="s">
        <v>192</v>
      </c>
      <c r="I1584" t="s">
        <v>45</v>
      </c>
      <c r="J1584">
        <v>699</v>
      </c>
      <c r="K1584">
        <v>1</v>
      </c>
      <c r="L1584">
        <v>700.38</v>
      </c>
      <c r="M1584">
        <v>105.06</v>
      </c>
      <c r="N1584">
        <v>700.38</v>
      </c>
      <c r="O1584">
        <v>595.32000000000005</v>
      </c>
      <c r="P1584" t="s">
        <v>2111</v>
      </c>
      <c r="Q1584" t="s">
        <v>23</v>
      </c>
    </row>
    <row r="1585" spans="1:17" x14ac:dyDescent="0.3">
      <c r="A1585" t="s">
        <v>53</v>
      </c>
      <c r="B1585" t="s">
        <v>49</v>
      </c>
      <c r="C1585" s="1">
        <v>46023</v>
      </c>
      <c r="D1585" t="s">
        <v>16</v>
      </c>
      <c r="E1585" t="s">
        <v>17</v>
      </c>
      <c r="F1585" t="s">
        <v>22</v>
      </c>
      <c r="G1585" t="s">
        <v>43</v>
      </c>
      <c r="H1585" t="s">
        <v>44</v>
      </c>
      <c r="I1585" t="s">
        <v>45</v>
      </c>
      <c r="J1585">
        <v>3299</v>
      </c>
      <c r="K1585">
        <v>2</v>
      </c>
      <c r="L1585">
        <v>3504.08</v>
      </c>
      <c r="M1585">
        <v>0</v>
      </c>
      <c r="N1585">
        <v>7008.16</v>
      </c>
      <c r="O1585">
        <v>7008.16</v>
      </c>
      <c r="P1585" t="s">
        <v>2111</v>
      </c>
      <c r="Q1585" t="s">
        <v>23</v>
      </c>
    </row>
    <row r="1586" spans="1:17" x14ac:dyDescent="0.3">
      <c r="A1586" t="s">
        <v>973</v>
      </c>
      <c r="B1586" t="s">
        <v>972</v>
      </c>
      <c r="C1586" s="1">
        <v>46095</v>
      </c>
      <c r="D1586" t="s">
        <v>16</v>
      </c>
      <c r="E1586" t="s">
        <v>17</v>
      </c>
      <c r="F1586" t="s">
        <v>47</v>
      </c>
      <c r="G1586" t="s">
        <v>112</v>
      </c>
      <c r="H1586" t="s">
        <v>113</v>
      </c>
      <c r="I1586" t="s">
        <v>37</v>
      </c>
      <c r="J1586">
        <v>1499</v>
      </c>
      <c r="K1586">
        <v>1</v>
      </c>
      <c r="L1586">
        <v>1480.14</v>
      </c>
      <c r="M1586">
        <v>148.01</v>
      </c>
      <c r="N1586">
        <v>1480.14</v>
      </c>
      <c r="O1586">
        <v>1332.13</v>
      </c>
      <c r="P1586" t="s">
        <v>2111</v>
      </c>
      <c r="Q1586" t="s">
        <v>789</v>
      </c>
    </row>
    <row r="1587" spans="1:17" x14ac:dyDescent="0.3">
      <c r="A1587" t="s">
        <v>109</v>
      </c>
      <c r="B1587" t="s">
        <v>105</v>
      </c>
      <c r="C1587" s="1">
        <v>46026</v>
      </c>
      <c r="D1587" t="s">
        <v>16</v>
      </c>
      <c r="E1587" t="s">
        <v>17</v>
      </c>
      <c r="F1587" t="s">
        <v>22</v>
      </c>
      <c r="G1587" t="s">
        <v>91</v>
      </c>
      <c r="H1587" t="s">
        <v>92</v>
      </c>
      <c r="I1587" t="s">
        <v>37</v>
      </c>
      <c r="J1587">
        <v>1899</v>
      </c>
      <c r="K1587">
        <v>3</v>
      </c>
      <c r="L1587">
        <v>1756.15</v>
      </c>
      <c r="M1587">
        <v>790.27</v>
      </c>
      <c r="N1587">
        <v>5268.45</v>
      </c>
      <c r="O1587">
        <v>4478.18</v>
      </c>
      <c r="P1587" t="s">
        <v>2111</v>
      </c>
      <c r="Q1587" t="s">
        <v>23</v>
      </c>
    </row>
    <row r="1588" spans="1:17" x14ac:dyDescent="0.3">
      <c r="A1588" t="s">
        <v>1108</v>
      </c>
      <c r="B1588" t="s">
        <v>1107</v>
      </c>
      <c r="C1588" s="1">
        <v>46107</v>
      </c>
      <c r="D1588" t="s">
        <v>41</v>
      </c>
      <c r="E1588" t="s">
        <v>42</v>
      </c>
      <c r="F1588" t="s">
        <v>22</v>
      </c>
      <c r="G1588" t="s">
        <v>355</v>
      </c>
      <c r="H1588" t="s">
        <v>356</v>
      </c>
      <c r="I1588" t="s">
        <v>82</v>
      </c>
      <c r="J1588">
        <v>499</v>
      </c>
      <c r="K1588">
        <v>3</v>
      </c>
      <c r="L1588">
        <v>505.43</v>
      </c>
      <c r="M1588">
        <v>151.63</v>
      </c>
      <c r="N1588">
        <v>1516.29</v>
      </c>
      <c r="O1588">
        <v>1364.66</v>
      </c>
      <c r="P1588" t="s">
        <v>2111</v>
      </c>
      <c r="Q1588" t="s">
        <v>789</v>
      </c>
    </row>
    <row r="1589" spans="1:17" x14ac:dyDescent="0.3">
      <c r="A1589" t="s">
        <v>2834</v>
      </c>
      <c r="B1589" t="s">
        <v>2757</v>
      </c>
      <c r="C1589" s="1">
        <v>46104</v>
      </c>
      <c r="D1589" t="s">
        <v>16</v>
      </c>
      <c r="E1589" t="s">
        <v>17</v>
      </c>
      <c r="F1589" t="s">
        <v>74</v>
      </c>
      <c r="G1589" t="s">
        <v>160</v>
      </c>
      <c r="H1589" t="s">
        <v>161</v>
      </c>
      <c r="I1589" t="s">
        <v>82</v>
      </c>
      <c r="J1589">
        <v>799</v>
      </c>
      <c r="K1589">
        <v>3</v>
      </c>
      <c r="L1589">
        <v>871.28</v>
      </c>
      <c r="M1589">
        <v>522.77</v>
      </c>
      <c r="N1589">
        <v>2613.84</v>
      </c>
      <c r="O1589">
        <v>2091.0700000000002</v>
      </c>
      <c r="P1589" t="s">
        <v>2111</v>
      </c>
      <c r="Q1589" t="s">
        <v>789</v>
      </c>
    </row>
    <row r="1590" spans="1:17" x14ac:dyDescent="0.3">
      <c r="A1590" t="s">
        <v>1860</v>
      </c>
      <c r="B1590" t="s">
        <v>1859</v>
      </c>
      <c r="C1590" s="1">
        <v>46177</v>
      </c>
      <c r="D1590" t="s">
        <v>26</v>
      </c>
      <c r="E1590" t="s">
        <v>42</v>
      </c>
      <c r="F1590" t="s">
        <v>47</v>
      </c>
      <c r="G1590" t="s">
        <v>56</v>
      </c>
      <c r="H1590" t="s">
        <v>57</v>
      </c>
      <c r="I1590" t="s">
        <v>58</v>
      </c>
      <c r="J1590">
        <v>8999</v>
      </c>
      <c r="K1590">
        <v>1</v>
      </c>
      <c r="L1590">
        <v>9526.33</v>
      </c>
      <c r="M1590">
        <v>0</v>
      </c>
      <c r="N1590">
        <v>9526.33</v>
      </c>
      <c r="O1590">
        <v>9526.33</v>
      </c>
      <c r="P1590" t="s">
        <v>2111</v>
      </c>
      <c r="Q1590" t="s">
        <v>1809</v>
      </c>
    </row>
    <row r="1591" spans="1:17" x14ac:dyDescent="0.3">
      <c r="A1591" t="s">
        <v>2824</v>
      </c>
      <c r="B1591" t="s">
        <v>299</v>
      </c>
      <c r="C1591" s="1">
        <v>46054</v>
      </c>
      <c r="D1591" t="s">
        <v>34</v>
      </c>
      <c r="E1591" t="s">
        <v>17</v>
      </c>
      <c r="F1591" t="s">
        <v>74</v>
      </c>
      <c r="G1591" t="s">
        <v>80</v>
      </c>
      <c r="H1591" t="s">
        <v>81</v>
      </c>
      <c r="I1591" t="s">
        <v>82</v>
      </c>
      <c r="J1591">
        <v>4299</v>
      </c>
      <c r="K1591">
        <v>2</v>
      </c>
      <c r="L1591">
        <v>4366.67</v>
      </c>
      <c r="M1591">
        <v>1310</v>
      </c>
      <c r="N1591">
        <v>8733.34</v>
      </c>
      <c r="O1591">
        <v>7423.34</v>
      </c>
      <c r="P1591" t="s">
        <v>2111</v>
      </c>
      <c r="Q1591" t="s">
        <v>498</v>
      </c>
    </row>
    <row r="1592" spans="1:17" x14ac:dyDescent="0.3">
      <c r="A1592" t="s">
        <v>2628</v>
      </c>
      <c r="B1592" t="s">
        <v>2629</v>
      </c>
      <c r="C1592" s="1">
        <v>46202</v>
      </c>
      <c r="D1592" t="s">
        <v>34</v>
      </c>
      <c r="E1592" t="s">
        <v>17</v>
      </c>
      <c r="F1592" t="s">
        <v>47</v>
      </c>
      <c r="G1592" t="s">
        <v>126</v>
      </c>
      <c r="H1592" t="s">
        <v>127</v>
      </c>
      <c r="I1592" t="s">
        <v>45</v>
      </c>
      <c r="J1592">
        <v>2499</v>
      </c>
      <c r="K1592">
        <v>2</v>
      </c>
      <c r="L1592">
        <v>2572.37</v>
      </c>
      <c r="M1592">
        <v>514.47</v>
      </c>
      <c r="N1592">
        <v>5144.74</v>
      </c>
      <c r="O1592">
        <v>4630.2700000000004</v>
      </c>
      <c r="P1592" t="s">
        <v>2111</v>
      </c>
      <c r="Q1592" t="s">
        <v>1809</v>
      </c>
    </row>
    <row r="1593" spans="1:17" x14ac:dyDescent="0.3">
      <c r="A1593" t="s">
        <v>2242</v>
      </c>
      <c r="B1593" t="s">
        <v>2243</v>
      </c>
      <c r="C1593" s="1">
        <v>46123</v>
      </c>
      <c r="D1593" t="s">
        <v>34</v>
      </c>
      <c r="E1593" t="s">
        <v>50</v>
      </c>
      <c r="F1593" t="s">
        <v>22</v>
      </c>
      <c r="G1593" t="s">
        <v>27</v>
      </c>
      <c r="H1593" t="s">
        <v>28</v>
      </c>
      <c r="I1593" t="s">
        <v>29</v>
      </c>
      <c r="J1593">
        <v>1599</v>
      </c>
      <c r="K1593">
        <v>1</v>
      </c>
      <c r="L1593">
        <v>1736.69</v>
      </c>
      <c r="M1593">
        <v>86.83</v>
      </c>
      <c r="N1593">
        <v>1736.69</v>
      </c>
      <c r="O1593">
        <v>1649.86</v>
      </c>
      <c r="P1593" t="s">
        <v>2111</v>
      </c>
      <c r="Q1593" t="s">
        <v>1170</v>
      </c>
    </row>
    <row r="1594" spans="1:17" x14ac:dyDescent="0.3">
      <c r="A1594" t="s">
        <v>2835</v>
      </c>
      <c r="B1594" t="s">
        <v>2740</v>
      </c>
      <c r="C1594" s="1">
        <v>46140</v>
      </c>
      <c r="D1594" t="s">
        <v>41</v>
      </c>
      <c r="E1594" t="s">
        <v>50</v>
      </c>
      <c r="F1594" t="s">
        <v>31</v>
      </c>
      <c r="G1594" t="s">
        <v>250</v>
      </c>
      <c r="H1594" t="s">
        <v>251</v>
      </c>
      <c r="I1594" t="s">
        <v>108</v>
      </c>
      <c r="J1594">
        <v>899</v>
      </c>
      <c r="K1594">
        <v>1</v>
      </c>
      <c r="L1594">
        <v>886.12</v>
      </c>
      <c r="M1594">
        <v>44.31</v>
      </c>
      <c r="N1594">
        <v>886.12</v>
      </c>
      <c r="O1594">
        <v>841.81</v>
      </c>
      <c r="P1594" t="s">
        <v>2111</v>
      </c>
      <c r="Q1594" t="s">
        <v>1170</v>
      </c>
    </row>
    <row r="1595" spans="1:17" x14ac:dyDescent="0.3">
      <c r="A1595" t="s">
        <v>2800</v>
      </c>
      <c r="B1595" t="s">
        <v>69</v>
      </c>
      <c r="C1595" s="1">
        <v>46066</v>
      </c>
      <c r="D1595" t="s">
        <v>34</v>
      </c>
      <c r="E1595" t="s">
        <v>42</v>
      </c>
      <c r="F1595" t="s">
        <v>31</v>
      </c>
      <c r="G1595" t="s">
        <v>101</v>
      </c>
      <c r="H1595" t="s">
        <v>102</v>
      </c>
      <c r="I1595" t="s">
        <v>45</v>
      </c>
      <c r="J1595">
        <v>4999</v>
      </c>
      <c r="K1595">
        <v>1</v>
      </c>
      <c r="L1595">
        <v>4830.43</v>
      </c>
      <c r="M1595">
        <v>483.04</v>
      </c>
      <c r="N1595">
        <v>4830.43</v>
      </c>
      <c r="O1595">
        <v>4347.3900000000003</v>
      </c>
      <c r="P1595" t="s">
        <v>2114</v>
      </c>
      <c r="Q1595" t="s">
        <v>498</v>
      </c>
    </row>
    <row r="1596" spans="1:17" x14ac:dyDescent="0.3">
      <c r="A1596" t="s">
        <v>2698</v>
      </c>
      <c r="B1596" t="s">
        <v>2699</v>
      </c>
      <c r="C1596" s="1">
        <v>46137</v>
      </c>
      <c r="D1596" t="s">
        <v>16</v>
      </c>
      <c r="E1596" t="s">
        <v>17</v>
      </c>
      <c r="F1596" t="s">
        <v>22</v>
      </c>
      <c r="G1596" t="s">
        <v>43</v>
      </c>
      <c r="H1596" t="s">
        <v>44</v>
      </c>
      <c r="I1596" t="s">
        <v>45</v>
      </c>
      <c r="J1596">
        <v>3299</v>
      </c>
      <c r="K1596">
        <v>1</v>
      </c>
      <c r="L1596">
        <v>3613.88</v>
      </c>
      <c r="M1596">
        <v>722.78</v>
      </c>
      <c r="N1596">
        <v>3613.88</v>
      </c>
      <c r="O1596">
        <v>2891.1</v>
      </c>
      <c r="P1596" t="s">
        <v>2114</v>
      </c>
      <c r="Q1596" t="s">
        <v>1170</v>
      </c>
    </row>
    <row r="1597" spans="1:17" x14ac:dyDescent="0.3">
      <c r="A1597" t="s">
        <v>2076</v>
      </c>
      <c r="B1597" t="s">
        <v>2075</v>
      </c>
      <c r="C1597" s="1">
        <v>46201</v>
      </c>
      <c r="D1597" t="s">
        <v>26</v>
      </c>
      <c r="E1597" t="s">
        <v>50</v>
      </c>
      <c r="F1597" t="s">
        <v>47</v>
      </c>
      <c r="G1597" t="s">
        <v>35</v>
      </c>
      <c r="H1597" t="s">
        <v>36</v>
      </c>
      <c r="I1597" t="s">
        <v>37</v>
      </c>
      <c r="J1597">
        <v>799</v>
      </c>
      <c r="K1597">
        <v>1</v>
      </c>
      <c r="L1597">
        <v>857.08</v>
      </c>
      <c r="M1597">
        <v>85.71</v>
      </c>
      <c r="N1597">
        <v>857.08</v>
      </c>
      <c r="O1597">
        <v>771.37</v>
      </c>
      <c r="P1597" t="s">
        <v>2111</v>
      </c>
      <c r="Q1597" t="s">
        <v>1809</v>
      </c>
    </row>
    <row r="1598" spans="1:17" x14ac:dyDescent="0.3">
      <c r="A1598" t="s">
        <v>688</v>
      </c>
      <c r="B1598" t="s">
        <v>687</v>
      </c>
      <c r="C1598" s="1">
        <v>46072</v>
      </c>
      <c r="D1598" t="s">
        <v>34</v>
      </c>
      <c r="E1598" t="s">
        <v>50</v>
      </c>
      <c r="F1598" t="s">
        <v>31</v>
      </c>
      <c r="G1598" t="s">
        <v>91</v>
      </c>
      <c r="H1598" t="s">
        <v>92</v>
      </c>
      <c r="I1598" t="s">
        <v>37</v>
      </c>
      <c r="J1598">
        <v>1899</v>
      </c>
      <c r="K1598">
        <v>1</v>
      </c>
      <c r="L1598">
        <v>1831.79</v>
      </c>
      <c r="M1598">
        <v>274.77</v>
      </c>
      <c r="N1598">
        <v>1831.79</v>
      </c>
      <c r="O1598">
        <v>1557.02</v>
      </c>
      <c r="P1598" t="s">
        <v>2111</v>
      </c>
      <c r="Q1598" t="s">
        <v>498</v>
      </c>
    </row>
    <row r="1599" spans="1:17" x14ac:dyDescent="0.3">
      <c r="A1599" t="s">
        <v>2143</v>
      </c>
      <c r="B1599" t="s">
        <v>2144</v>
      </c>
      <c r="C1599" s="1">
        <v>46066</v>
      </c>
      <c r="D1599" t="s">
        <v>26</v>
      </c>
      <c r="E1599" t="s">
        <v>50</v>
      </c>
      <c r="F1599" t="s">
        <v>47</v>
      </c>
      <c r="G1599" t="s">
        <v>112</v>
      </c>
      <c r="H1599" t="s">
        <v>113</v>
      </c>
      <c r="I1599" t="s">
        <v>37</v>
      </c>
      <c r="J1599">
        <v>1499</v>
      </c>
      <c r="K1599">
        <v>1</v>
      </c>
      <c r="L1599">
        <v>1488.14</v>
      </c>
      <c r="M1599">
        <v>148.81</v>
      </c>
      <c r="N1599">
        <v>1488.14</v>
      </c>
      <c r="O1599">
        <v>1339.33</v>
      </c>
      <c r="P1599" t="s">
        <v>2111</v>
      </c>
      <c r="Q1599" t="s">
        <v>498</v>
      </c>
    </row>
    <row r="1600" spans="1:17" x14ac:dyDescent="0.3">
      <c r="A1600" t="s">
        <v>1854</v>
      </c>
      <c r="B1600" t="s">
        <v>1853</v>
      </c>
      <c r="C1600" s="1">
        <v>46177</v>
      </c>
      <c r="D1600" t="s">
        <v>34</v>
      </c>
      <c r="E1600" t="s">
        <v>17</v>
      </c>
      <c r="F1600" t="s">
        <v>74</v>
      </c>
      <c r="G1600" t="s">
        <v>191</v>
      </c>
      <c r="H1600" t="s">
        <v>192</v>
      </c>
      <c r="I1600" t="s">
        <v>45</v>
      </c>
      <c r="J1600">
        <v>699</v>
      </c>
      <c r="K1600">
        <v>1</v>
      </c>
      <c r="L1600">
        <v>687.13</v>
      </c>
      <c r="M1600">
        <v>0</v>
      </c>
      <c r="N1600">
        <v>687.13</v>
      </c>
      <c r="O1600">
        <v>687.13</v>
      </c>
      <c r="P1600" t="s">
        <v>2114</v>
      </c>
      <c r="Q1600" t="s">
        <v>1809</v>
      </c>
    </row>
    <row r="1601" spans="1:17" x14ac:dyDescent="0.3">
      <c r="A1601" t="s">
        <v>335</v>
      </c>
      <c r="B1601" t="s">
        <v>334</v>
      </c>
      <c r="C1601" s="1">
        <v>46040</v>
      </c>
      <c r="D1601" t="s">
        <v>34</v>
      </c>
      <c r="E1601" t="s">
        <v>17</v>
      </c>
      <c r="F1601" t="s">
        <v>60</v>
      </c>
      <c r="G1601" t="s">
        <v>86</v>
      </c>
      <c r="H1601" t="s">
        <v>87</v>
      </c>
      <c r="I1601" t="s">
        <v>82</v>
      </c>
      <c r="J1601">
        <v>3499</v>
      </c>
      <c r="K1601">
        <v>2</v>
      </c>
      <c r="L1601">
        <v>3253.44</v>
      </c>
      <c r="M1601">
        <v>0</v>
      </c>
      <c r="N1601">
        <v>6506.88</v>
      </c>
      <c r="O1601">
        <v>6506.88</v>
      </c>
      <c r="P1601" t="s">
        <v>2111</v>
      </c>
      <c r="Q1601" t="s">
        <v>23</v>
      </c>
    </row>
    <row r="1602" spans="1:17" x14ac:dyDescent="0.3">
      <c r="A1602" t="s">
        <v>2242</v>
      </c>
      <c r="B1602" t="s">
        <v>2243</v>
      </c>
      <c r="C1602" s="1">
        <v>46123</v>
      </c>
      <c r="D1602" t="s">
        <v>34</v>
      </c>
      <c r="E1602" t="s">
        <v>50</v>
      </c>
      <c r="F1602" t="s">
        <v>22</v>
      </c>
      <c r="G1602" t="s">
        <v>35</v>
      </c>
      <c r="H1602" t="s">
        <v>36</v>
      </c>
      <c r="I1602" t="s">
        <v>37</v>
      </c>
      <c r="J1602">
        <v>799</v>
      </c>
      <c r="K1602">
        <v>1</v>
      </c>
      <c r="L1602">
        <v>872.16</v>
      </c>
      <c r="M1602">
        <v>0</v>
      </c>
      <c r="N1602">
        <v>872.16</v>
      </c>
      <c r="O1602">
        <v>872.16</v>
      </c>
      <c r="P1602" t="s">
        <v>2111</v>
      </c>
      <c r="Q1602" t="s">
        <v>1170</v>
      </c>
    </row>
    <row r="1603" spans="1:17" x14ac:dyDescent="0.3">
      <c r="A1603" t="s">
        <v>2438</v>
      </c>
      <c r="B1603" t="s">
        <v>761</v>
      </c>
      <c r="C1603" s="1">
        <v>46095</v>
      </c>
      <c r="D1603" t="s">
        <v>16</v>
      </c>
      <c r="E1603" t="s">
        <v>50</v>
      </c>
      <c r="F1603" t="s">
        <v>74</v>
      </c>
      <c r="G1603" t="s">
        <v>35</v>
      </c>
      <c r="H1603" t="s">
        <v>36</v>
      </c>
      <c r="I1603" t="s">
        <v>37</v>
      </c>
      <c r="J1603">
        <v>799</v>
      </c>
      <c r="K1603">
        <v>1</v>
      </c>
      <c r="L1603">
        <v>783.71</v>
      </c>
      <c r="M1603">
        <v>78.37</v>
      </c>
      <c r="N1603">
        <v>783.71</v>
      </c>
      <c r="O1603">
        <v>705.34</v>
      </c>
      <c r="P1603" t="s">
        <v>2111</v>
      </c>
      <c r="Q1603" t="s">
        <v>789</v>
      </c>
    </row>
    <row r="1604" spans="1:17" x14ac:dyDescent="0.3">
      <c r="A1604" t="s">
        <v>2443</v>
      </c>
      <c r="B1604" t="s">
        <v>607</v>
      </c>
      <c r="C1604" s="1">
        <v>46098</v>
      </c>
      <c r="D1604" t="s">
        <v>63</v>
      </c>
      <c r="E1604" t="s">
        <v>17</v>
      </c>
      <c r="F1604" t="s">
        <v>47</v>
      </c>
      <c r="G1604" t="s">
        <v>165</v>
      </c>
      <c r="H1604" t="s">
        <v>166</v>
      </c>
      <c r="I1604" t="s">
        <v>29</v>
      </c>
      <c r="J1604">
        <v>449</v>
      </c>
      <c r="K1604">
        <v>1</v>
      </c>
      <c r="L1604">
        <v>482.7</v>
      </c>
      <c r="M1604">
        <v>24.14</v>
      </c>
      <c r="N1604">
        <v>482.7</v>
      </c>
      <c r="O1604">
        <v>458.56</v>
      </c>
      <c r="P1604" t="s">
        <v>2111</v>
      </c>
      <c r="Q1604" t="s">
        <v>789</v>
      </c>
    </row>
    <row r="1605" spans="1:17" x14ac:dyDescent="0.3">
      <c r="A1605" t="s">
        <v>1072</v>
      </c>
      <c r="B1605" t="s">
        <v>1071</v>
      </c>
      <c r="C1605" s="1">
        <v>46103</v>
      </c>
      <c r="D1605" t="s">
        <v>16</v>
      </c>
      <c r="E1605" t="s">
        <v>17</v>
      </c>
      <c r="F1605" t="s">
        <v>74</v>
      </c>
      <c r="G1605" t="s">
        <v>27</v>
      </c>
      <c r="H1605" t="s">
        <v>28</v>
      </c>
      <c r="I1605" t="s">
        <v>29</v>
      </c>
      <c r="J1605">
        <v>1599</v>
      </c>
      <c r="K1605">
        <v>1</v>
      </c>
      <c r="L1605">
        <v>1499.66</v>
      </c>
      <c r="M1605">
        <v>224.95</v>
      </c>
      <c r="N1605">
        <v>1499.66</v>
      </c>
      <c r="O1605">
        <v>1274.71</v>
      </c>
      <c r="P1605" t="s">
        <v>2114</v>
      </c>
      <c r="Q1605" t="s">
        <v>789</v>
      </c>
    </row>
    <row r="1606" spans="1:17" x14ac:dyDescent="0.3">
      <c r="A1606" t="s">
        <v>2836</v>
      </c>
      <c r="B1606" t="s">
        <v>2837</v>
      </c>
      <c r="C1606" s="1">
        <v>46030</v>
      </c>
      <c r="D1606" t="s">
        <v>16</v>
      </c>
      <c r="E1606" t="s">
        <v>17</v>
      </c>
      <c r="F1606" t="s">
        <v>47</v>
      </c>
      <c r="G1606" t="s">
        <v>56</v>
      </c>
      <c r="H1606" t="s">
        <v>57</v>
      </c>
      <c r="I1606" t="s">
        <v>58</v>
      </c>
      <c r="J1606">
        <v>8999</v>
      </c>
      <c r="K1606">
        <v>2</v>
      </c>
      <c r="L1606">
        <v>9085.16</v>
      </c>
      <c r="M1606">
        <v>2725.55</v>
      </c>
      <c r="N1606">
        <v>18170.32</v>
      </c>
      <c r="O1606">
        <v>15444.77</v>
      </c>
      <c r="P1606" t="s">
        <v>2111</v>
      </c>
      <c r="Q1606" t="s">
        <v>23</v>
      </c>
    </row>
    <row r="1607" spans="1:17" x14ac:dyDescent="0.3">
      <c r="A1607" t="s">
        <v>404</v>
      </c>
      <c r="B1607" t="s">
        <v>403</v>
      </c>
      <c r="C1607" s="1">
        <v>46045</v>
      </c>
      <c r="D1607" t="s">
        <v>41</v>
      </c>
      <c r="E1607" t="s">
        <v>50</v>
      </c>
      <c r="F1607" t="s">
        <v>22</v>
      </c>
      <c r="G1607" t="s">
        <v>86</v>
      </c>
      <c r="H1607" t="s">
        <v>87</v>
      </c>
      <c r="I1607" t="s">
        <v>82</v>
      </c>
      <c r="J1607">
        <v>3499</v>
      </c>
      <c r="K1607">
        <v>1</v>
      </c>
      <c r="L1607">
        <v>3165.87</v>
      </c>
      <c r="M1607">
        <v>0</v>
      </c>
      <c r="N1607">
        <v>3165.87</v>
      </c>
      <c r="O1607">
        <v>3165.87</v>
      </c>
      <c r="P1607" t="s">
        <v>2111</v>
      </c>
      <c r="Q1607" t="s">
        <v>23</v>
      </c>
    </row>
    <row r="1608" spans="1:17" x14ac:dyDescent="0.3">
      <c r="A1608" t="s">
        <v>2514</v>
      </c>
      <c r="B1608" t="s">
        <v>2515</v>
      </c>
      <c r="C1608" s="1">
        <v>46085</v>
      </c>
      <c r="D1608" t="s">
        <v>16</v>
      </c>
      <c r="E1608" t="s">
        <v>17</v>
      </c>
      <c r="F1608" t="s">
        <v>47</v>
      </c>
      <c r="G1608" t="s">
        <v>160</v>
      </c>
      <c r="H1608" t="s">
        <v>161</v>
      </c>
      <c r="I1608" t="s">
        <v>82</v>
      </c>
      <c r="J1608">
        <v>799</v>
      </c>
      <c r="K1608">
        <v>2</v>
      </c>
      <c r="L1608">
        <v>841.22</v>
      </c>
      <c r="M1608">
        <v>84.12</v>
      </c>
      <c r="N1608">
        <v>1682.44</v>
      </c>
      <c r="O1608">
        <v>1598.32</v>
      </c>
      <c r="P1608" t="s">
        <v>2111</v>
      </c>
      <c r="Q1608" t="s">
        <v>789</v>
      </c>
    </row>
    <row r="1609" spans="1:17" x14ac:dyDescent="0.3">
      <c r="A1609" t="s">
        <v>2628</v>
      </c>
      <c r="B1609" t="s">
        <v>2629</v>
      </c>
      <c r="C1609" s="1">
        <v>46202</v>
      </c>
      <c r="D1609" t="s">
        <v>34</v>
      </c>
      <c r="E1609" t="s">
        <v>17</v>
      </c>
      <c r="F1609" t="s">
        <v>47</v>
      </c>
      <c r="G1609" t="s">
        <v>56</v>
      </c>
      <c r="H1609" t="s">
        <v>57</v>
      </c>
      <c r="I1609" t="s">
        <v>58</v>
      </c>
      <c r="J1609">
        <v>8999</v>
      </c>
      <c r="K1609">
        <v>1</v>
      </c>
      <c r="L1609">
        <v>9144.6299999999992</v>
      </c>
      <c r="M1609">
        <v>457.23</v>
      </c>
      <c r="N1609">
        <v>9144.6299999999992</v>
      </c>
      <c r="O1609">
        <v>8687.4</v>
      </c>
      <c r="P1609" t="s">
        <v>2111</v>
      </c>
      <c r="Q1609" t="s">
        <v>1809</v>
      </c>
    </row>
    <row r="1610" spans="1:17" x14ac:dyDescent="0.3">
      <c r="A1610" t="s">
        <v>2743</v>
      </c>
      <c r="B1610" t="s">
        <v>1374</v>
      </c>
      <c r="C1610" s="1">
        <v>46071</v>
      </c>
      <c r="D1610" t="s">
        <v>16</v>
      </c>
      <c r="E1610" t="s">
        <v>50</v>
      </c>
      <c r="F1610" t="s">
        <v>47</v>
      </c>
      <c r="G1610" t="s">
        <v>112</v>
      </c>
      <c r="H1610" t="s">
        <v>113</v>
      </c>
      <c r="I1610" t="s">
        <v>37</v>
      </c>
      <c r="J1610">
        <v>1499</v>
      </c>
      <c r="K1610">
        <v>2</v>
      </c>
      <c r="L1610">
        <v>1536.65</v>
      </c>
      <c r="M1610">
        <v>307.33</v>
      </c>
      <c r="N1610">
        <v>3073.3</v>
      </c>
      <c r="O1610">
        <v>2765.97</v>
      </c>
      <c r="P1610" t="s">
        <v>2111</v>
      </c>
      <c r="Q1610" t="s">
        <v>498</v>
      </c>
    </row>
    <row r="1611" spans="1:17" x14ac:dyDescent="0.3">
      <c r="A1611" t="s">
        <v>2698</v>
      </c>
      <c r="B1611" t="s">
        <v>2699</v>
      </c>
      <c r="C1611" s="1">
        <v>46137</v>
      </c>
      <c r="D1611" t="s">
        <v>16</v>
      </c>
      <c r="E1611" t="s">
        <v>17</v>
      </c>
      <c r="F1611" t="s">
        <v>22</v>
      </c>
      <c r="G1611" t="s">
        <v>112</v>
      </c>
      <c r="H1611" t="s">
        <v>113</v>
      </c>
      <c r="I1611" t="s">
        <v>37</v>
      </c>
      <c r="J1611">
        <v>1499</v>
      </c>
      <c r="K1611">
        <v>1</v>
      </c>
      <c r="L1611">
        <v>1364.61</v>
      </c>
      <c r="M1611">
        <v>0</v>
      </c>
      <c r="N1611">
        <v>1364.61</v>
      </c>
      <c r="O1611">
        <v>1364.61</v>
      </c>
      <c r="P1611" t="s">
        <v>2111</v>
      </c>
      <c r="Q1611" t="s">
        <v>1170</v>
      </c>
    </row>
    <row r="1612" spans="1:17" x14ac:dyDescent="0.3">
      <c r="A1612" t="s">
        <v>2838</v>
      </c>
      <c r="B1612" t="s">
        <v>2802</v>
      </c>
      <c r="C1612" s="1">
        <v>46179</v>
      </c>
      <c r="D1612" t="s">
        <v>63</v>
      </c>
      <c r="E1612" t="s">
        <v>50</v>
      </c>
      <c r="F1612" t="s">
        <v>60</v>
      </c>
      <c r="G1612" t="s">
        <v>165</v>
      </c>
      <c r="H1612" t="s">
        <v>166</v>
      </c>
      <c r="I1612" t="s">
        <v>29</v>
      </c>
      <c r="J1612">
        <v>449</v>
      </c>
      <c r="K1612">
        <v>1</v>
      </c>
      <c r="L1612">
        <v>423.05</v>
      </c>
      <c r="M1612">
        <v>0</v>
      </c>
      <c r="N1612">
        <v>423.05</v>
      </c>
      <c r="O1612">
        <v>423.05</v>
      </c>
      <c r="P1612" t="s">
        <v>2111</v>
      </c>
      <c r="Q1612" t="s">
        <v>1809</v>
      </c>
    </row>
    <row r="1613" spans="1:17" x14ac:dyDescent="0.3">
      <c r="A1613" t="s">
        <v>2839</v>
      </c>
      <c r="B1613" t="s">
        <v>2437</v>
      </c>
      <c r="C1613" s="1">
        <v>46025</v>
      </c>
      <c r="D1613" t="s">
        <v>63</v>
      </c>
      <c r="E1613" t="s">
        <v>17</v>
      </c>
      <c r="F1613" t="s">
        <v>31</v>
      </c>
      <c r="G1613" t="s">
        <v>165</v>
      </c>
      <c r="H1613" t="s">
        <v>166</v>
      </c>
      <c r="I1613" t="s">
        <v>29</v>
      </c>
      <c r="J1613">
        <v>449</v>
      </c>
      <c r="K1613">
        <v>2</v>
      </c>
      <c r="L1613">
        <v>410.77</v>
      </c>
      <c r="M1613">
        <v>164.31</v>
      </c>
      <c r="N1613">
        <v>821.54</v>
      </c>
      <c r="O1613">
        <v>657.23</v>
      </c>
      <c r="P1613" t="s">
        <v>2111</v>
      </c>
      <c r="Q1613" t="s">
        <v>23</v>
      </c>
    </row>
    <row r="1614" spans="1:17" x14ac:dyDescent="0.3">
      <c r="A1614" t="s">
        <v>1300</v>
      </c>
      <c r="B1614" t="s">
        <v>1299</v>
      </c>
      <c r="C1614" s="1">
        <v>46127</v>
      </c>
      <c r="D1614" t="s">
        <v>16</v>
      </c>
      <c r="E1614" t="s">
        <v>17</v>
      </c>
      <c r="F1614" t="s">
        <v>31</v>
      </c>
      <c r="G1614" t="s">
        <v>51</v>
      </c>
      <c r="H1614" t="s">
        <v>52</v>
      </c>
      <c r="I1614" t="s">
        <v>20</v>
      </c>
      <c r="J1614">
        <v>999</v>
      </c>
      <c r="K1614">
        <v>1</v>
      </c>
      <c r="L1614">
        <v>956.83</v>
      </c>
      <c r="M1614">
        <v>143.52000000000001</v>
      </c>
      <c r="N1614">
        <v>956.83</v>
      </c>
      <c r="O1614">
        <v>813.31</v>
      </c>
      <c r="P1614" t="s">
        <v>2111</v>
      </c>
      <c r="Q1614" t="s">
        <v>1170</v>
      </c>
    </row>
    <row r="1615" spans="1:17" x14ac:dyDescent="0.3">
      <c r="A1615" t="s">
        <v>1505</v>
      </c>
      <c r="B1615" t="s">
        <v>1504</v>
      </c>
      <c r="C1615" s="1">
        <v>46145</v>
      </c>
      <c r="D1615" t="s">
        <v>16</v>
      </c>
      <c r="E1615" t="s">
        <v>50</v>
      </c>
      <c r="F1615" t="s">
        <v>31</v>
      </c>
      <c r="G1615" t="s">
        <v>101</v>
      </c>
      <c r="H1615" t="s">
        <v>102</v>
      </c>
      <c r="I1615" t="s">
        <v>45</v>
      </c>
      <c r="J1615">
        <v>4999</v>
      </c>
      <c r="K1615">
        <v>2</v>
      </c>
      <c r="L1615">
        <v>5126.41</v>
      </c>
      <c r="M1615">
        <v>0</v>
      </c>
      <c r="N1615">
        <v>10252.82</v>
      </c>
      <c r="O1615">
        <v>10252.82</v>
      </c>
      <c r="P1615" t="s">
        <v>2114</v>
      </c>
      <c r="Q1615" t="s">
        <v>1479</v>
      </c>
    </row>
    <row r="1616" spans="1:17" x14ac:dyDescent="0.3">
      <c r="A1616" t="s">
        <v>1430</v>
      </c>
      <c r="B1616" t="s">
        <v>1429</v>
      </c>
      <c r="C1616" s="1">
        <v>46138</v>
      </c>
      <c r="D1616" t="s">
        <v>63</v>
      </c>
      <c r="E1616" t="s">
        <v>17</v>
      </c>
      <c r="F1616" t="s">
        <v>60</v>
      </c>
      <c r="G1616" t="s">
        <v>112</v>
      </c>
      <c r="H1616" t="s">
        <v>113</v>
      </c>
      <c r="I1616" t="s">
        <v>37</v>
      </c>
      <c r="J1616">
        <v>1499</v>
      </c>
      <c r="K1616">
        <v>1</v>
      </c>
      <c r="L1616">
        <v>1518.84</v>
      </c>
      <c r="M1616">
        <v>151.88</v>
      </c>
      <c r="N1616">
        <v>1518.84</v>
      </c>
      <c r="O1616">
        <v>1366.96</v>
      </c>
      <c r="P1616" t="s">
        <v>2111</v>
      </c>
      <c r="Q1616" t="s">
        <v>1170</v>
      </c>
    </row>
    <row r="1617" spans="1:17" x14ac:dyDescent="0.3">
      <c r="A1617" t="s">
        <v>2258</v>
      </c>
      <c r="B1617" t="s">
        <v>394</v>
      </c>
      <c r="C1617" s="1">
        <v>46056</v>
      </c>
      <c r="D1617" t="s">
        <v>34</v>
      </c>
      <c r="E1617" t="s">
        <v>50</v>
      </c>
      <c r="F1617" t="s">
        <v>31</v>
      </c>
      <c r="G1617" t="s">
        <v>96</v>
      </c>
      <c r="H1617" t="s">
        <v>97</v>
      </c>
      <c r="I1617" t="s">
        <v>58</v>
      </c>
      <c r="J1617">
        <v>7499</v>
      </c>
      <c r="K1617">
        <v>1</v>
      </c>
      <c r="L1617">
        <v>7667.2</v>
      </c>
      <c r="M1617">
        <v>383.36</v>
      </c>
      <c r="N1617">
        <v>7667.2</v>
      </c>
      <c r="O1617">
        <v>7283.84</v>
      </c>
      <c r="P1617" t="s">
        <v>2111</v>
      </c>
      <c r="Q1617" t="s">
        <v>498</v>
      </c>
    </row>
    <row r="1618" spans="1:17" x14ac:dyDescent="0.3">
      <c r="A1618" t="s">
        <v>2256</v>
      </c>
      <c r="B1618" t="s">
        <v>2257</v>
      </c>
      <c r="C1618" s="1">
        <v>46155</v>
      </c>
      <c r="D1618" t="s">
        <v>63</v>
      </c>
      <c r="E1618" t="s">
        <v>17</v>
      </c>
      <c r="F1618" t="s">
        <v>74</v>
      </c>
      <c r="G1618" t="s">
        <v>112</v>
      </c>
      <c r="H1618" t="s">
        <v>113</v>
      </c>
      <c r="I1618" t="s">
        <v>37</v>
      </c>
      <c r="J1618">
        <v>1499</v>
      </c>
      <c r="K1618">
        <v>1</v>
      </c>
      <c r="L1618">
        <v>1513.77</v>
      </c>
      <c r="M1618">
        <v>227.07</v>
      </c>
      <c r="N1618">
        <v>1513.77</v>
      </c>
      <c r="O1618">
        <v>1286.7</v>
      </c>
      <c r="P1618" t="s">
        <v>2111</v>
      </c>
      <c r="Q1618" t="s">
        <v>1479</v>
      </c>
    </row>
    <row r="1619" spans="1:17" x14ac:dyDescent="0.3">
      <c r="A1619" t="s">
        <v>1491</v>
      </c>
      <c r="B1619" t="s">
        <v>1490</v>
      </c>
      <c r="C1619" s="1">
        <v>46144</v>
      </c>
      <c r="D1619" t="s">
        <v>34</v>
      </c>
      <c r="E1619" t="s">
        <v>50</v>
      </c>
      <c r="F1619" t="s">
        <v>60</v>
      </c>
      <c r="G1619" t="s">
        <v>149</v>
      </c>
      <c r="H1619" t="s">
        <v>150</v>
      </c>
      <c r="I1619" t="s">
        <v>37</v>
      </c>
      <c r="J1619">
        <v>2999</v>
      </c>
      <c r="K1619">
        <v>1</v>
      </c>
      <c r="L1619">
        <v>2862.86</v>
      </c>
      <c r="M1619">
        <v>286.29000000000002</v>
      </c>
      <c r="N1619">
        <v>2862.86</v>
      </c>
      <c r="O1619">
        <v>2576.5700000000002</v>
      </c>
      <c r="P1619" t="s">
        <v>2111</v>
      </c>
      <c r="Q1619" t="s">
        <v>1479</v>
      </c>
    </row>
    <row r="1620" spans="1:17" x14ac:dyDescent="0.3">
      <c r="A1620" t="s">
        <v>2597</v>
      </c>
      <c r="B1620" t="s">
        <v>2598</v>
      </c>
      <c r="C1620" s="1">
        <v>46185</v>
      </c>
      <c r="D1620" t="s">
        <v>41</v>
      </c>
      <c r="E1620" t="s">
        <v>17</v>
      </c>
      <c r="F1620" t="s">
        <v>60</v>
      </c>
      <c r="G1620" t="s">
        <v>35</v>
      </c>
      <c r="H1620" t="s">
        <v>36</v>
      </c>
      <c r="I1620" t="s">
        <v>37</v>
      </c>
      <c r="J1620">
        <v>799</v>
      </c>
      <c r="K1620">
        <v>3</v>
      </c>
      <c r="L1620">
        <v>758.17</v>
      </c>
      <c r="M1620">
        <v>0</v>
      </c>
      <c r="N1620">
        <v>2274.5100000000002</v>
      </c>
      <c r="O1620">
        <v>2274.5100000000002</v>
      </c>
      <c r="P1620" t="s">
        <v>2114</v>
      </c>
      <c r="Q1620" t="s">
        <v>1809</v>
      </c>
    </row>
    <row r="1621" spans="1:17" x14ac:dyDescent="0.3">
      <c r="A1621" t="s">
        <v>1383</v>
      </c>
      <c r="B1621" t="s">
        <v>1382</v>
      </c>
      <c r="C1621" s="1">
        <v>46134</v>
      </c>
      <c r="D1621" t="s">
        <v>16</v>
      </c>
      <c r="E1621" t="s">
        <v>50</v>
      </c>
      <c r="F1621" t="s">
        <v>22</v>
      </c>
      <c r="G1621" t="s">
        <v>96</v>
      </c>
      <c r="H1621" t="s">
        <v>97</v>
      </c>
      <c r="I1621" t="s">
        <v>58</v>
      </c>
      <c r="J1621">
        <v>7499</v>
      </c>
      <c r="K1621">
        <v>2</v>
      </c>
      <c r="L1621">
        <v>6954.66</v>
      </c>
      <c r="M1621">
        <v>2086.4</v>
      </c>
      <c r="N1621">
        <v>13909.32</v>
      </c>
      <c r="O1621">
        <v>11822.92</v>
      </c>
      <c r="P1621" t="s">
        <v>2111</v>
      </c>
      <c r="Q1621" t="s">
        <v>1170</v>
      </c>
    </row>
    <row r="1622" spans="1:17" x14ac:dyDescent="0.3">
      <c r="A1622" t="s">
        <v>2774</v>
      </c>
      <c r="B1622" t="s">
        <v>858</v>
      </c>
      <c r="C1622" s="1">
        <v>46065</v>
      </c>
      <c r="D1622" t="s">
        <v>34</v>
      </c>
      <c r="E1622" t="s">
        <v>17</v>
      </c>
      <c r="F1622" t="s">
        <v>31</v>
      </c>
      <c r="G1622" t="s">
        <v>149</v>
      </c>
      <c r="H1622" t="s">
        <v>150</v>
      </c>
      <c r="I1622" t="s">
        <v>37</v>
      </c>
      <c r="J1622">
        <v>2999</v>
      </c>
      <c r="K1622">
        <v>1</v>
      </c>
      <c r="L1622">
        <v>3208.37</v>
      </c>
      <c r="M1622">
        <v>320.83999999999997</v>
      </c>
      <c r="N1622">
        <v>3208.37</v>
      </c>
      <c r="O1622">
        <v>2887.53</v>
      </c>
      <c r="P1622" t="s">
        <v>2111</v>
      </c>
      <c r="Q1622" t="s">
        <v>498</v>
      </c>
    </row>
    <row r="1623" spans="1:17" x14ac:dyDescent="0.3">
      <c r="A1623" t="s">
        <v>2143</v>
      </c>
      <c r="B1623" t="s">
        <v>2144</v>
      </c>
      <c r="C1623" s="1">
        <v>46066</v>
      </c>
      <c r="D1623" t="s">
        <v>26</v>
      </c>
      <c r="E1623" t="s">
        <v>50</v>
      </c>
      <c r="F1623" t="s">
        <v>47</v>
      </c>
      <c r="G1623" t="s">
        <v>160</v>
      </c>
      <c r="H1623" t="s">
        <v>161</v>
      </c>
      <c r="I1623" t="s">
        <v>82</v>
      </c>
      <c r="J1623">
        <v>799</v>
      </c>
      <c r="K1623">
        <v>1</v>
      </c>
      <c r="L1623">
        <v>817.61</v>
      </c>
      <c r="M1623">
        <v>40.880000000000003</v>
      </c>
      <c r="N1623">
        <v>817.61</v>
      </c>
      <c r="O1623">
        <v>776.73</v>
      </c>
      <c r="P1623" t="s">
        <v>2111</v>
      </c>
      <c r="Q1623" t="s">
        <v>498</v>
      </c>
    </row>
    <row r="1624" spans="1:17" x14ac:dyDescent="0.3">
      <c r="A1624" t="s">
        <v>2840</v>
      </c>
      <c r="B1624" t="s">
        <v>2841</v>
      </c>
      <c r="C1624" s="1">
        <v>46066</v>
      </c>
      <c r="D1624" t="s">
        <v>16</v>
      </c>
      <c r="E1624" t="s">
        <v>17</v>
      </c>
      <c r="F1624" t="s">
        <v>60</v>
      </c>
      <c r="G1624" t="s">
        <v>165</v>
      </c>
      <c r="H1624" t="s">
        <v>166</v>
      </c>
      <c r="I1624" t="s">
        <v>29</v>
      </c>
      <c r="J1624">
        <v>449</v>
      </c>
      <c r="K1624">
        <v>1</v>
      </c>
      <c r="L1624">
        <v>420.85</v>
      </c>
      <c r="M1624">
        <v>21.04</v>
      </c>
      <c r="N1624">
        <v>420.85</v>
      </c>
      <c r="O1624">
        <v>399.81</v>
      </c>
      <c r="P1624" t="s">
        <v>2111</v>
      </c>
      <c r="Q1624" t="s">
        <v>498</v>
      </c>
    </row>
    <row r="1625" spans="1:17" x14ac:dyDescent="0.3">
      <c r="A1625" t="s">
        <v>2842</v>
      </c>
      <c r="B1625" t="s">
        <v>876</v>
      </c>
      <c r="C1625" s="1">
        <v>46146</v>
      </c>
      <c r="D1625" t="s">
        <v>41</v>
      </c>
      <c r="E1625" t="s">
        <v>17</v>
      </c>
      <c r="F1625" t="s">
        <v>60</v>
      </c>
      <c r="G1625" t="s">
        <v>149</v>
      </c>
      <c r="H1625" t="s">
        <v>150</v>
      </c>
      <c r="I1625" t="s">
        <v>37</v>
      </c>
      <c r="J1625">
        <v>2999</v>
      </c>
      <c r="K1625">
        <v>2</v>
      </c>
      <c r="L1625">
        <v>2805.39</v>
      </c>
      <c r="M1625">
        <v>561.08000000000004</v>
      </c>
      <c r="N1625">
        <v>5610.78</v>
      </c>
      <c r="O1625">
        <v>5049.7</v>
      </c>
      <c r="P1625" t="s">
        <v>2114</v>
      </c>
      <c r="Q1625" t="s">
        <v>1479</v>
      </c>
    </row>
    <row r="1626" spans="1:17" x14ac:dyDescent="0.3">
      <c r="A1626" t="s">
        <v>2622</v>
      </c>
      <c r="B1626" t="s">
        <v>2623</v>
      </c>
      <c r="C1626" s="1">
        <v>46037</v>
      </c>
      <c r="D1626" t="s">
        <v>26</v>
      </c>
      <c r="E1626" t="s">
        <v>17</v>
      </c>
      <c r="F1626" t="s">
        <v>74</v>
      </c>
      <c r="G1626" t="s">
        <v>165</v>
      </c>
      <c r="H1626" t="s">
        <v>166</v>
      </c>
      <c r="I1626" t="s">
        <v>29</v>
      </c>
      <c r="J1626">
        <v>449</v>
      </c>
      <c r="K1626">
        <v>1</v>
      </c>
      <c r="L1626">
        <v>482.5</v>
      </c>
      <c r="M1626">
        <v>24.12</v>
      </c>
      <c r="N1626">
        <v>482.5</v>
      </c>
      <c r="O1626">
        <v>458.38</v>
      </c>
      <c r="P1626" t="s">
        <v>2114</v>
      </c>
      <c r="Q1626" t="s">
        <v>23</v>
      </c>
    </row>
    <row r="1627" spans="1:17" x14ac:dyDescent="0.3">
      <c r="A1627" t="s">
        <v>2843</v>
      </c>
      <c r="B1627" t="s">
        <v>2844</v>
      </c>
      <c r="C1627" s="1">
        <v>46174</v>
      </c>
      <c r="D1627" t="s">
        <v>16</v>
      </c>
      <c r="E1627" t="s">
        <v>17</v>
      </c>
      <c r="F1627" t="s">
        <v>31</v>
      </c>
      <c r="G1627" t="s">
        <v>96</v>
      </c>
      <c r="H1627" t="s">
        <v>97</v>
      </c>
      <c r="I1627" t="s">
        <v>58</v>
      </c>
      <c r="J1627">
        <v>7499</v>
      </c>
      <c r="K1627">
        <v>1</v>
      </c>
      <c r="L1627">
        <v>7863.05</v>
      </c>
      <c r="M1627">
        <v>393.15</v>
      </c>
      <c r="N1627">
        <v>7863.05</v>
      </c>
      <c r="O1627">
        <v>7469.9</v>
      </c>
      <c r="P1627" t="s">
        <v>2111</v>
      </c>
      <c r="Q1627" t="s">
        <v>1809</v>
      </c>
    </row>
    <row r="1628" spans="1:17" x14ac:dyDescent="0.3">
      <c r="A1628" t="s">
        <v>2700</v>
      </c>
      <c r="B1628" t="s">
        <v>1093</v>
      </c>
      <c r="C1628" s="1">
        <v>46087</v>
      </c>
      <c r="D1628" t="s">
        <v>63</v>
      </c>
      <c r="E1628" t="s">
        <v>17</v>
      </c>
      <c r="F1628" t="s">
        <v>22</v>
      </c>
      <c r="G1628" t="s">
        <v>165</v>
      </c>
      <c r="H1628" t="s">
        <v>166</v>
      </c>
      <c r="I1628" t="s">
        <v>29</v>
      </c>
      <c r="J1628">
        <v>449</v>
      </c>
      <c r="K1628">
        <v>3</v>
      </c>
      <c r="L1628">
        <v>463.31</v>
      </c>
      <c r="M1628">
        <v>138.99</v>
      </c>
      <c r="N1628">
        <v>1389.93</v>
      </c>
      <c r="O1628">
        <v>1250.94</v>
      </c>
      <c r="P1628" t="s">
        <v>2114</v>
      </c>
      <c r="Q1628" t="s">
        <v>789</v>
      </c>
    </row>
    <row r="1629" spans="1:17" x14ac:dyDescent="0.3">
      <c r="A1629" t="s">
        <v>2278</v>
      </c>
      <c r="B1629" t="s">
        <v>2279</v>
      </c>
      <c r="C1629" s="1">
        <v>46121</v>
      </c>
      <c r="D1629" t="s">
        <v>63</v>
      </c>
      <c r="E1629" t="s">
        <v>17</v>
      </c>
      <c r="F1629" t="s">
        <v>31</v>
      </c>
      <c r="G1629" t="s">
        <v>35</v>
      </c>
      <c r="H1629" t="s">
        <v>36</v>
      </c>
      <c r="I1629" t="s">
        <v>37</v>
      </c>
      <c r="J1629">
        <v>799</v>
      </c>
      <c r="K1629">
        <v>1</v>
      </c>
      <c r="L1629">
        <v>784.12</v>
      </c>
      <c r="M1629">
        <v>0</v>
      </c>
      <c r="N1629">
        <v>784.12</v>
      </c>
      <c r="O1629">
        <v>784.12</v>
      </c>
      <c r="P1629" t="s">
        <v>2111</v>
      </c>
      <c r="Q1629" t="s">
        <v>1170</v>
      </c>
    </row>
    <row r="1630" spans="1:17" x14ac:dyDescent="0.3">
      <c r="A1630" t="s">
        <v>1242</v>
      </c>
      <c r="B1630" t="s">
        <v>213</v>
      </c>
      <c r="C1630" s="1">
        <v>46121</v>
      </c>
      <c r="D1630" t="s">
        <v>41</v>
      </c>
      <c r="E1630" t="s">
        <v>17</v>
      </c>
      <c r="F1630" t="s">
        <v>74</v>
      </c>
      <c r="G1630" t="s">
        <v>35</v>
      </c>
      <c r="H1630" t="s">
        <v>36</v>
      </c>
      <c r="I1630" t="s">
        <v>37</v>
      </c>
      <c r="J1630">
        <v>799</v>
      </c>
      <c r="K1630">
        <v>1</v>
      </c>
      <c r="L1630">
        <v>760.96</v>
      </c>
      <c r="M1630">
        <v>114.14</v>
      </c>
      <c r="N1630">
        <v>760.96</v>
      </c>
      <c r="O1630">
        <v>646.82000000000005</v>
      </c>
      <c r="P1630" t="s">
        <v>2111</v>
      </c>
      <c r="Q1630" t="s">
        <v>1170</v>
      </c>
    </row>
    <row r="1631" spans="1:17" x14ac:dyDescent="0.3">
      <c r="A1631" t="s">
        <v>2801</v>
      </c>
      <c r="B1631" t="s">
        <v>2802</v>
      </c>
      <c r="C1631" s="1">
        <v>46082</v>
      </c>
      <c r="D1631" t="s">
        <v>41</v>
      </c>
      <c r="E1631" t="s">
        <v>17</v>
      </c>
      <c r="F1631" t="s">
        <v>47</v>
      </c>
      <c r="G1631" t="s">
        <v>18</v>
      </c>
      <c r="H1631" t="s">
        <v>19</v>
      </c>
      <c r="I1631" t="s">
        <v>20</v>
      </c>
      <c r="J1631">
        <v>2799</v>
      </c>
      <c r="K1631">
        <v>3</v>
      </c>
      <c r="L1631">
        <v>3067.4</v>
      </c>
      <c r="M1631">
        <v>0</v>
      </c>
      <c r="N1631">
        <v>9202.2000000000007</v>
      </c>
      <c r="O1631">
        <v>9202.2000000000007</v>
      </c>
      <c r="P1631" t="s">
        <v>2111</v>
      </c>
      <c r="Q1631" t="s">
        <v>789</v>
      </c>
    </row>
    <row r="1632" spans="1:17" x14ac:dyDescent="0.3">
      <c r="A1632" t="s">
        <v>558</v>
      </c>
      <c r="B1632" t="s">
        <v>557</v>
      </c>
      <c r="C1632" s="1">
        <v>46059</v>
      </c>
      <c r="D1632" t="s">
        <v>41</v>
      </c>
      <c r="E1632" t="s">
        <v>17</v>
      </c>
      <c r="F1632" t="s">
        <v>74</v>
      </c>
      <c r="G1632" t="s">
        <v>126</v>
      </c>
      <c r="H1632" t="s">
        <v>127</v>
      </c>
      <c r="I1632" t="s">
        <v>45</v>
      </c>
      <c r="J1632">
        <v>2499</v>
      </c>
      <c r="K1632">
        <v>1</v>
      </c>
      <c r="L1632">
        <v>2647.56</v>
      </c>
      <c r="M1632">
        <v>0</v>
      </c>
      <c r="N1632">
        <v>2647.56</v>
      </c>
      <c r="O1632">
        <v>2647.56</v>
      </c>
      <c r="P1632" t="s">
        <v>2111</v>
      </c>
      <c r="Q1632" t="s">
        <v>498</v>
      </c>
    </row>
    <row r="1633" spans="1:17" x14ac:dyDescent="0.3">
      <c r="A1633" t="s">
        <v>2256</v>
      </c>
      <c r="B1633" t="s">
        <v>2257</v>
      </c>
      <c r="C1633" s="1">
        <v>46155</v>
      </c>
      <c r="D1633" t="s">
        <v>63</v>
      </c>
      <c r="E1633" t="s">
        <v>17</v>
      </c>
      <c r="F1633" t="s">
        <v>74</v>
      </c>
      <c r="G1633" t="s">
        <v>96</v>
      </c>
      <c r="H1633" t="s">
        <v>97</v>
      </c>
      <c r="I1633" t="s">
        <v>58</v>
      </c>
      <c r="J1633">
        <v>7499</v>
      </c>
      <c r="K1633">
        <v>1</v>
      </c>
      <c r="L1633">
        <v>7201.71</v>
      </c>
      <c r="M1633">
        <v>1080.26</v>
      </c>
      <c r="N1633">
        <v>7201.71</v>
      </c>
      <c r="O1633">
        <v>6121.45</v>
      </c>
      <c r="P1633" t="s">
        <v>2111</v>
      </c>
      <c r="Q1633" t="s">
        <v>1479</v>
      </c>
    </row>
    <row r="1634" spans="1:17" x14ac:dyDescent="0.3">
      <c r="A1634" t="s">
        <v>1505</v>
      </c>
      <c r="B1634" t="s">
        <v>1504</v>
      </c>
      <c r="C1634" s="1">
        <v>46145</v>
      </c>
      <c r="D1634" t="s">
        <v>16</v>
      </c>
      <c r="E1634" t="s">
        <v>50</v>
      </c>
      <c r="F1634" t="s">
        <v>31</v>
      </c>
      <c r="G1634" t="s">
        <v>101</v>
      </c>
      <c r="H1634" t="s">
        <v>102</v>
      </c>
      <c r="I1634" t="s">
        <v>45</v>
      </c>
      <c r="J1634">
        <v>4999</v>
      </c>
      <c r="K1634">
        <v>1</v>
      </c>
      <c r="L1634">
        <v>5346.5</v>
      </c>
      <c r="M1634">
        <v>801.98</v>
      </c>
      <c r="N1634">
        <v>5346.5</v>
      </c>
      <c r="O1634">
        <v>4544.5200000000004</v>
      </c>
      <c r="P1634" t="s">
        <v>2111</v>
      </c>
      <c r="Q1634" t="s">
        <v>1479</v>
      </c>
    </row>
    <row r="1635" spans="1:17" x14ac:dyDescent="0.3">
      <c r="A1635" t="s">
        <v>1879</v>
      </c>
      <c r="B1635" t="s">
        <v>1878</v>
      </c>
      <c r="C1635" s="1">
        <v>46178</v>
      </c>
      <c r="D1635" t="s">
        <v>34</v>
      </c>
      <c r="E1635" t="s">
        <v>50</v>
      </c>
      <c r="F1635" t="s">
        <v>31</v>
      </c>
      <c r="G1635" t="s">
        <v>101</v>
      </c>
      <c r="H1635" t="s">
        <v>102</v>
      </c>
      <c r="I1635" t="s">
        <v>45</v>
      </c>
      <c r="J1635">
        <v>4999</v>
      </c>
      <c r="K1635">
        <v>1</v>
      </c>
      <c r="L1635">
        <v>5257.88</v>
      </c>
      <c r="M1635">
        <v>788.68</v>
      </c>
      <c r="N1635">
        <v>5257.88</v>
      </c>
      <c r="O1635">
        <v>4469.2</v>
      </c>
      <c r="P1635" t="s">
        <v>2111</v>
      </c>
      <c r="Q1635" t="s">
        <v>1809</v>
      </c>
    </row>
    <row r="1636" spans="1:17" x14ac:dyDescent="0.3">
      <c r="A1636" t="s">
        <v>1984</v>
      </c>
      <c r="B1636" t="s">
        <v>1983</v>
      </c>
      <c r="C1636" s="1">
        <v>46193</v>
      </c>
      <c r="D1636" t="s">
        <v>41</v>
      </c>
      <c r="E1636" t="s">
        <v>17</v>
      </c>
      <c r="F1636" t="s">
        <v>22</v>
      </c>
      <c r="G1636" t="s">
        <v>18</v>
      </c>
      <c r="H1636" t="s">
        <v>19</v>
      </c>
      <c r="I1636" t="s">
        <v>20</v>
      </c>
      <c r="J1636">
        <v>2799</v>
      </c>
      <c r="K1636">
        <v>1</v>
      </c>
      <c r="L1636">
        <v>2685.41</v>
      </c>
      <c r="M1636">
        <v>268.54000000000002</v>
      </c>
      <c r="N1636">
        <v>2685.41</v>
      </c>
      <c r="O1636">
        <v>2416.87</v>
      </c>
      <c r="P1636" t="s">
        <v>2111</v>
      </c>
      <c r="Q1636" t="s">
        <v>1809</v>
      </c>
    </row>
    <row r="1637" spans="1:17" x14ac:dyDescent="0.3">
      <c r="A1637" t="s">
        <v>1814</v>
      </c>
      <c r="B1637" t="s">
        <v>1183</v>
      </c>
      <c r="C1637" s="1">
        <v>46174</v>
      </c>
      <c r="D1637" t="s">
        <v>26</v>
      </c>
      <c r="E1637" t="s">
        <v>17</v>
      </c>
      <c r="F1637" t="s">
        <v>22</v>
      </c>
      <c r="G1637" t="s">
        <v>191</v>
      </c>
      <c r="H1637" t="s">
        <v>192</v>
      </c>
      <c r="I1637" t="s">
        <v>45</v>
      </c>
      <c r="J1637">
        <v>699</v>
      </c>
      <c r="K1637">
        <v>3</v>
      </c>
      <c r="L1637">
        <v>688.73</v>
      </c>
      <c r="M1637">
        <v>103.31</v>
      </c>
      <c r="N1637">
        <v>2066.19</v>
      </c>
      <c r="O1637">
        <v>1962.88</v>
      </c>
      <c r="P1637" t="s">
        <v>2111</v>
      </c>
      <c r="Q1637" t="s">
        <v>1809</v>
      </c>
    </row>
    <row r="1638" spans="1:17" x14ac:dyDescent="0.3">
      <c r="A1638" t="s">
        <v>661</v>
      </c>
      <c r="B1638" t="s">
        <v>660</v>
      </c>
      <c r="C1638" s="1">
        <v>46071</v>
      </c>
      <c r="D1638" t="s">
        <v>63</v>
      </c>
      <c r="E1638" t="s">
        <v>50</v>
      </c>
      <c r="F1638" t="s">
        <v>47</v>
      </c>
      <c r="G1638" t="s">
        <v>27</v>
      </c>
      <c r="H1638" t="s">
        <v>28</v>
      </c>
      <c r="I1638" t="s">
        <v>29</v>
      </c>
      <c r="J1638">
        <v>1599</v>
      </c>
      <c r="K1638">
        <v>1</v>
      </c>
      <c r="L1638">
        <v>1498.57</v>
      </c>
      <c r="M1638">
        <v>224.79</v>
      </c>
      <c r="N1638">
        <v>1498.57</v>
      </c>
      <c r="O1638">
        <v>1273.78</v>
      </c>
      <c r="P1638" t="s">
        <v>2111</v>
      </c>
      <c r="Q1638" t="s">
        <v>498</v>
      </c>
    </row>
    <row r="1639" spans="1:17" x14ac:dyDescent="0.3">
      <c r="A1639" t="s">
        <v>2449</v>
      </c>
      <c r="B1639" t="s">
        <v>2450</v>
      </c>
      <c r="C1639" s="1">
        <v>46146</v>
      </c>
      <c r="D1639" t="s">
        <v>34</v>
      </c>
      <c r="E1639" t="s">
        <v>17</v>
      </c>
      <c r="F1639" t="s">
        <v>60</v>
      </c>
      <c r="G1639" t="s">
        <v>160</v>
      </c>
      <c r="H1639" t="s">
        <v>161</v>
      </c>
      <c r="I1639" t="s">
        <v>82</v>
      </c>
      <c r="J1639">
        <v>799</v>
      </c>
      <c r="K1639">
        <v>2</v>
      </c>
      <c r="L1639">
        <v>736.85</v>
      </c>
      <c r="M1639">
        <v>221.06</v>
      </c>
      <c r="N1639">
        <v>1473.7</v>
      </c>
      <c r="O1639">
        <v>1252.6400000000001</v>
      </c>
      <c r="P1639" t="s">
        <v>2111</v>
      </c>
      <c r="Q1639" t="s">
        <v>1479</v>
      </c>
    </row>
    <row r="1640" spans="1:17" x14ac:dyDescent="0.3">
      <c r="A1640" t="s">
        <v>1843</v>
      </c>
      <c r="B1640" t="s">
        <v>1157</v>
      </c>
      <c r="C1640" s="1">
        <v>46176</v>
      </c>
      <c r="D1640" t="s">
        <v>16</v>
      </c>
      <c r="E1640" t="s">
        <v>17</v>
      </c>
      <c r="F1640" t="s">
        <v>31</v>
      </c>
      <c r="G1640" t="s">
        <v>35</v>
      </c>
      <c r="H1640" t="s">
        <v>36</v>
      </c>
      <c r="I1640" t="s">
        <v>37</v>
      </c>
      <c r="J1640">
        <v>799</v>
      </c>
      <c r="K1640">
        <v>3</v>
      </c>
      <c r="L1640">
        <v>834.6</v>
      </c>
      <c r="M1640">
        <v>125.19</v>
      </c>
      <c r="N1640">
        <v>2503.8000000000002</v>
      </c>
      <c r="O1640">
        <v>2378.61</v>
      </c>
      <c r="P1640" t="s">
        <v>2111</v>
      </c>
      <c r="Q1640" t="s">
        <v>1809</v>
      </c>
    </row>
    <row r="1641" spans="1:17" x14ac:dyDescent="0.3">
      <c r="A1641" t="s">
        <v>217</v>
      </c>
      <c r="B1641" t="s">
        <v>216</v>
      </c>
      <c r="C1641" s="1">
        <v>46032</v>
      </c>
      <c r="D1641" t="s">
        <v>63</v>
      </c>
      <c r="E1641" t="s">
        <v>17</v>
      </c>
      <c r="F1641" t="s">
        <v>22</v>
      </c>
      <c r="G1641" t="s">
        <v>165</v>
      </c>
      <c r="H1641" t="s">
        <v>166</v>
      </c>
      <c r="I1641" t="s">
        <v>29</v>
      </c>
      <c r="J1641">
        <v>449</v>
      </c>
      <c r="K1641">
        <v>1</v>
      </c>
      <c r="L1641">
        <v>428.12</v>
      </c>
      <c r="M1641">
        <v>85.62</v>
      </c>
      <c r="N1641">
        <v>428.12</v>
      </c>
      <c r="O1641">
        <v>342.5</v>
      </c>
      <c r="P1641" t="s">
        <v>2111</v>
      </c>
      <c r="Q1641" t="s">
        <v>23</v>
      </c>
    </row>
    <row r="1642" spans="1:17" x14ac:dyDescent="0.3">
      <c r="A1642" t="s">
        <v>2383</v>
      </c>
      <c r="B1642" t="s">
        <v>2384</v>
      </c>
      <c r="C1642" s="1">
        <v>46148</v>
      </c>
      <c r="D1642" t="s">
        <v>63</v>
      </c>
      <c r="E1642" t="s">
        <v>17</v>
      </c>
      <c r="F1642" t="s">
        <v>74</v>
      </c>
      <c r="G1642" t="s">
        <v>86</v>
      </c>
      <c r="H1642" t="s">
        <v>87</v>
      </c>
      <c r="I1642" t="s">
        <v>82</v>
      </c>
      <c r="J1642">
        <v>3499</v>
      </c>
      <c r="K1642">
        <v>1</v>
      </c>
      <c r="L1642">
        <v>3722.98</v>
      </c>
      <c r="M1642">
        <v>0</v>
      </c>
      <c r="N1642">
        <v>3722.98</v>
      </c>
      <c r="O1642">
        <v>3722.98</v>
      </c>
      <c r="P1642" t="s">
        <v>2111</v>
      </c>
      <c r="Q1642" t="s">
        <v>1479</v>
      </c>
    </row>
    <row r="1643" spans="1:17" x14ac:dyDescent="0.3">
      <c r="A1643" t="s">
        <v>2845</v>
      </c>
      <c r="B1643" t="s">
        <v>95</v>
      </c>
      <c r="C1643" s="1">
        <v>46108</v>
      </c>
      <c r="D1643" t="s">
        <v>26</v>
      </c>
      <c r="E1643" t="s">
        <v>17</v>
      </c>
      <c r="F1643" t="s">
        <v>22</v>
      </c>
      <c r="G1643" t="s">
        <v>165</v>
      </c>
      <c r="H1643" t="s">
        <v>166</v>
      </c>
      <c r="I1643" t="s">
        <v>29</v>
      </c>
      <c r="J1643">
        <v>449</v>
      </c>
      <c r="K1643">
        <v>1</v>
      </c>
      <c r="L1643">
        <v>493.51</v>
      </c>
      <c r="M1643">
        <v>123.38</v>
      </c>
      <c r="N1643">
        <v>493.51</v>
      </c>
      <c r="O1643">
        <v>370.13</v>
      </c>
      <c r="P1643" t="s">
        <v>2111</v>
      </c>
      <c r="Q1643" t="s">
        <v>789</v>
      </c>
    </row>
    <row r="1644" spans="1:17" x14ac:dyDescent="0.3">
      <c r="A1644" t="s">
        <v>2846</v>
      </c>
      <c r="B1644" t="s">
        <v>439</v>
      </c>
      <c r="C1644" s="1">
        <v>46046</v>
      </c>
      <c r="D1644" t="s">
        <v>26</v>
      </c>
      <c r="E1644" t="s">
        <v>50</v>
      </c>
      <c r="F1644" t="s">
        <v>22</v>
      </c>
      <c r="G1644" t="s">
        <v>91</v>
      </c>
      <c r="H1644" t="s">
        <v>92</v>
      </c>
      <c r="I1644" t="s">
        <v>37</v>
      </c>
      <c r="J1644">
        <v>1899</v>
      </c>
      <c r="K1644">
        <v>3</v>
      </c>
      <c r="L1644">
        <v>1738.2</v>
      </c>
      <c r="M1644">
        <v>1042.92</v>
      </c>
      <c r="N1644">
        <v>5214.6000000000004</v>
      </c>
      <c r="O1644">
        <v>4171.68</v>
      </c>
      <c r="P1644" t="s">
        <v>2114</v>
      </c>
      <c r="Q1644" t="s">
        <v>23</v>
      </c>
    </row>
    <row r="1645" spans="1:17" x14ac:dyDescent="0.3">
      <c r="A1645" t="s">
        <v>2542</v>
      </c>
      <c r="B1645" t="s">
        <v>2286</v>
      </c>
      <c r="C1645" s="1">
        <v>46142</v>
      </c>
      <c r="D1645" t="s">
        <v>41</v>
      </c>
      <c r="E1645" t="s">
        <v>17</v>
      </c>
      <c r="F1645" t="s">
        <v>47</v>
      </c>
      <c r="G1645" t="s">
        <v>160</v>
      </c>
      <c r="H1645" t="s">
        <v>161</v>
      </c>
      <c r="I1645" t="s">
        <v>82</v>
      </c>
      <c r="J1645">
        <v>799</v>
      </c>
      <c r="K1645">
        <v>2</v>
      </c>
      <c r="L1645">
        <v>794.69</v>
      </c>
      <c r="M1645">
        <v>238.41</v>
      </c>
      <c r="N1645">
        <v>1589.38</v>
      </c>
      <c r="O1645">
        <v>1350.97</v>
      </c>
      <c r="P1645" t="s">
        <v>2111</v>
      </c>
      <c r="Q1645" t="s">
        <v>1170</v>
      </c>
    </row>
    <row r="1646" spans="1:17" x14ac:dyDescent="0.3">
      <c r="A1646" t="s">
        <v>2701</v>
      </c>
      <c r="B1646" t="s">
        <v>105</v>
      </c>
      <c r="C1646" s="1">
        <v>46035</v>
      </c>
      <c r="D1646" t="s">
        <v>16</v>
      </c>
      <c r="E1646" t="s">
        <v>17</v>
      </c>
      <c r="F1646" t="s">
        <v>60</v>
      </c>
      <c r="G1646" t="s">
        <v>43</v>
      </c>
      <c r="H1646" t="s">
        <v>44</v>
      </c>
      <c r="I1646" t="s">
        <v>45</v>
      </c>
      <c r="J1646">
        <v>3299</v>
      </c>
      <c r="K1646">
        <v>1</v>
      </c>
      <c r="L1646">
        <v>3498.3</v>
      </c>
      <c r="M1646">
        <v>699.66</v>
      </c>
      <c r="N1646">
        <v>3498.3</v>
      </c>
      <c r="O1646">
        <v>2798.64</v>
      </c>
      <c r="P1646" t="s">
        <v>2111</v>
      </c>
      <c r="Q1646" t="s">
        <v>23</v>
      </c>
    </row>
    <row r="1647" spans="1:17" x14ac:dyDescent="0.3">
      <c r="A1647" t="s">
        <v>1511</v>
      </c>
      <c r="B1647" t="s">
        <v>1510</v>
      </c>
      <c r="C1647" s="1">
        <v>46145</v>
      </c>
      <c r="D1647" t="s">
        <v>63</v>
      </c>
      <c r="E1647" t="s">
        <v>17</v>
      </c>
      <c r="F1647" t="s">
        <v>74</v>
      </c>
      <c r="G1647" t="s">
        <v>80</v>
      </c>
      <c r="H1647" t="s">
        <v>81</v>
      </c>
      <c r="I1647" t="s">
        <v>82</v>
      </c>
      <c r="J1647">
        <v>4299</v>
      </c>
      <c r="K1647">
        <v>2</v>
      </c>
      <c r="L1647">
        <v>4547.4399999999996</v>
      </c>
      <c r="M1647">
        <v>1364.23</v>
      </c>
      <c r="N1647">
        <v>9094.8799999999992</v>
      </c>
      <c r="O1647">
        <v>7730.65</v>
      </c>
      <c r="P1647" t="s">
        <v>2111</v>
      </c>
      <c r="Q1647" t="s">
        <v>1479</v>
      </c>
    </row>
    <row r="1648" spans="1:17" x14ac:dyDescent="0.3">
      <c r="A1648" t="s">
        <v>1666</v>
      </c>
      <c r="B1648" t="s">
        <v>1665</v>
      </c>
      <c r="C1648" s="1">
        <v>46157</v>
      </c>
      <c r="D1648" t="s">
        <v>16</v>
      </c>
      <c r="E1648" t="s">
        <v>17</v>
      </c>
      <c r="F1648" t="s">
        <v>22</v>
      </c>
      <c r="G1648" t="s">
        <v>43</v>
      </c>
      <c r="H1648" t="s">
        <v>44</v>
      </c>
      <c r="I1648" t="s">
        <v>45</v>
      </c>
      <c r="J1648">
        <v>3299</v>
      </c>
      <c r="K1648">
        <v>1</v>
      </c>
      <c r="L1648">
        <v>3470.55</v>
      </c>
      <c r="M1648">
        <v>0</v>
      </c>
      <c r="N1648">
        <v>3470.55</v>
      </c>
      <c r="O1648">
        <v>3470.55</v>
      </c>
      <c r="P1648" t="s">
        <v>2111</v>
      </c>
      <c r="Q1648" t="s">
        <v>1479</v>
      </c>
    </row>
    <row r="1649" spans="1:17" x14ac:dyDescent="0.3">
      <c r="A1649" t="s">
        <v>837</v>
      </c>
      <c r="B1649" t="s">
        <v>836</v>
      </c>
      <c r="C1649" s="1">
        <v>46084</v>
      </c>
      <c r="D1649" t="s">
        <v>16</v>
      </c>
      <c r="E1649" t="s">
        <v>17</v>
      </c>
      <c r="F1649" t="s">
        <v>74</v>
      </c>
      <c r="G1649" t="s">
        <v>355</v>
      </c>
      <c r="H1649" t="s">
        <v>356</v>
      </c>
      <c r="I1649" t="s">
        <v>82</v>
      </c>
      <c r="J1649">
        <v>499</v>
      </c>
      <c r="K1649">
        <v>3</v>
      </c>
      <c r="L1649">
        <v>483.93</v>
      </c>
      <c r="M1649">
        <v>145.18</v>
      </c>
      <c r="N1649">
        <v>1451.79</v>
      </c>
      <c r="O1649">
        <v>1306.6099999999999</v>
      </c>
      <c r="P1649" t="s">
        <v>2111</v>
      </c>
      <c r="Q1649" t="s">
        <v>789</v>
      </c>
    </row>
    <row r="1650" spans="1:17" x14ac:dyDescent="0.3">
      <c r="A1650" t="s">
        <v>2607</v>
      </c>
      <c r="B1650" t="s">
        <v>666</v>
      </c>
      <c r="C1650" s="1">
        <v>46159</v>
      </c>
      <c r="D1650" t="s">
        <v>16</v>
      </c>
      <c r="E1650" t="s">
        <v>17</v>
      </c>
      <c r="F1650" t="s">
        <v>47</v>
      </c>
      <c r="G1650" t="s">
        <v>80</v>
      </c>
      <c r="H1650" t="s">
        <v>81</v>
      </c>
      <c r="I1650" t="s">
        <v>82</v>
      </c>
      <c r="J1650">
        <v>4299</v>
      </c>
      <c r="K1650">
        <v>1</v>
      </c>
      <c r="L1650">
        <v>4259.32</v>
      </c>
      <c r="M1650">
        <v>0</v>
      </c>
      <c r="N1650">
        <v>4259.32</v>
      </c>
      <c r="O1650">
        <v>4259.32</v>
      </c>
      <c r="P1650" t="s">
        <v>2111</v>
      </c>
      <c r="Q1650" t="s">
        <v>1479</v>
      </c>
    </row>
    <row r="1651" spans="1:17" x14ac:dyDescent="0.3">
      <c r="A1651" t="s">
        <v>2671</v>
      </c>
      <c r="B1651" t="s">
        <v>1236</v>
      </c>
      <c r="C1651" s="1">
        <v>46138</v>
      </c>
      <c r="D1651" t="s">
        <v>16</v>
      </c>
      <c r="E1651" t="s">
        <v>17</v>
      </c>
      <c r="F1651" t="s">
        <v>22</v>
      </c>
      <c r="G1651" t="s">
        <v>35</v>
      </c>
      <c r="H1651" t="s">
        <v>36</v>
      </c>
      <c r="I1651" t="s">
        <v>37</v>
      </c>
      <c r="J1651">
        <v>799</v>
      </c>
      <c r="K1651">
        <v>1</v>
      </c>
      <c r="L1651">
        <v>814.18</v>
      </c>
      <c r="M1651">
        <v>81.42</v>
      </c>
      <c r="N1651">
        <v>814.18</v>
      </c>
      <c r="O1651">
        <v>732.76</v>
      </c>
      <c r="P1651" t="s">
        <v>2111</v>
      </c>
      <c r="Q1651" t="s">
        <v>1170</v>
      </c>
    </row>
    <row r="1652" spans="1:17" x14ac:dyDescent="0.3">
      <c r="A1652" t="s">
        <v>2267</v>
      </c>
      <c r="B1652" t="s">
        <v>2268</v>
      </c>
      <c r="C1652" s="1">
        <v>46177</v>
      </c>
      <c r="D1652" t="s">
        <v>16</v>
      </c>
      <c r="E1652" t="s">
        <v>50</v>
      </c>
      <c r="F1652" t="s">
        <v>31</v>
      </c>
      <c r="G1652" t="s">
        <v>149</v>
      </c>
      <c r="H1652" t="s">
        <v>150</v>
      </c>
      <c r="I1652" t="s">
        <v>37</v>
      </c>
      <c r="J1652">
        <v>2999</v>
      </c>
      <c r="K1652">
        <v>3</v>
      </c>
      <c r="L1652">
        <v>3283.27</v>
      </c>
      <c r="M1652">
        <v>1477.47</v>
      </c>
      <c r="N1652">
        <v>9849.81</v>
      </c>
      <c r="O1652">
        <v>8372.34</v>
      </c>
      <c r="P1652" t="s">
        <v>2114</v>
      </c>
      <c r="Q1652" t="s">
        <v>1809</v>
      </c>
    </row>
    <row r="1653" spans="1:17" x14ac:dyDescent="0.3">
      <c r="A1653" t="s">
        <v>2518</v>
      </c>
      <c r="B1653" t="s">
        <v>2519</v>
      </c>
      <c r="C1653" s="1">
        <v>46171</v>
      </c>
      <c r="D1653" t="s">
        <v>16</v>
      </c>
      <c r="E1653" t="s">
        <v>17</v>
      </c>
      <c r="F1653" t="s">
        <v>31</v>
      </c>
      <c r="G1653" t="s">
        <v>27</v>
      </c>
      <c r="H1653" t="s">
        <v>28</v>
      </c>
      <c r="I1653" t="s">
        <v>29</v>
      </c>
      <c r="J1653">
        <v>1599</v>
      </c>
      <c r="K1653">
        <v>1</v>
      </c>
      <c r="L1653">
        <v>1543.85</v>
      </c>
      <c r="M1653">
        <v>154.38</v>
      </c>
      <c r="N1653">
        <v>1543.85</v>
      </c>
      <c r="O1653">
        <v>1389.47</v>
      </c>
      <c r="P1653" t="s">
        <v>2111</v>
      </c>
      <c r="Q1653" t="s">
        <v>1479</v>
      </c>
    </row>
    <row r="1654" spans="1:17" x14ac:dyDescent="0.3">
      <c r="A1654" t="s">
        <v>1208</v>
      </c>
      <c r="B1654" t="s">
        <v>1207</v>
      </c>
      <c r="C1654" s="1">
        <v>46118</v>
      </c>
      <c r="D1654" t="s">
        <v>16</v>
      </c>
      <c r="E1654" t="s">
        <v>50</v>
      </c>
      <c r="F1654" t="s">
        <v>60</v>
      </c>
      <c r="G1654" t="s">
        <v>101</v>
      </c>
      <c r="H1654" t="s">
        <v>102</v>
      </c>
      <c r="I1654" t="s">
        <v>45</v>
      </c>
      <c r="J1654">
        <v>4999</v>
      </c>
      <c r="K1654">
        <v>1</v>
      </c>
      <c r="L1654">
        <v>5422.06</v>
      </c>
      <c r="M1654">
        <v>271.10000000000002</v>
      </c>
      <c r="N1654">
        <v>5422.06</v>
      </c>
      <c r="O1654">
        <v>5150.96</v>
      </c>
      <c r="P1654" t="s">
        <v>2111</v>
      </c>
      <c r="Q1654" t="s">
        <v>1170</v>
      </c>
    </row>
    <row r="1655" spans="1:17" x14ac:dyDescent="0.3">
      <c r="A1655" t="s">
        <v>375</v>
      </c>
      <c r="B1655" t="s">
        <v>374</v>
      </c>
      <c r="C1655" s="1">
        <v>46043</v>
      </c>
      <c r="D1655" t="s">
        <v>16</v>
      </c>
      <c r="E1655" t="s">
        <v>17</v>
      </c>
      <c r="F1655" t="s">
        <v>60</v>
      </c>
      <c r="G1655" t="s">
        <v>165</v>
      </c>
      <c r="H1655" t="s">
        <v>166</v>
      </c>
      <c r="I1655" t="s">
        <v>29</v>
      </c>
      <c r="J1655">
        <v>449</v>
      </c>
      <c r="K1655">
        <v>1</v>
      </c>
      <c r="L1655">
        <v>428.29</v>
      </c>
      <c r="M1655">
        <v>42.83</v>
      </c>
      <c r="N1655">
        <v>428.29</v>
      </c>
      <c r="O1655">
        <v>385.46</v>
      </c>
      <c r="P1655" t="s">
        <v>2111</v>
      </c>
      <c r="Q1655" t="s">
        <v>23</v>
      </c>
    </row>
    <row r="1656" spans="1:17" x14ac:dyDescent="0.3">
      <c r="A1656" t="s">
        <v>2413</v>
      </c>
      <c r="B1656" t="s">
        <v>1213</v>
      </c>
      <c r="C1656" s="1">
        <v>46192</v>
      </c>
      <c r="D1656" t="s">
        <v>26</v>
      </c>
      <c r="E1656" t="s">
        <v>17</v>
      </c>
      <c r="F1656" t="s">
        <v>47</v>
      </c>
      <c r="G1656" t="s">
        <v>35</v>
      </c>
      <c r="H1656" t="s">
        <v>36</v>
      </c>
      <c r="I1656" t="s">
        <v>37</v>
      </c>
      <c r="J1656">
        <v>799</v>
      </c>
      <c r="K1656">
        <v>1</v>
      </c>
      <c r="L1656">
        <v>877.15</v>
      </c>
      <c r="M1656">
        <v>175.43</v>
      </c>
      <c r="N1656">
        <v>877.15</v>
      </c>
      <c r="O1656">
        <v>701.72</v>
      </c>
      <c r="P1656" t="s">
        <v>2111</v>
      </c>
      <c r="Q1656" t="s">
        <v>1809</v>
      </c>
    </row>
    <row r="1657" spans="1:17" x14ac:dyDescent="0.3">
      <c r="A1657" t="s">
        <v>1399</v>
      </c>
      <c r="B1657" t="s">
        <v>1039</v>
      </c>
      <c r="C1657" s="1">
        <v>46136</v>
      </c>
      <c r="D1657" t="s">
        <v>41</v>
      </c>
      <c r="E1657" t="s">
        <v>50</v>
      </c>
      <c r="F1657" t="s">
        <v>74</v>
      </c>
      <c r="G1657" t="s">
        <v>43</v>
      </c>
      <c r="H1657" t="s">
        <v>44</v>
      </c>
      <c r="I1657" t="s">
        <v>45</v>
      </c>
      <c r="J1657">
        <v>3299</v>
      </c>
      <c r="K1657">
        <v>1</v>
      </c>
      <c r="L1657">
        <v>3411.34</v>
      </c>
      <c r="M1657">
        <v>0</v>
      </c>
      <c r="N1657">
        <v>3411.34</v>
      </c>
      <c r="O1657">
        <v>3411.34</v>
      </c>
      <c r="P1657" t="s">
        <v>2111</v>
      </c>
      <c r="Q1657" t="s">
        <v>1170</v>
      </c>
    </row>
    <row r="1658" spans="1:17" x14ac:dyDescent="0.3">
      <c r="A1658" t="s">
        <v>2847</v>
      </c>
      <c r="B1658" t="s">
        <v>750</v>
      </c>
      <c r="C1658" s="1">
        <v>46075</v>
      </c>
      <c r="D1658" t="s">
        <v>16</v>
      </c>
      <c r="E1658" t="s">
        <v>17</v>
      </c>
      <c r="F1658" t="s">
        <v>22</v>
      </c>
      <c r="G1658" t="s">
        <v>106</v>
      </c>
      <c r="H1658" t="s">
        <v>107</v>
      </c>
      <c r="I1658" t="s">
        <v>108</v>
      </c>
      <c r="J1658">
        <v>599</v>
      </c>
      <c r="K1658">
        <v>3</v>
      </c>
      <c r="L1658">
        <v>594.63</v>
      </c>
      <c r="M1658">
        <v>178.39</v>
      </c>
      <c r="N1658">
        <v>1783.89</v>
      </c>
      <c r="O1658">
        <v>1605.5</v>
      </c>
      <c r="P1658" t="s">
        <v>2111</v>
      </c>
      <c r="Q1658" t="s">
        <v>498</v>
      </c>
    </row>
    <row r="1659" spans="1:17" x14ac:dyDescent="0.3">
      <c r="A1659" t="s">
        <v>2848</v>
      </c>
      <c r="B1659" t="s">
        <v>2849</v>
      </c>
      <c r="C1659" s="1">
        <v>46169</v>
      </c>
      <c r="D1659" t="s">
        <v>34</v>
      </c>
      <c r="E1659" t="s">
        <v>17</v>
      </c>
      <c r="F1659" t="s">
        <v>60</v>
      </c>
      <c r="G1659" t="s">
        <v>56</v>
      </c>
      <c r="H1659" t="s">
        <v>57</v>
      </c>
      <c r="I1659" t="s">
        <v>58</v>
      </c>
      <c r="J1659">
        <v>8999</v>
      </c>
      <c r="K1659">
        <v>1</v>
      </c>
      <c r="L1659">
        <v>9203.08</v>
      </c>
      <c r="M1659">
        <v>0</v>
      </c>
      <c r="N1659">
        <v>9203.08</v>
      </c>
      <c r="O1659">
        <v>9203.08</v>
      </c>
      <c r="P1659" t="s">
        <v>2111</v>
      </c>
      <c r="Q1659" t="s">
        <v>1479</v>
      </c>
    </row>
    <row r="1660" spans="1:17" x14ac:dyDescent="0.3">
      <c r="A1660" t="s">
        <v>2013</v>
      </c>
      <c r="B1660" t="s">
        <v>773</v>
      </c>
      <c r="C1660" s="1">
        <v>46195</v>
      </c>
      <c r="D1660" t="s">
        <v>16</v>
      </c>
      <c r="E1660" t="s">
        <v>50</v>
      </c>
      <c r="F1660" t="s">
        <v>74</v>
      </c>
      <c r="G1660" t="s">
        <v>86</v>
      </c>
      <c r="H1660" t="s">
        <v>87</v>
      </c>
      <c r="I1660" t="s">
        <v>82</v>
      </c>
      <c r="J1660">
        <v>3499</v>
      </c>
      <c r="K1660">
        <v>1</v>
      </c>
      <c r="L1660">
        <v>3339.82</v>
      </c>
      <c r="M1660">
        <v>500.97</v>
      </c>
      <c r="N1660">
        <v>3339.82</v>
      </c>
      <c r="O1660">
        <v>2838.85</v>
      </c>
      <c r="P1660" t="s">
        <v>2111</v>
      </c>
      <c r="Q1660" t="s">
        <v>1809</v>
      </c>
    </row>
    <row r="1661" spans="1:17" x14ac:dyDescent="0.3">
      <c r="A1661" t="s">
        <v>743</v>
      </c>
      <c r="B1661" t="s">
        <v>742</v>
      </c>
      <c r="C1661" s="1">
        <v>46078</v>
      </c>
      <c r="D1661" t="s">
        <v>63</v>
      </c>
      <c r="E1661" t="s">
        <v>17</v>
      </c>
      <c r="F1661" t="s">
        <v>22</v>
      </c>
      <c r="G1661" t="s">
        <v>91</v>
      </c>
      <c r="H1661" t="s">
        <v>92</v>
      </c>
      <c r="I1661" t="s">
        <v>37</v>
      </c>
      <c r="J1661">
        <v>1899</v>
      </c>
      <c r="K1661">
        <v>2</v>
      </c>
      <c r="L1661">
        <v>1813.23</v>
      </c>
      <c r="M1661">
        <v>0</v>
      </c>
      <c r="N1661">
        <v>3626.46</v>
      </c>
      <c r="O1661">
        <v>3626.46</v>
      </c>
      <c r="P1661" t="s">
        <v>2111</v>
      </c>
      <c r="Q1661" t="s">
        <v>498</v>
      </c>
    </row>
    <row r="1662" spans="1:17" x14ac:dyDescent="0.3">
      <c r="A1662" t="s">
        <v>2148</v>
      </c>
      <c r="B1662" t="s">
        <v>2149</v>
      </c>
      <c r="C1662" s="1">
        <v>46174</v>
      </c>
      <c r="D1662" t="s">
        <v>26</v>
      </c>
      <c r="E1662" t="s">
        <v>17</v>
      </c>
      <c r="F1662" t="s">
        <v>22</v>
      </c>
      <c r="G1662" t="s">
        <v>106</v>
      </c>
      <c r="H1662" t="s">
        <v>107</v>
      </c>
      <c r="I1662" t="s">
        <v>108</v>
      </c>
      <c r="J1662">
        <v>599</v>
      </c>
      <c r="K1662">
        <v>1</v>
      </c>
      <c r="L1662">
        <v>552.70000000000005</v>
      </c>
      <c r="M1662">
        <v>82.9</v>
      </c>
      <c r="N1662">
        <v>552.70000000000005</v>
      </c>
      <c r="O1662">
        <v>469.8</v>
      </c>
      <c r="P1662" t="s">
        <v>2111</v>
      </c>
      <c r="Q1662" t="s">
        <v>1809</v>
      </c>
    </row>
    <row r="1663" spans="1:17" x14ac:dyDescent="0.3">
      <c r="A1663" t="s">
        <v>869</v>
      </c>
      <c r="B1663" t="s">
        <v>868</v>
      </c>
      <c r="C1663" s="1">
        <v>46088</v>
      </c>
      <c r="D1663" t="s">
        <v>34</v>
      </c>
      <c r="E1663" t="s">
        <v>17</v>
      </c>
      <c r="F1663" t="s">
        <v>47</v>
      </c>
      <c r="G1663" t="s">
        <v>86</v>
      </c>
      <c r="H1663" t="s">
        <v>87</v>
      </c>
      <c r="I1663" t="s">
        <v>82</v>
      </c>
      <c r="J1663">
        <v>3499</v>
      </c>
      <c r="K1663">
        <v>1</v>
      </c>
      <c r="L1663">
        <v>3228.91</v>
      </c>
      <c r="M1663">
        <v>161.44999999999999</v>
      </c>
      <c r="N1663">
        <v>3228.91</v>
      </c>
      <c r="O1663">
        <v>3067.46</v>
      </c>
      <c r="P1663" t="s">
        <v>2111</v>
      </c>
      <c r="Q1663" t="s">
        <v>789</v>
      </c>
    </row>
    <row r="1664" spans="1:17" x14ac:dyDescent="0.3">
      <c r="A1664" t="s">
        <v>2850</v>
      </c>
      <c r="B1664" t="s">
        <v>705</v>
      </c>
      <c r="C1664" s="1">
        <v>46145</v>
      </c>
      <c r="D1664" t="s">
        <v>63</v>
      </c>
      <c r="E1664" t="s">
        <v>50</v>
      </c>
      <c r="F1664" t="s">
        <v>60</v>
      </c>
      <c r="G1664" t="s">
        <v>86</v>
      </c>
      <c r="H1664" t="s">
        <v>87</v>
      </c>
      <c r="I1664" t="s">
        <v>82</v>
      </c>
      <c r="J1664">
        <v>3499</v>
      </c>
      <c r="K1664">
        <v>2</v>
      </c>
      <c r="L1664">
        <v>3392.4</v>
      </c>
      <c r="M1664">
        <v>0</v>
      </c>
      <c r="N1664">
        <v>6784.8</v>
      </c>
      <c r="O1664">
        <v>6784.8</v>
      </c>
      <c r="P1664" t="s">
        <v>2111</v>
      </c>
      <c r="Q1664" t="s">
        <v>1479</v>
      </c>
    </row>
    <row r="1665" spans="1:17" x14ac:dyDescent="0.3">
      <c r="A1665" t="s">
        <v>2569</v>
      </c>
      <c r="B1665" t="s">
        <v>2570</v>
      </c>
      <c r="C1665" s="1">
        <v>46191</v>
      </c>
      <c r="D1665" t="s">
        <v>16</v>
      </c>
      <c r="E1665" t="s">
        <v>17</v>
      </c>
      <c r="F1665" t="s">
        <v>31</v>
      </c>
      <c r="G1665" t="s">
        <v>80</v>
      </c>
      <c r="H1665" t="s">
        <v>81</v>
      </c>
      <c r="I1665" t="s">
        <v>82</v>
      </c>
      <c r="J1665">
        <v>4299</v>
      </c>
      <c r="K1665">
        <v>2</v>
      </c>
      <c r="L1665">
        <v>4525</v>
      </c>
      <c r="M1665">
        <v>1810</v>
      </c>
      <c r="N1665">
        <v>9050</v>
      </c>
      <c r="O1665">
        <v>7240</v>
      </c>
      <c r="P1665" t="s">
        <v>2111</v>
      </c>
      <c r="Q1665" t="s">
        <v>1809</v>
      </c>
    </row>
    <row r="1666" spans="1:17" x14ac:dyDescent="0.3">
      <c r="A1666" t="s">
        <v>734</v>
      </c>
      <c r="B1666" t="s">
        <v>733</v>
      </c>
      <c r="C1666" s="1">
        <v>46076</v>
      </c>
      <c r="D1666" t="s">
        <v>41</v>
      </c>
      <c r="E1666" t="s">
        <v>50</v>
      </c>
      <c r="F1666" t="s">
        <v>47</v>
      </c>
      <c r="G1666" t="s">
        <v>43</v>
      </c>
      <c r="H1666" t="s">
        <v>44</v>
      </c>
      <c r="I1666" t="s">
        <v>45</v>
      </c>
      <c r="J1666">
        <v>3299</v>
      </c>
      <c r="K1666">
        <v>2</v>
      </c>
      <c r="L1666">
        <v>3370.24</v>
      </c>
      <c r="M1666">
        <v>0</v>
      </c>
      <c r="N1666">
        <v>6740.48</v>
      </c>
      <c r="O1666">
        <v>6740.48</v>
      </c>
      <c r="P1666" t="s">
        <v>2111</v>
      </c>
      <c r="Q1666" t="s">
        <v>498</v>
      </c>
    </row>
    <row r="1667" spans="1:17" x14ac:dyDescent="0.3">
      <c r="A1667" t="s">
        <v>2462</v>
      </c>
      <c r="B1667" t="s">
        <v>1559</v>
      </c>
      <c r="C1667" s="1">
        <v>46151</v>
      </c>
      <c r="D1667" t="s">
        <v>41</v>
      </c>
      <c r="E1667" t="s">
        <v>50</v>
      </c>
      <c r="F1667" t="s">
        <v>22</v>
      </c>
      <c r="G1667" t="s">
        <v>80</v>
      </c>
      <c r="H1667" t="s">
        <v>81</v>
      </c>
      <c r="I1667" t="s">
        <v>82</v>
      </c>
      <c r="J1667">
        <v>4299</v>
      </c>
      <c r="K1667">
        <v>2</v>
      </c>
      <c r="L1667">
        <v>3957.3</v>
      </c>
      <c r="M1667">
        <v>791.46</v>
      </c>
      <c r="N1667">
        <v>7914.6</v>
      </c>
      <c r="O1667">
        <v>7123.14</v>
      </c>
      <c r="P1667" t="s">
        <v>2111</v>
      </c>
      <c r="Q1667" t="s">
        <v>1479</v>
      </c>
    </row>
    <row r="1668" spans="1:17" x14ac:dyDescent="0.3">
      <c r="A1668" t="s">
        <v>2851</v>
      </c>
      <c r="B1668" t="s">
        <v>1186</v>
      </c>
      <c r="C1668" s="1">
        <v>46127</v>
      </c>
      <c r="D1668" t="s">
        <v>16</v>
      </c>
      <c r="E1668" t="s">
        <v>17</v>
      </c>
      <c r="F1668" t="s">
        <v>74</v>
      </c>
      <c r="G1668" t="s">
        <v>126</v>
      </c>
      <c r="H1668" t="s">
        <v>127</v>
      </c>
      <c r="I1668" t="s">
        <v>45</v>
      </c>
      <c r="J1668">
        <v>2499</v>
      </c>
      <c r="K1668">
        <v>1</v>
      </c>
      <c r="L1668">
        <v>2675.05</v>
      </c>
      <c r="M1668">
        <v>0</v>
      </c>
      <c r="N1668">
        <v>2675.05</v>
      </c>
      <c r="O1668">
        <v>2675.05</v>
      </c>
      <c r="P1668" t="s">
        <v>2111</v>
      </c>
      <c r="Q1668" t="s">
        <v>1170</v>
      </c>
    </row>
    <row r="1669" spans="1:17" x14ac:dyDescent="0.3">
      <c r="A1669" t="s">
        <v>2134</v>
      </c>
      <c r="B1669" t="s">
        <v>2135</v>
      </c>
      <c r="C1669" s="1">
        <v>46170</v>
      </c>
      <c r="D1669" t="s">
        <v>16</v>
      </c>
      <c r="E1669" t="s">
        <v>17</v>
      </c>
      <c r="F1669" t="s">
        <v>22</v>
      </c>
      <c r="G1669" t="s">
        <v>51</v>
      </c>
      <c r="H1669" t="s">
        <v>52</v>
      </c>
      <c r="I1669" t="s">
        <v>20</v>
      </c>
      <c r="J1669">
        <v>999</v>
      </c>
      <c r="K1669">
        <v>3</v>
      </c>
      <c r="L1669">
        <v>1019.25</v>
      </c>
      <c r="M1669">
        <v>305.77999999999997</v>
      </c>
      <c r="N1669">
        <v>3057.75</v>
      </c>
      <c r="O1669">
        <v>2751.97</v>
      </c>
      <c r="P1669" t="s">
        <v>2111</v>
      </c>
      <c r="Q1669" t="s">
        <v>1479</v>
      </c>
    </row>
    <row r="1670" spans="1:17" x14ac:dyDescent="0.3">
      <c r="A1670" t="s">
        <v>1441</v>
      </c>
      <c r="B1670" t="s">
        <v>1440</v>
      </c>
      <c r="C1670" s="1">
        <v>46139</v>
      </c>
      <c r="D1670" t="s">
        <v>41</v>
      </c>
      <c r="E1670" t="s">
        <v>17</v>
      </c>
      <c r="F1670" t="s">
        <v>60</v>
      </c>
      <c r="G1670" t="s">
        <v>96</v>
      </c>
      <c r="H1670" t="s">
        <v>97</v>
      </c>
      <c r="I1670" t="s">
        <v>58</v>
      </c>
      <c r="J1670">
        <v>7499</v>
      </c>
      <c r="K1670">
        <v>1</v>
      </c>
      <c r="L1670">
        <v>8190.19</v>
      </c>
      <c r="M1670">
        <v>819.02</v>
      </c>
      <c r="N1670">
        <v>8190.19</v>
      </c>
      <c r="O1670">
        <v>7371.17</v>
      </c>
      <c r="P1670" t="s">
        <v>2111</v>
      </c>
      <c r="Q1670" t="s">
        <v>1170</v>
      </c>
    </row>
    <row r="1671" spans="1:17" x14ac:dyDescent="0.3">
      <c r="A1671" t="s">
        <v>2006</v>
      </c>
      <c r="B1671" t="s">
        <v>2005</v>
      </c>
      <c r="C1671" s="1">
        <v>46195</v>
      </c>
      <c r="D1671" t="s">
        <v>16</v>
      </c>
      <c r="E1671" t="s">
        <v>50</v>
      </c>
      <c r="F1671" t="s">
        <v>74</v>
      </c>
      <c r="G1671" t="s">
        <v>91</v>
      </c>
      <c r="H1671" t="s">
        <v>92</v>
      </c>
      <c r="I1671" t="s">
        <v>37</v>
      </c>
      <c r="J1671">
        <v>1899</v>
      </c>
      <c r="K1671">
        <v>2</v>
      </c>
      <c r="L1671">
        <v>1963.64</v>
      </c>
      <c r="M1671">
        <v>196.36</v>
      </c>
      <c r="N1671">
        <v>3927.28</v>
      </c>
      <c r="O1671">
        <v>3730.92</v>
      </c>
      <c r="P1671" t="s">
        <v>2111</v>
      </c>
      <c r="Q1671" t="s">
        <v>1809</v>
      </c>
    </row>
    <row r="1672" spans="1:17" x14ac:dyDescent="0.3">
      <c r="A1672" t="s">
        <v>1102</v>
      </c>
      <c r="B1672" t="s">
        <v>1101</v>
      </c>
      <c r="C1672" s="1">
        <v>46106</v>
      </c>
      <c r="D1672" t="s">
        <v>63</v>
      </c>
      <c r="E1672" t="s">
        <v>50</v>
      </c>
      <c r="F1672" t="s">
        <v>74</v>
      </c>
      <c r="G1672" t="s">
        <v>86</v>
      </c>
      <c r="H1672" t="s">
        <v>87</v>
      </c>
      <c r="I1672" t="s">
        <v>82</v>
      </c>
      <c r="J1672">
        <v>3499</v>
      </c>
      <c r="K1672">
        <v>1</v>
      </c>
      <c r="L1672">
        <v>3271.69</v>
      </c>
      <c r="M1672">
        <v>0</v>
      </c>
      <c r="N1672">
        <v>3271.69</v>
      </c>
      <c r="O1672">
        <v>3271.69</v>
      </c>
      <c r="P1672" t="s">
        <v>2111</v>
      </c>
      <c r="Q1672" t="s">
        <v>789</v>
      </c>
    </row>
    <row r="1673" spans="1:17" x14ac:dyDescent="0.3">
      <c r="A1673" t="s">
        <v>768</v>
      </c>
      <c r="B1673" t="s">
        <v>767</v>
      </c>
      <c r="C1673" s="1">
        <v>46080</v>
      </c>
      <c r="D1673" t="s">
        <v>41</v>
      </c>
      <c r="E1673" t="s">
        <v>17</v>
      </c>
      <c r="F1673" t="s">
        <v>31</v>
      </c>
      <c r="G1673" t="s">
        <v>18</v>
      </c>
      <c r="H1673" t="s">
        <v>19</v>
      </c>
      <c r="I1673" t="s">
        <v>20</v>
      </c>
      <c r="J1673">
        <v>2799</v>
      </c>
      <c r="K1673">
        <v>3</v>
      </c>
      <c r="L1673">
        <v>2784.32</v>
      </c>
      <c r="M1673">
        <v>417.65</v>
      </c>
      <c r="N1673">
        <v>8352.9599999999991</v>
      </c>
      <c r="O1673">
        <v>7935.31</v>
      </c>
      <c r="P1673" t="s">
        <v>2111</v>
      </c>
      <c r="Q1673" t="s">
        <v>498</v>
      </c>
    </row>
    <row r="1674" spans="1:17" x14ac:dyDescent="0.3">
      <c r="A1674" t="s">
        <v>446</v>
      </c>
      <c r="B1674" t="s">
        <v>445</v>
      </c>
      <c r="C1674" s="1">
        <v>46048</v>
      </c>
      <c r="D1674" t="s">
        <v>26</v>
      </c>
      <c r="E1674" t="s">
        <v>50</v>
      </c>
      <c r="F1674" t="s">
        <v>74</v>
      </c>
      <c r="G1674" t="s">
        <v>355</v>
      </c>
      <c r="H1674" t="s">
        <v>356</v>
      </c>
      <c r="I1674" t="s">
        <v>82</v>
      </c>
      <c r="J1674">
        <v>499</v>
      </c>
      <c r="K1674">
        <v>2</v>
      </c>
      <c r="L1674">
        <v>513.82000000000005</v>
      </c>
      <c r="M1674">
        <v>154.15</v>
      </c>
      <c r="N1674">
        <v>1027.6400000000001</v>
      </c>
      <c r="O1674">
        <v>873.49</v>
      </c>
      <c r="P1674" t="s">
        <v>2111</v>
      </c>
      <c r="Q1674" t="s">
        <v>23</v>
      </c>
    </row>
    <row r="1675" spans="1:17" x14ac:dyDescent="0.3">
      <c r="A1675" t="s">
        <v>999</v>
      </c>
      <c r="B1675" t="s">
        <v>998</v>
      </c>
      <c r="C1675" s="1">
        <v>46097</v>
      </c>
      <c r="D1675" t="s">
        <v>26</v>
      </c>
      <c r="E1675" t="s">
        <v>50</v>
      </c>
      <c r="F1675" t="s">
        <v>74</v>
      </c>
      <c r="G1675" t="s">
        <v>160</v>
      </c>
      <c r="H1675" t="s">
        <v>161</v>
      </c>
      <c r="I1675" t="s">
        <v>82</v>
      </c>
      <c r="J1675">
        <v>799</v>
      </c>
      <c r="K1675">
        <v>2</v>
      </c>
      <c r="L1675">
        <v>723.62</v>
      </c>
      <c r="M1675">
        <v>217.09</v>
      </c>
      <c r="N1675">
        <v>1447.24</v>
      </c>
      <c r="O1675">
        <v>1230.1500000000001</v>
      </c>
      <c r="P1675" t="s">
        <v>2111</v>
      </c>
      <c r="Q1675" t="s">
        <v>789</v>
      </c>
    </row>
    <row r="1676" spans="1:17" x14ac:dyDescent="0.3">
      <c r="A1676" t="s">
        <v>468</v>
      </c>
      <c r="B1676" t="s">
        <v>467</v>
      </c>
      <c r="C1676" s="1">
        <v>46051</v>
      </c>
      <c r="D1676" t="s">
        <v>26</v>
      </c>
      <c r="E1676" t="s">
        <v>50</v>
      </c>
      <c r="F1676" t="s">
        <v>31</v>
      </c>
      <c r="G1676" t="s">
        <v>96</v>
      </c>
      <c r="H1676" t="s">
        <v>97</v>
      </c>
      <c r="I1676" t="s">
        <v>58</v>
      </c>
      <c r="J1676">
        <v>7499</v>
      </c>
      <c r="K1676">
        <v>1</v>
      </c>
      <c r="L1676">
        <v>6771.46</v>
      </c>
      <c r="M1676">
        <v>677.15</v>
      </c>
      <c r="N1676">
        <v>6771.46</v>
      </c>
      <c r="O1676">
        <v>6094.31</v>
      </c>
      <c r="P1676" t="s">
        <v>2111</v>
      </c>
      <c r="Q1676" t="s">
        <v>23</v>
      </c>
    </row>
    <row r="1677" spans="1:17" x14ac:dyDescent="0.3">
      <c r="A1677" t="s">
        <v>531</v>
      </c>
      <c r="B1677" t="s">
        <v>530</v>
      </c>
      <c r="C1677" s="1">
        <v>46056</v>
      </c>
      <c r="D1677" t="s">
        <v>16</v>
      </c>
      <c r="E1677" t="s">
        <v>17</v>
      </c>
      <c r="F1677" t="s">
        <v>31</v>
      </c>
      <c r="G1677" t="s">
        <v>101</v>
      </c>
      <c r="H1677" t="s">
        <v>102</v>
      </c>
      <c r="I1677" t="s">
        <v>45</v>
      </c>
      <c r="J1677">
        <v>4999</v>
      </c>
      <c r="K1677">
        <v>1</v>
      </c>
      <c r="L1677">
        <v>4628.4799999999996</v>
      </c>
      <c r="M1677">
        <v>462.85</v>
      </c>
      <c r="N1677">
        <v>4628.4799999999996</v>
      </c>
      <c r="O1677">
        <v>4165.63</v>
      </c>
      <c r="P1677" t="s">
        <v>2111</v>
      </c>
      <c r="Q1677" t="s">
        <v>498</v>
      </c>
    </row>
    <row r="1678" spans="1:17" x14ac:dyDescent="0.3">
      <c r="A1678" t="s">
        <v>2348</v>
      </c>
      <c r="B1678" t="s">
        <v>2349</v>
      </c>
      <c r="C1678" s="1">
        <v>46058</v>
      </c>
      <c r="D1678" t="s">
        <v>63</v>
      </c>
      <c r="E1678" t="s">
        <v>17</v>
      </c>
      <c r="F1678" t="s">
        <v>60</v>
      </c>
      <c r="G1678" t="s">
        <v>126</v>
      </c>
      <c r="H1678" t="s">
        <v>127</v>
      </c>
      <c r="I1678" t="s">
        <v>45</v>
      </c>
      <c r="J1678">
        <v>2499</v>
      </c>
      <c r="K1678">
        <v>1</v>
      </c>
      <c r="L1678">
        <v>2374.88</v>
      </c>
      <c r="M1678">
        <v>118.74</v>
      </c>
      <c r="N1678">
        <v>2374.88</v>
      </c>
      <c r="O1678">
        <v>2256.14</v>
      </c>
      <c r="P1678" t="s">
        <v>2111</v>
      </c>
      <c r="Q1678" t="s">
        <v>498</v>
      </c>
    </row>
    <row r="1679" spans="1:17" x14ac:dyDescent="0.3">
      <c r="A1679" t="s">
        <v>2573</v>
      </c>
      <c r="B1679" t="s">
        <v>2574</v>
      </c>
      <c r="C1679" s="1">
        <v>46076</v>
      </c>
      <c r="D1679" t="s">
        <v>26</v>
      </c>
      <c r="E1679" t="s">
        <v>42</v>
      </c>
      <c r="F1679" t="s">
        <v>47</v>
      </c>
      <c r="G1679" t="s">
        <v>355</v>
      </c>
      <c r="H1679" t="s">
        <v>356</v>
      </c>
      <c r="I1679" t="s">
        <v>82</v>
      </c>
      <c r="J1679">
        <v>499</v>
      </c>
      <c r="K1679">
        <v>2</v>
      </c>
      <c r="L1679">
        <v>491.97</v>
      </c>
      <c r="M1679">
        <v>49.2</v>
      </c>
      <c r="N1679">
        <v>983.94</v>
      </c>
      <c r="O1679">
        <v>934.74</v>
      </c>
      <c r="P1679" t="s">
        <v>2111</v>
      </c>
      <c r="Q1679" t="s">
        <v>498</v>
      </c>
    </row>
    <row r="1680" spans="1:17" x14ac:dyDescent="0.3">
      <c r="A1680" t="s">
        <v>1123</v>
      </c>
      <c r="B1680" t="s">
        <v>1122</v>
      </c>
      <c r="C1680" s="1">
        <v>46108</v>
      </c>
      <c r="D1680" t="s">
        <v>16</v>
      </c>
      <c r="E1680" t="s">
        <v>17</v>
      </c>
      <c r="F1680" t="s">
        <v>47</v>
      </c>
      <c r="G1680" t="s">
        <v>18</v>
      </c>
      <c r="H1680" t="s">
        <v>19</v>
      </c>
      <c r="I1680" t="s">
        <v>20</v>
      </c>
      <c r="J1680">
        <v>2799</v>
      </c>
      <c r="K1680">
        <v>1</v>
      </c>
      <c r="L1680">
        <v>2791.97</v>
      </c>
      <c r="M1680">
        <v>0</v>
      </c>
      <c r="N1680">
        <v>2791.97</v>
      </c>
      <c r="O1680">
        <v>2791.97</v>
      </c>
      <c r="P1680" t="s">
        <v>2111</v>
      </c>
      <c r="Q1680" t="s">
        <v>789</v>
      </c>
    </row>
    <row r="1681" spans="1:17" x14ac:dyDescent="0.3">
      <c r="A1681" t="s">
        <v>2423</v>
      </c>
      <c r="B1681" t="s">
        <v>2424</v>
      </c>
      <c r="C1681" s="1">
        <v>46198</v>
      </c>
      <c r="D1681" t="s">
        <v>41</v>
      </c>
      <c r="E1681" t="s">
        <v>17</v>
      </c>
      <c r="F1681" t="s">
        <v>60</v>
      </c>
      <c r="G1681" t="s">
        <v>165</v>
      </c>
      <c r="H1681" t="s">
        <v>166</v>
      </c>
      <c r="I1681" t="s">
        <v>29</v>
      </c>
      <c r="J1681">
        <v>449</v>
      </c>
      <c r="K1681">
        <v>4</v>
      </c>
      <c r="L1681">
        <v>416.49</v>
      </c>
      <c r="M1681">
        <v>83.3</v>
      </c>
      <c r="N1681">
        <v>1665.96</v>
      </c>
      <c r="O1681">
        <v>1582.66</v>
      </c>
      <c r="P1681" t="s">
        <v>2111</v>
      </c>
      <c r="Q1681" t="s">
        <v>1809</v>
      </c>
    </row>
    <row r="1682" spans="1:17" x14ac:dyDescent="0.3">
      <c r="A1682" t="s">
        <v>2301</v>
      </c>
      <c r="B1682" t="s">
        <v>2302</v>
      </c>
      <c r="C1682" s="1">
        <v>46114</v>
      </c>
      <c r="D1682" t="s">
        <v>34</v>
      </c>
      <c r="E1682" t="s">
        <v>50</v>
      </c>
      <c r="F1682" t="s">
        <v>74</v>
      </c>
      <c r="G1682" t="s">
        <v>355</v>
      </c>
      <c r="H1682" t="s">
        <v>356</v>
      </c>
      <c r="I1682" t="s">
        <v>82</v>
      </c>
      <c r="J1682">
        <v>499</v>
      </c>
      <c r="K1682">
        <v>3</v>
      </c>
      <c r="L1682">
        <v>516.29999999999995</v>
      </c>
      <c r="M1682">
        <v>77.44</v>
      </c>
      <c r="N1682">
        <v>1548.9</v>
      </c>
      <c r="O1682">
        <v>1471.46</v>
      </c>
      <c r="P1682" t="s">
        <v>2111</v>
      </c>
      <c r="Q1682" t="s">
        <v>1170</v>
      </c>
    </row>
    <row r="1683" spans="1:17" x14ac:dyDescent="0.3">
      <c r="A1683" t="s">
        <v>528</v>
      </c>
      <c r="B1683" t="s">
        <v>527</v>
      </c>
      <c r="C1683" s="1">
        <v>46056</v>
      </c>
      <c r="D1683" t="s">
        <v>34</v>
      </c>
      <c r="E1683" t="s">
        <v>50</v>
      </c>
      <c r="F1683" t="s">
        <v>31</v>
      </c>
      <c r="G1683" t="s">
        <v>101</v>
      </c>
      <c r="H1683" t="s">
        <v>102</v>
      </c>
      <c r="I1683" t="s">
        <v>45</v>
      </c>
      <c r="J1683">
        <v>4999</v>
      </c>
      <c r="K1683">
        <v>1</v>
      </c>
      <c r="L1683">
        <v>5095.12</v>
      </c>
      <c r="M1683">
        <v>509.51</v>
      </c>
      <c r="N1683">
        <v>5095.12</v>
      </c>
      <c r="O1683">
        <v>4585.6099999999997</v>
      </c>
      <c r="P1683" t="s">
        <v>2111</v>
      </c>
      <c r="Q1683" t="s">
        <v>498</v>
      </c>
    </row>
    <row r="1684" spans="1:17" x14ac:dyDescent="0.3">
      <c r="A1684" t="s">
        <v>2498</v>
      </c>
      <c r="B1684" t="s">
        <v>122</v>
      </c>
      <c r="C1684" s="1">
        <v>46160</v>
      </c>
      <c r="D1684" t="s">
        <v>26</v>
      </c>
      <c r="E1684" t="s">
        <v>17</v>
      </c>
      <c r="F1684" t="s">
        <v>60</v>
      </c>
      <c r="G1684" t="s">
        <v>250</v>
      </c>
      <c r="H1684" t="s">
        <v>251</v>
      </c>
      <c r="I1684" t="s">
        <v>108</v>
      </c>
      <c r="J1684">
        <v>899</v>
      </c>
      <c r="K1684">
        <v>2</v>
      </c>
      <c r="L1684">
        <v>862.04</v>
      </c>
      <c r="M1684">
        <v>172.41</v>
      </c>
      <c r="N1684">
        <v>1724.08</v>
      </c>
      <c r="O1684">
        <v>1551.67</v>
      </c>
      <c r="P1684" t="s">
        <v>2111</v>
      </c>
      <c r="Q1684" t="s">
        <v>1479</v>
      </c>
    </row>
    <row r="1685" spans="1:17" x14ac:dyDescent="0.3">
      <c r="A1685" t="s">
        <v>906</v>
      </c>
      <c r="B1685" t="s">
        <v>905</v>
      </c>
      <c r="C1685" s="1">
        <v>46090</v>
      </c>
      <c r="D1685" t="s">
        <v>26</v>
      </c>
      <c r="E1685" t="s">
        <v>17</v>
      </c>
      <c r="F1685" t="s">
        <v>31</v>
      </c>
      <c r="G1685" t="s">
        <v>355</v>
      </c>
      <c r="H1685" t="s">
        <v>356</v>
      </c>
      <c r="I1685" t="s">
        <v>82</v>
      </c>
      <c r="J1685">
        <v>499</v>
      </c>
      <c r="K1685">
        <v>1</v>
      </c>
      <c r="L1685">
        <v>450.46</v>
      </c>
      <c r="M1685">
        <v>90.09</v>
      </c>
      <c r="N1685">
        <v>450.46</v>
      </c>
      <c r="O1685">
        <v>360.37</v>
      </c>
      <c r="P1685" t="s">
        <v>2111</v>
      </c>
      <c r="Q1685" t="s">
        <v>789</v>
      </c>
    </row>
    <row r="1686" spans="1:17" x14ac:dyDescent="0.3">
      <c r="A1686" t="s">
        <v>1830</v>
      </c>
      <c r="B1686" t="s">
        <v>1107</v>
      </c>
      <c r="C1686" s="1">
        <v>46175</v>
      </c>
      <c r="D1686" t="s">
        <v>16</v>
      </c>
      <c r="E1686" t="s">
        <v>17</v>
      </c>
      <c r="F1686" t="s">
        <v>31</v>
      </c>
      <c r="G1686" t="s">
        <v>250</v>
      </c>
      <c r="H1686" t="s">
        <v>251</v>
      </c>
      <c r="I1686" t="s">
        <v>108</v>
      </c>
      <c r="J1686">
        <v>899</v>
      </c>
      <c r="K1686">
        <v>1</v>
      </c>
      <c r="L1686">
        <v>823.06</v>
      </c>
      <c r="M1686">
        <v>0</v>
      </c>
      <c r="N1686">
        <v>823.06</v>
      </c>
      <c r="O1686">
        <v>823.06</v>
      </c>
      <c r="P1686" t="s">
        <v>2111</v>
      </c>
      <c r="Q1686" t="s">
        <v>1809</v>
      </c>
    </row>
    <row r="1687" spans="1:17" x14ac:dyDescent="0.3">
      <c r="A1687" t="s">
        <v>2585</v>
      </c>
      <c r="B1687" t="s">
        <v>464</v>
      </c>
      <c r="C1687" s="1">
        <v>46155</v>
      </c>
      <c r="D1687" t="s">
        <v>34</v>
      </c>
      <c r="E1687" t="s">
        <v>50</v>
      </c>
      <c r="F1687" t="s">
        <v>22</v>
      </c>
      <c r="G1687" t="s">
        <v>106</v>
      </c>
      <c r="H1687" t="s">
        <v>107</v>
      </c>
      <c r="I1687" t="s">
        <v>108</v>
      </c>
      <c r="J1687">
        <v>599</v>
      </c>
      <c r="K1687">
        <v>1</v>
      </c>
      <c r="L1687">
        <v>586.03</v>
      </c>
      <c r="M1687">
        <v>87.9</v>
      </c>
      <c r="N1687">
        <v>586.03</v>
      </c>
      <c r="O1687">
        <v>498.13</v>
      </c>
      <c r="P1687" t="s">
        <v>2111</v>
      </c>
      <c r="Q1687" t="s">
        <v>1479</v>
      </c>
    </row>
    <row r="1688" spans="1:17" x14ac:dyDescent="0.3">
      <c r="A1688" t="s">
        <v>1461</v>
      </c>
      <c r="B1688" t="s">
        <v>1460</v>
      </c>
      <c r="C1688" s="1">
        <v>46141</v>
      </c>
      <c r="D1688" t="s">
        <v>63</v>
      </c>
      <c r="E1688" t="s">
        <v>17</v>
      </c>
      <c r="F1688" t="s">
        <v>47</v>
      </c>
      <c r="G1688" t="s">
        <v>106</v>
      </c>
      <c r="H1688" t="s">
        <v>107</v>
      </c>
      <c r="I1688" t="s">
        <v>108</v>
      </c>
      <c r="J1688">
        <v>599</v>
      </c>
      <c r="K1688">
        <v>1</v>
      </c>
      <c r="L1688">
        <v>557.54999999999995</v>
      </c>
      <c r="M1688">
        <v>83.63</v>
      </c>
      <c r="N1688">
        <v>557.54999999999995</v>
      </c>
      <c r="O1688">
        <v>473.92</v>
      </c>
      <c r="P1688" t="s">
        <v>2114</v>
      </c>
      <c r="Q1688" t="s">
        <v>1170</v>
      </c>
    </row>
    <row r="1689" spans="1:17" x14ac:dyDescent="0.3">
      <c r="A1689" t="s">
        <v>2439</v>
      </c>
      <c r="B1689" t="s">
        <v>1915</v>
      </c>
      <c r="C1689" s="1">
        <v>46035</v>
      </c>
      <c r="D1689" t="s">
        <v>63</v>
      </c>
      <c r="E1689" t="s">
        <v>17</v>
      </c>
      <c r="F1689" t="s">
        <v>74</v>
      </c>
      <c r="G1689" t="s">
        <v>27</v>
      </c>
      <c r="H1689" t="s">
        <v>28</v>
      </c>
      <c r="I1689" t="s">
        <v>29</v>
      </c>
      <c r="J1689">
        <v>1599</v>
      </c>
      <c r="K1689">
        <v>2</v>
      </c>
      <c r="L1689">
        <v>1559.61</v>
      </c>
      <c r="M1689">
        <v>311.92</v>
      </c>
      <c r="N1689">
        <v>3119.22</v>
      </c>
      <c r="O1689">
        <v>2807.3</v>
      </c>
      <c r="P1689" t="s">
        <v>2111</v>
      </c>
      <c r="Q1689" t="s">
        <v>23</v>
      </c>
    </row>
    <row r="1690" spans="1:17" x14ac:dyDescent="0.3">
      <c r="A1690" t="s">
        <v>2271</v>
      </c>
      <c r="B1690" t="s">
        <v>1540</v>
      </c>
      <c r="C1690" s="1">
        <v>46080</v>
      </c>
      <c r="D1690" t="s">
        <v>16</v>
      </c>
      <c r="E1690" t="s">
        <v>50</v>
      </c>
      <c r="F1690" t="s">
        <v>74</v>
      </c>
      <c r="G1690" t="s">
        <v>191</v>
      </c>
      <c r="H1690" t="s">
        <v>192</v>
      </c>
      <c r="I1690" t="s">
        <v>45</v>
      </c>
      <c r="J1690">
        <v>699</v>
      </c>
      <c r="K1690">
        <v>1</v>
      </c>
      <c r="L1690">
        <v>716.92</v>
      </c>
      <c r="M1690">
        <v>35.85</v>
      </c>
      <c r="N1690">
        <v>716.92</v>
      </c>
      <c r="O1690">
        <v>681.07</v>
      </c>
      <c r="P1690" t="s">
        <v>2111</v>
      </c>
      <c r="Q1690" t="s">
        <v>498</v>
      </c>
    </row>
    <row r="1691" spans="1:17" x14ac:dyDescent="0.3">
      <c r="A1691" t="s">
        <v>1195</v>
      </c>
      <c r="B1691" t="s">
        <v>514</v>
      </c>
      <c r="C1691" s="1">
        <v>46116</v>
      </c>
      <c r="D1691" t="s">
        <v>34</v>
      </c>
      <c r="E1691" t="s">
        <v>50</v>
      </c>
      <c r="F1691" t="s">
        <v>31</v>
      </c>
      <c r="G1691" t="s">
        <v>126</v>
      </c>
      <c r="H1691" t="s">
        <v>127</v>
      </c>
      <c r="I1691" t="s">
        <v>45</v>
      </c>
      <c r="J1691">
        <v>2499</v>
      </c>
      <c r="K1691">
        <v>2</v>
      </c>
      <c r="L1691">
        <v>2522.61</v>
      </c>
      <c r="M1691">
        <v>252.26</v>
      </c>
      <c r="N1691">
        <v>5045.22</v>
      </c>
      <c r="O1691">
        <v>4792.96</v>
      </c>
      <c r="P1691" t="s">
        <v>2111</v>
      </c>
      <c r="Q1691" t="s">
        <v>1170</v>
      </c>
    </row>
    <row r="1692" spans="1:17" x14ac:dyDescent="0.3">
      <c r="A1692" t="s">
        <v>2852</v>
      </c>
      <c r="B1692" t="s">
        <v>879</v>
      </c>
      <c r="C1692" s="1">
        <v>46080</v>
      </c>
      <c r="D1692" t="s">
        <v>34</v>
      </c>
      <c r="E1692" t="s">
        <v>50</v>
      </c>
      <c r="F1692" t="s">
        <v>31</v>
      </c>
      <c r="G1692" t="s">
        <v>27</v>
      </c>
      <c r="H1692" t="s">
        <v>28</v>
      </c>
      <c r="I1692" t="s">
        <v>29</v>
      </c>
      <c r="J1692">
        <v>1599</v>
      </c>
      <c r="K1692">
        <v>2</v>
      </c>
      <c r="L1692">
        <v>1513.03</v>
      </c>
      <c r="M1692">
        <v>0</v>
      </c>
      <c r="N1692">
        <v>3026.06</v>
      </c>
      <c r="O1692">
        <v>3026.06</v>
      </c>
      <c r="P1692" t="s">
        <v>2111</v>
      </c>
      <c r="Q1692" t="s">
        <v>498</v>
      </c>
    </row>
    <row r="1693" spans="1:17" x14ac:dyDescent="0.3">
      <c r="A1693" t="s">
        <v>2715</v>
      </c>
      <c r="B1693" t="s">
        <v>243</v>
      </c>
      <c r="C1693" s="1">
        <v>46197</v>
      </c>
      <c r="D1693" t="s">
        <v>26</v>
      </c>
      <c r="E1693" t="s">
        <v>17</v>
      </c>
      <c r="F1693" t="s">
        <v>47</v>
      </c>
      <c r="G1693" t="s">
        <v>35</v>
      </c>
      <c r="H1693" t="s">
        <v>36</v>
      </c>
      <c r="I1693" t="s">
        <v>37</v>
      </c>
      <c r="J1693">
        <v>799</v>
      </c>
      <c r="K1693">
        <v>2</v>
      </c>
      <c r="L1693">
        <v>774.04</v>
      </c>
      <c r="M1693">
        <v>77.400000000000006</v>
      </c>
      <c r="N1693">
        <v>1548.08</v>
      </c>
      <c r="O1693">
        <v>1470.68</v>
      </c>
      <c r="P1693" t="s">
        <v>2111</v>
      </c>
      <c r="Q1693" t="s">
        <v>1809</v>
      </c>
    </row>
    <row r="1694" spans="1:17" x14ac:dyDescent="0.3">
      <c r="A1694" t="s">
        <v>2324</v>
      </c>
      <c r="B1694" t="s">
        <v>1114</v>
      </c>
      <c r="C1694" s="1">
        <v>46040</v>
      </c>
      <c r="D1694" t="s">
        <v>63</v>
      </c>
      <c r="E1694" t="s">
        <v>50</v>
      </c>
      <c r="F1694" t="s">
        <v>60</v>
      </c>
      <c r="G1694" t="s">
        <v>80</v>
      </c>
      <c r="H1694" t="s">
        <v>81</v>
      </c>
      <c r="I1694" t="s">
        <v>82</v>
      </c>
      <c r="J1694">
        <v>4299</v>
      </c>
      <c r="K1694">
        <v>1</v>
      </c>
      <c r="L1694">
        <v>4397.04</v>
      </c>
      <c r="M1694">
        <v>659.56</v>
      </c>
      <c r="N1694">
        <v>4397.04</v>
      </c>
      <c r="O1694">
        <v>3737.48</v>
      </c>
      <c r="P1694" t="s">
        <v>2111</v>
      </c>
      <c r="Q1694" t="s">
        <v>23</v>
      </c>
    </row>
    <row r="1695" spans="1:17" x14ac:dyDescent="0.3">
      <c r="A1695" t="s">
        <v>2433</v>
      </c>
      <c r="B1695" t="s">
        <v>1805</v>
      </c>
      <c r="C1695" s="1">
        <v>46165</v>
      </c>
      <c r="D1695" t="s">
        <v>34</v>
      </c>
      <c r="E1695" t="s">
        <v>50</v>
      </c>
      <c r="F1695" t="s">
        <v>31</v>
      </c>
      <c r="G1695" t="s">
        <v>165</v>
      </c>
      <c r="H1695" t="s">
        <v>166</v>
      </c>
      <c r="I1695" t="s">
        <v>29</v>
      </c>
      <c r="J1695">
        <v>449</v>
      </c>
      <c r="K1695">
        <v>2</v>
      </c>
      <c r="L1695">
        <v>481.4</v>
      </c>
      <c r="M1695">
        <v>0</v>
      </c>
      <c r="N1695">
        <v>962.8</v>
      </c>
      <c r="O1695">
        <v>962.8</v>
      </c>
      <c r="P1695" t="s">
        <v>2111</v>
      </c>
      <c r="Q1695" t="s">
        <v>1479</v>
      </c>
    </row>
    <row r="1696" spans="1:17" x14ac:dyDescent="0.3">
      <c r="A1696" t="s">
        <v>2138</v>
      </c>
      <c r="B1696" t="s">
        <v>2139</v>
      </c>
      <c r="C1696" s="1">
        <v>46158</v>
      </c>
      <c r="D1696" t="s">
        <v>41</v>
      </c>
      <c r="E1696" t="s">
        <v>17</v>
      </c>
      <c r="F1696" t="s">
        <v>47</v>
      </c>
      <c r="G1696" t="s">
        <v>18</v>
      </c>
      <c r="H1696" t="s">
        <v>19</v>
      </c>
      <c r="I1696" t="s">
        <v>20</v>
      </c>
      <c r="J1696">
        <v>2799</v>
      </c>
      <c r="K1696">
        <v>1</v>
      </c>
      <c r="L1696">
        <v>2940.75</v>
      </c>
      <c r="M1696">
        <v>147.04</v>
      </c>
      <c r="N1696">
        <v>2940.75</v>
      </c>
      <c r="O1696">
        <v>2793.71</v>
      </c>
      <c r="P1696" t="s">
        <v>2111</v>
      </c>
      <c r="Q1696" t="s">
        <v>1479</v>
      </c>
    </row>
    <row r="1697" spans="1:17" x14ac:dyDescent="0.3">
      <c r="A1697" t="s">
        <v>1843</v>
      </c>
      <c r="B1697" t="s">
        <v>1157</v>
      </c>
      <c r="C1697" s="1">
        <v>46176</v>
      </c>
      <c r="D1697" t="s">
        <v>16</v>
      </c>
      <c r="E1697" t="s">
        <v>17</v>
      </c>
      <c r="F1697" t="s">
        <v>31</v>
      </c>
      <c r="G1697" t="s">
        <v>160</v>
      </c>
      <c r="H1697" t="s">
        <v>161</v>
      </c>
      <c r="I1697" t="s">
        <v>82</v>
      </c>
      <c r="J1697">
        <v>799</v>
      </c>
      <c r="K1697">
        <v>1</v>
      </c>
      <c r="L1697">
        <v>807.53</v>
      </c>
      <c r="M1697">
        <v>121.13</v>
      </c>
      <c r="N1697">
        <v>807.53</v>
      </c>
      <c r="O1697">
        <v>686.4</v>
      </c>
      <c r="P1697" t="s">
        <v>2111</v>
      </c>
      <c r="Q1697" t="s">
        <v>1809</v>
      </c>
    </row>
    <row r="1698" spans="1:17" x14ac:dyDescent="0.3">
      <c r="A1698" t="s">
        <v>1921</v>
      </c>
      <c r="B1698" t="s">
        <v>1920</v>
      </c>
      <c r="C1698" s="1">
        <v>46184</v>
      </c>
      <c r="D1698" t="s">
        <v>26</v>
      </c>
      <c r="E1698" t="s">
        <v>17</v>
      </c>
      <c r="F1698" t="s">
        <v>22</v>
      </c>
      <c r="G1698" t="s">
        <v>355</v>
      </c>
      <c r="H1698" t="s">
        <v>356</v>
      </c>
      <c r="I1698" t="s">
        <v>82</v>
      </c>
      <c r="J1698">
        <v>499</v>
      </c>
      <c r="K1698">
        <v>1</v>
      </c>
      <c r="L1698">
        <v>485.26</v>
      </c>
      <c r="M1698">
        <v>72.790000000000006</v>
      </c>
      <c r="N1698">
        <v>485.26</v>
      </c>
      <c r="O1698">
        <v>412.47</v>
      </c>
      <c r="P1698" t="s">
        <v>2111</v>
      </c>
      <c r="Q1698" t="s">
        <v>1809</v>
      </c>
    </row>
    <row r="1699" spans="1:17" x14ac:dyDescent="0.3">
      <c r="A1699" t="s">
        <v>477</v>
      </c>
      <c r="B1699" t="s">
        <v>476</v>
      </c>
      <c r="C1699" s="1">
        <v>46052</v>
      </c>
      <c r="D1699" t="s">
        <v>26</v>
      </c>
      <c r="E1699" t="s">
        <v>50</v>
      </c>
      <c r="F1699" t="s">
        <v>31</v>
      </c>
      <c r="G1699" t="s">
        <v>96</v>
      </c>
      <c r="H1699" t="s">
        <v>97</v>
      </c>
      <c r="I1699" t="s">
        <v>58</v>
      </c>
      <c r="J1699">
        <v>7499</v>
      </c>
      <c r="K1699">
        <v>1</v>
      </c>
      <c r="L1699">
        <v>7296.6</v>
      </c>
      <c r="M1699">
        <v>729.66</v>
      </c>
      <c r="N1699">
        <v>7296.6</v>
      </c>
      <c r="O1699">
        <v>6566.94</v>
      </c>
      <c r="P1699" t="s">
        <v>2111</v>
      </c>
      <c r="Q1699" t="s">
        <v>23</v>
      </c>
    </row>
    <row r="1700" spans="1:17" x14ac:dyDescent="0.3">
      <c r="A1700" t="s">
        <v>2528</v>
      </c>
      <c r="B1700" t="s">
        <v>2529</v>
      </c>
      <c r="C1700" s="1">
        <v>46069</v>
      </c>
      <c r="D1700" t="s">
        <v>16</v>
      </c>
      <c r="E1700" t="s">
        <v>50</v>
      </c>
      <c r="F1700" t="s">
        <v>74</v>
      </c>
      <c r="G1700" t="s">
        <v>35</v>
      </c>
      <c r="H1700" t="s">
        <v>36</v>
      </c>
      <c r="I1700" t="s">
        <v>37</v>
      </c>
      <c r="J1700">
        <v>799</v>
      </c>
      <c r="K1700">
        <v>3</v>
      </c>
      <c r="L1700">
        <v>859.63</v>
      </c>
      <c r="M1700">
        <v>386.83</v>
      </c>
      <c r="N1700">
        <v>2578.89</v>
      </c>
      <c r="O1700">
        <v>2192.06</v>
      </c>
      <c r="P1700" t="s">
        <v>2111</v>
      </c>
      <c r="Q1700" t="s">
        <v>498</v>
      </c>
    </row>
    <row r="1701" spans="1:17" x14ac:dyDescent="0.3">
      <c r="A1701" t="s">
        <v>1450</v>
      </c>
      <c r="B1701" t="s">
        <v>1449</v>
      </c>
      <c r="C1701" s="1">
        <v>46140</v>
      </c>
      <c r="D1701" t="s">
        <v>63</v>
      </c>
      <c r="E1701" t="s">
        <v>50</v>
      </c>
      <c r="F1701" t="s">
        <v>74</v>
      </c>
      <c r="G1701" t="s">
        <v>27</v>
      </c>
      <c r="H1701" t="s">
        <v>28</v>
      </c>
      <c r="I1701" t="s">
        <v>29</v>
      </c>
      <c r="J1701">
        <v>1599</v>
      </c>
      <c r="K1701">
        <v>1</v>
      </c>
      <c r="L1701">
        <v>1451.65</v>
      </c>
      <c r="M1701">
        <v>145.16999999999999</v>
      </c>
      <c r="N1701">
        <v>1451.65</v>
      </c>
      <c r="O1701">
        <v>1306.48</v>
      </c>
      <c r="P1701" t="s">
        <v>2111</v>
      </c>
      <c r="Q1701" t="s">
        <v>1170</v>
      </c>
    </row>
    <row r="1702" spans="1:17" x14ac:dyDescent="0.3">
      <c r="A1702" t="s">
        <v>2612</v>
      </c>
      <c r="B1702" t="s">
        <v>2613</v>
      </c>
      <c r="C1702" s="1">
        <v>46194</v>
      </c>
      <c r="D1702" t="s">
        <v>26</v>
      </c>
      <c r="E1702" t="s">
        <v>50</v>
      </c>
      <c r="F1702" t="s">
        <v>60</v>
      </c>
      <c r="G1702" t="s">
        <v>35</v>
      </c>
      <c r="H1702" t="s">
        <v>36</v>
      </c>
      <c r="I1702" t="s">
        <v>37</v>
      </c>
      <c r="J1702">
        <v>799</v>
      </c>
      <c r="K1702">
        <v>2</v>
      </c>
      <c r="L1702">
        <v>876.98</v>
      </c>
      <c r="M1702">
        <v>0</v>
      </c>
      <c r="N1702">
        <v>1753.96</v>
      </c>
      <c r="O1702">
        <v>1753.96</v>
      </c>
      <c r="P1702" t="s">
        <v>2111</v>
      </c>
      <c r="Q1702" t="s">
        <v>1809</v>
      </c>
    </row>
    <row r="1703" spans="1:17" x14ac:dyDescent="0.3">
      <c r="A1703" t="s">
        <v>2348</v>
      </c>
      <c r="B1703" t="s">
        <v>2349</v>
      </c>
      <c r="C1703" s="1">
        <v>46058</v>
      </c>
      <c r="D1703" t="s">
        <v>63</v>
      </c>
      <c r="E1703" t="s">
        <v>17</v>
      </c>
      <c r="F1703" t="s">
        <v>60</v>
      </c>
      <c r="G1703" t="s">
        <v>35</v>
      </c>
      <c r="H1703" t="s">
        <v>36</v>
      </c>
      <c r="I1703" t="s">
        <v>37</v>
      </c>
      <c r="J1703">
        <v>799</v>
      </c>
      <c r="K1703">
        <v>1</v>
      </c>
      <c r="L1703">
        <v>825.27</v>
      </c>
      <c r="M1703">
        <v>82.53</v>
      </c>
      <c r="N1703">
        <v>825.27</v>
      </c>
      <c r="O1703">
        <v>742.74</v>
      </c>
      <c r="P1703" t="s">
        <v>2111</v>
      </c>
      <c r="Q1703" t="s">
        <v>498</v>
      </c>
    </row>
    <row r="1704" spans="1:17" x14ac:dyDescent="0.3">
      <c r="A1704" t="s">
        <v>1485</v>
      </c>
      <c r="B1704" t="s">
        <v>225</v>
      </c>
      <c r="C1704" s="1">
        <v>46143</v>
      </c>
      <c r="D1704" t="s">
        <v>63</v>
      </c>
      <c r="E1704" t="s">
        <v>17</v>
      </c>
      <c r="F1704" t="s">
        <v>74</v>
      </c>
      <c r="G1704" t="s">
        <v>96</v>
      </c>
      <c r="H1704" t="s">
        <v>97</v>
      </c>
      <c r="I1704" t="s">
        <v>58</v>
      </c>
      <c r="J1704">
        <v>7499</v>
      </c>
      <c r="K1704">
        <v>1</v>
      </c>
      <c r="L1704">
        <v>7770.67</v>
      </c>
      <c r="M1704">
        <v>777.07</v>
      </c>
      <c r="N1704">
        <v>7770.67</v>
      </c>
      <c r="O1704">
        <v>6993.6</v>
      </c>
      <c r="P1704" t="s">
        <v>2111</v>
      </c>
      <c r="Q1704" t="s">
        <v>1479</v>
      </c>
    </row>
    <row r="1705" spans="1:17" x14ac:dyDescent="0.3">
      <c r="A1705" t="s">
        <v>1946</v>
      </c>
      <c r="B1705" t="s">
        <v>222</v>
      </c>
      <c r="C1705" s="1">
        <v>46187</v>
      </c>
      <c r="D1705" t="s">
        <v>16</v>
      </c>
      <c r="E1705" t="s">
        <v>17</v>
      </c>
      <c r="F1705" t="s">
        <v>60</v>
      </c>
      <c r="G1705" t="s">
        <v>149</v>
      </c>
      <c r="H1705" t="s">
        <v>150</v>
      </c>
      <c r="I1705" t="s">
        <v>37</v>
      </c>
      <c r="J1705">
        <v>2999</v>
      </c>
      <c r="K1705">
        <v>4</v>
      </c>
      <c r="L1705">
        <v>2721.89</v>
      </c>
      <c r="M1705">
        <v>2177.5100000000002</v>
      </c>
      <c r="N1705">
        <v>10887.56</v>
      </c>
      <c r="O1705">
        <v>8710.0499999999993</v>
      </c>
      <c r="P1705" t="s">
        <v>2111</v>
      </c>
      <c r="Q1705" t="s">
        <v>1809</v>
      </c>
    </row>
    <row r="1706" spans="1:17" x14ac:dyDescent="0.3">
      <c r="A1706" t="s">
        <v>2086</v>
      </c>
      <c r="B1706" t="s">
        <v>2085</v>
      </c>
      <c r="C1706" s="1">
        <v>46202</v>
      </c>
      <c r="D1706" t="s">
        <v>34</v>
      </c>
      <c r="E1706" t="s">
        <v>17</v>
      </c>
      <c r="F1706" t="s">
        <v>47</v>
      </c>
      <c r="G1706" t="s">
        <v>165</v>
      </c>
      <c r="H1706" t="s">
        <v>166</v>
      </c>
      <c r="I1706" t="s">
        <v>29</v>
      </c>
      <c r="J1706">
        <v>449</v>
      </c>
      <c r="K1706">
        <v>2</v>
      </c>
      <c r="L1706">
        <v>458.48</v>
      </c>
      <c r="M1706">
        <v>0</v>
      </c>
      <c r="N1706">
        <v>916.96</v>
      </c>
      <c r="O1706">
        <v>916.96</v>
      </c>
      <c r="P1706" t="s">
        <v>2111</v>
      </c>
      <c r="Q1706" t="s">
        <v>1809</v>
      </c>
    </row>
    <row r="1707" spans="1:17" x14ac:dyDescent="0.3">
      <c r="A1707" t="s">
        <v>550</v>
      </c>
      <c r="B1707" t="s">
        <v>536</v>
      </c>
      <c r="C1707" s="1">
        <v>46058</v>
      </c>
      <c r="D1707" t="s">
        <v>34</v>
      </c>
      <c r="E1707" t="s">
        <v>42</v>
      </c>
      <c r="F1707" t="s">
        <v>22</v>
      </c>
      <c r="G1707" t="s">
        <v>18</v>
      </c>
      <c r="H1707" t="s">
        <v>19</v>
      </c>
      <c r="I1707" t="s">
        <v>20</v>
      </c>
      <c r="J1707">
        <v>2799</v>
      </c>
      <c r="K1707">
        <v>1</v>
      </c>
      <c r="L1707">
        <v>2790.48</v>
      </c>
      <c r="M1707">
        <v>279.05</v>
      </c>
      <c r="N1707">
        <v>2790.48</v>
      </c>
      <c r="O1707">
        <v>2511.4299999999998</v>
      </c>
      <c r="P1707" t="s">
        <v>2111</v>
      </c>
      <c r="Q1707" t="s">
        <v>498</v>
      </c>
    </row>
    <row r="1708" spans="1:17" x14ac:dyDescent="0.3">
      <c r="A1708" t="s">
        <v>2853</v>
      </c>
      <c r="B1708" t="s">
        <v>379</v>
      </c>
      <c r="C1708" s="1">
        <v>46165</v>
      </c>
      <c r="D1708" t="s">
        <v>26</v>
      </c>
      <c r="E1708" t="s">
        <v>17</v>
      </c>
      <c r="F1708" t="s">
        <v>31</v>
      </c>
      <c r="G1708" t="s">
        <v>86</v>
      </c>
      <c r="H1708" t="s">
        <v>87</v>
      </c>
      <c r="I1708" t="s">
        <v>82</v>
      </c>
      <c r="J1708">
        <v>3499</v>
      </c>
      <c r="K1708">
        <v>1</v>
      </c>
      <c r="L1708">
        <v>3223.12</v>
      </c>
      <c r="M1708">
        <v>161.16</v>
      </c>
      <c r="N1708">
        <v>3223.12</v>
      </c>
      <c r="O1708">
        <v>3061.96</v>
      </c>
      <c r="P1708" t="s">
        <v>2111</v>
      </c>
      <c r="Q1708" t="s">
        <v>1479</v>
      </c>
    </row>
    <row r="1709" spans="1:17" x14ac:dyDescent="0.3">
      <c r="A1709" t="s">
        <v>1057</v>
      </c>
      <c r="B1709" t="s">
        <v>1056</v>
      </c>
      <c r="C1709" s="1">
        <v>46102</v>
      </c>
      <c r="D1709" t="s">
        <v>63</v>
      </c>
      <c r="E1709" t="s">
        <v>17</v>
      </c>
      <c r="F1709" t="s">
        <v>74</v>
      </c>
      <c r="G1709" t="s">
        <v>18</v>
      </c>
      <c r="H1709" t="s">
        <v>19</v>
      </c>
      <c r="I1709" t="s">
        <v>20</v>
      </c>
      <c r="J1709">
        <v>2799</v>
      </c>
      <c r="K1709">
        <v>1</v>
      </c>
      <c r="L1709">
        <v>2674.68</v>
      </c>
      <c r="M1709">
        <v>267.47000000000003</v>
      </c>
      <c r="N1709">
        <v>2674.68</v>
      </c>
      <c r="O1709">
        <v>2407.21</v>
      </c>
      <c r="P1709" t="s">
        <v>2111</v>
      </c>
      <c r="Q1709" t="s">
        <v>789</v>
      </c>
    </row>
    <row r="1710" spans="1:17" x14ac:dyDescent="0.3">
      <c r="A1710" t="s">
        <v>906</v>
      </c>
      <c r="B1710" t="s">
        <v>905</v>
      </c>
      <c r="C1710" s="1">
        <v>46090</v>
      </c>
      <c r="D1710" t="s">
        <v>26</v>
      </c>
      <c r="E1710" t="s">
        <v>17</v>
      </c>
      <c r="F1710" t="s">
        <v>31</v>
      </c>
      <c r="G1710" t="s">
        <v>27</v>
      </c>
      <c r="H1710" t="s">
        <v>28</v>
      </c>
      <c r="I1710" t="s">
        <v>29</v>
      </c>
      <c r="J1710">
        <v>1599</v>
      </c>
      <c r="K1710">
        <v>1</v>
      </c>
      <c r="L1710">
        <v>1723.82</v>
      </c>
      <c r="M1710">
        <v>0</v>
      </c>
      <c r="N1710">
        <v>1723.82</v>
      </c>
      <c r="O1710">
        <v>1723.82</v>
      </c>
      <c r="P1710" t="s">
        <v>2111</v>
      </c>
      <c r="Q1710" t="s">
        <v>789</v>
      </c>
    </row>
    <row r="1711" spans="1:17" x14ac:dyDescent="0.3">
      <c r="A1711" t="s">
        <v>1152</v>
      </c>
      <c r="B1711" t="s">
        <v>1151</v>
      </c>
      <c r="C1711" s="1">
        <v>46111</v>
      </c>
      <c r="D1711" t="s">
        <v>34</v>
      </c>
      <c r="E1711" t="s">
        <v>50</v>
      </c>
      <c r="F1711" t="s">
        <v>47</v>
      </c>
      <c r="G1711" t="s">
        <v>56</v>
      </c>
      <c r="H1711" t="s">
        <v>57</v>
      </c>
      <c r="I1711" t="s">
        <v>58</v>
      </c>
      <c r="J1711">
        <v>8999</v>
      </c>
      <c r="K1711">
        <v>2</v>
      </c>
      <c r="L1711">
        <v>9088.9699999999993</v>
      </c>
      <c r="M1711">
        <v>908.9</v>
      </c>
      <c r="N1711">
        <v>18177.939999999999</v>
      </c>
      <c r="O1711">
        <v>17269.04</v>
      </c>
      <c r="P1711" t="s">
        <v>2111</v>
      </c>
      <c r="Q1711" t="s">
        <v>789</v>
      </c>
    </row>
    <row r="1712" spans="1:17" x14ac:dyDescent="0.3">
      <c r="A1712" t="s">
        <v>2303</v>
      </c>
      <c r="B1712" t="s">
        <v>2304</v>
      </c>
      <c r="C1712" s="1">
        <v>46057</v>
      </c>
      <c r="D1712" t="s">
        <v>16</v>
      </c>
      <c r="E1712" t="s">
        <v>50</v>
      </c>
      <c r="F1712" t="s">
        <v>74</v>
      </c>
      <c r="G1712" t="s">
        <v>355</v>
      </c>
      <c r="H1712" t="s">
        <v>356</v>
      </c>
      <c r="I1712" t="s">
        <v>82</v>
      </c>
      <c r="J1712">
        <v>499</v>
      </c>
      <c r="K1712">
        <v>2</v>
      </c>
      <c r="L1712">
        <v>490.36</v>
      </c>
      <c r="M1712">
        <v>147.11000000000001</v>
      </c>
      <c r="N1712">
        <v>980.72</v>
      </c>
      <c r="O1712">
        <v>833.61</v>
      </c>
      <c r="P1712" t="s">
        <v>2111</v>
      </c>
      <c r="Q1712" t="s">
        <v>498</v>
      </c>
    </row>
    <row r="1713" spans="1:17" x14ac:dyDescent="0.3">
      <c r="A1713" t="s">
        <v>2854</v>
      </c>
      <c r="B1713" t="s">
        <v>708</v>
      </c>
      <c r="C1713" s="1">
        <v>46054</v>
      </c>
      <c r="D1713" t="s">
        <v>16</v>
      </c>
      <c r="E1713" t="s">
        <v>17</v>
      </c>
      <c r="F1713" t="s">
        <v>31</v>
      </c>
      <c r="G1713" t="s">
        <v>149</v>
      </c>
      <c r="H1713" t="s">
        <v>150</v>
      </c>
      <c r="I1713" t="s">
        <v>37</v>
      </c>
      <c r="J1713">
        <v>2999</v>
      </c>
      <c r="K1713">
        <v>1</v>
      </c>
      <c r="L1713">
        <v>2742.69</v>
      </c>
      <c r="M1713">
        <v>274.27</v>
      </c>
      <c r="N1713">
        <v>2742.69</v>
      </c>
      <c r="O1713">
        <v>2468.42</v>
      </c>
      <c r="P1713" t="s">
        <v>2111</v>
      </c>
      <c r="Q1713" t="s">
        <v>498</v>
      </c>
    </row>
    <row r="1714" spans="1:17" x14ac:dyDescent="0.3">
      <c r="A1714" t="s">
        <v>1435</v>
      </c>
      <c r="B1714" t="s">
        <v>1104</v>
      </c>
      <c r="C1714" s="1">
        <v>46138</v>
      </c>
      <c r="D1714" t="s">
        <v>26</v>
      </c>
      <c r="E1714" t="s">
        <v>50</v>
      </c>
      <c r="F1714" t="s">
        <v>22</v>
      </c>
      <c r="G1714" t="s">
        <v>355</v>
      </c>
      <c r="H1714" t="s">
        <v>356</v>
      </c>
      <c r="I1714" t="s">
        <v>82</v>
      </c>
      <c r="J1714">
        <v>499</v>
      </c>
      <c r="K1714">
        <v>3</v>
      </c>
      <c r="L1714">
        <v>520.37</v>
      </c>
      <c r="M1714">
        <v>156.11000000000001</v>
      </c>
      <c r="N1714">
        <v>1561.11</v>
      </c>
      <c r="O1714">
        <v>1405</v>
      </c>
      <c r="P1714" t="s">
        <v>2111</v>
      </c>
      <c r="Q1714" t="s">
        <v>1170</v>
      </c>
    </row>
    <row r="1715" spans="1:17" x14ac:dyDescent="0.3">
      <c r="A1715" t="s">
        <v>2695</v>
      </c>
      <c r="B1715" t="s">
        <v>908</v>
      </c>
      <c r="C1715" s="1">
        <v>46079</v>
      </c>
      <c r="D1715" t="s">
        <v>16</v>
      </c>
      <c r="E1715" t="s">
        <v>17</v>
      </c>
      <c r="F1715" t="s">
        <v>22</v>
      </c>
      <c r="G1715" t="s">
        <v>126</v>
      </c>
      <c r="H1715" t="s">
        <v>127</v>
      </c>
      <c r="I1715" t="s">
        <v>45</v>
      </c>
      <c r="J1715">
        <v>2499</v>
      </c>
      <c r="K1715">
        <v>1</v>
      </c>
      <c r="L1715">
        <v>2600.38</v>
      </c>
      <c r="M1715">
        <v>130.02000000000001</v>
      </c>
      <c r="N1715">
        <v>2600.38</v>
      </c>
      <c r="O1715">
        <v>2470.36</v>
      </c>
      <c r="P1715" t="s">
        <v>2111</v>
      </c>
      <c r="Q1715" t="s">
        <v>498</v>
      </c>
    </row>
    <row r="1716" spans="1:17" x14ac:dyDescent="0.3">
      <c r="A1716" t="s">
        <v>1523</v>
      </c>
      <c r="B1716" t="s">
        <v>1522</v>
      </c>
      <c r="C1716" s="1">
        <v>46146</v>
      </c>
      <c r="D1716" t="s">
        <v>16</v>
      </c>
      <c r="E1716" t="s">
        <v>50</v>
      </c>
      <c r="F1716" t="s">
        <v>74</v>
      </c>
      <c r="G1716" t="s">
        <v>112</v>
      </c>
      <c r="H1716" t="s">
        <v>113</v>
      </c>
      <c r="I1716" t="s">
        <v>37</v>
      </c>
      <c r="J1716">
        <v>1499</v>
      </c>
      <c r="K1716">
        <v>1</v>
      </c>
      <c r="L1716">
        <v>1533.19</v>
      </c>
      <c r="M1716">
        <v>76.66</v>
      </c>
      <c r="N1716">
        <v>1533.19</v>
      </c>
      <c r="O1716">
        <v>1456.53</v>
      </c>
      <c r="P1716" t="s">
        <v>2111</v>
      </c>
      <c r="Q1716" t="s">
        <v>1479</v>
      </c>
    </row>
    <row r="1717" spans="1:17" x14ac:dyDescent="0.3">
      <c r="A1717" t="s">
        <v>961</v>
      </c>
      <c r="B1717" t="s">
        <v>960</v>
      </c>
      <c r="C1717" s="1">
        <v>46093</v>
      </c>
      <c r="D1717" t="s">
        <v>34</v>
      </c>
      <c r="E1717" t="s">
        <v>42</v>
      </c>
      <c r="F1717" t="s">
        <v>47</v>
      </c>
      <c r="G1717" t="s">
        <v>355</v>
      </c>
      <c r="H1717" t="s">
        <v>356</v>
      </c>
      <c r="I1717" t="s">
        <v>82</v>
      </c>
      <c r="J1717">
        <v>499</v>
      </c>
      <c r="K1717">
        <v>1</v>
      </c>
      <c r="L1717">
        <v>500.02</v>
      </c>
      <c r="M1717">
        <v>50</v>
      </c>
      <c r="N1717">
        <v>500.02</v>
      </c>
      <c r="O1717">
        <v>450.02</v>
      </c>
      <c r="P1717" t="s">
        <v>2114</v>
      </c>
      <c r="Q1717" t="s">
        <v>789</v>
      </c>
    </row>
    <row r="1718" spans="1:17" x14ac:dyDescent="0.3">
      <c r="A1718" t="s">
        <v>512</v>
      </c>
      <c r="B1718" t="s">
        <v>511</v>
      </c>
      <c r="C1718" s="1">
        <v>46055</v>
      </c>
      <c r="D1718" t="s">
        <v>16</v>
      </c>
      <c r="E1718" t="s">
        <v>42</v>
      </c>
      <c r="F1718" t="s">
        <v>31</v>
      </c>
      <c r="G1718" t="s">
        <v>191</v>
      </c>
      <c r="H1718" t="s">
        <v>192</v>
      </c>
      <c r="I1718" t="s">
        <v>45</v>
      </c>
      <c r="J1718">
        <v>699</v>
      </c>
      <c r="K1718">
        <v>1</v>
      </c>
      <c r="L1718">
        <v>689.74</v>
      </c>
      <c r="M1718">
        <v>137.94999999999999</v>
      </c>
      <c r="N1718">
        <v>689.74</v>
      </c>
      <c r="O1718">
        <v>551.79</v>
      </c>
      <c r="P1718" t="s">
        <v>2111</v>
      </c>
      <c r="Q1718" t="s">
        <v>498</v>
      </c>
    </row>
    <row r="1719" spans="1:17" x14ac:dyDescent="0.3">
      <c r="A1719" t="s">
        <v>2855</v>
      </c>
      <c r="B1719" t="s">
        <v>2856</v>
      </c>
      <c r="C1719" s="1">
        <v>46163</v>
      </c>
      <c r="D1719" t="s">
        <v>41</v>
      </c>
      <c r="E1719" t="s">
        <v>17</v>
      </c>
      <c r="F1719" t="s">
        <v>22</v>
      </c>
      <c r="G1719" t="s">
        <v>191</v>
      </c>
      <c r="H1719" t="s">
        <v>192</v>
      </c>
      <c r="I1719" t="s">
        <v>45</v>
      </c>
      <c r="J1719">
        <v>699</v>
      </c>
      <c r="K1719">
        <v>1</v>
      </c>
      <c r="L1719">
        <v>712.04</v>
      </c>
      <c r="M1719">
        <v>178.01</v>
      </c>
      <c r="N1719">
        <v>712.04</v>
      </c>
      <c r="O1719">
        <v>534.03</v>
      </c>
      <c r="P1719" t="s">
        <v>2111</v>
      </c>
      <c r="Q1719" t="s">
        <v>1479</v>
      </c>
    </row>
    <row r="1720" spans="1:17" x14ac:dyDescent="0.3">
      <c r="A1720" t="s">
        <v>1899</v>
      </c>
      <c r="B1720" t="s">
        <v>785</v>
      </c>
      <c r="C1720" s="1">
        <v>46181</v>
      </c>
      <c r="D1720" t="s">
        <v>34</v>
      </c>
      <c r="E1720" t="s">
        <v>17</v>
      </c>
      <c r="F1720" t="s">
        <v>47</v>
      </c>
      <c r="G1720" t="s">
        <v>18</v>
      </c>
      <c r="H1720" t="s">
        <v>19</v>
      </c>
      <c r="I1720" t="s">
        <v>20</v>
      </c>
      <c r="J1720">
        <v>2799</v>
      </c>
      <c r="K1720">
        <v>1</v>
      </c>
      <c r="L1720">
        <v>2649.75</v>
      </c>
      <c r="M1720">
        <v>264.98</v>
      </c>
      <c r="N1720">
        <v>2649.75</v>
      </c>
      <c r="O1720">
        <v>2384.77</v>
      </c>
      <c r="P1720" t="s">
        <v>2111</v>
      </c>
      <c r="Q1720" t="s">
        <v>1809</v>
      </c>
    </row>
    <row r="1721" spans="1:17" x14ac:dyDescent="0.3">
      <c r="A1721" t="s">
        <v>2505</v>
      </c>
      <c r="B1721" t="s">
        <v>2506</v>
      </c>
      <c r="C1721" s="1">
        <v>46070</v>
      </c>
      <c r="D1721" t="s">
        <v>34</v>
      </c>
      <c r="E1721" t="s">
        <v>17</v>
      </c>
      <c r="F1721" t="s">
        <v>22</v>
      </c>
      <c r="G1721" t="s">
        <v>96</v>
      </c>
      <c r="H1721" t="s">
        <v>97</v>
      </c>
      <c r="I1721" t="s">
        <v>58</v>
      </c>
      <c r="J1721">
        <v>7499</v>
      </c>
      <c r="K1721">
        <v>1</v>
      </c>
      <c r="L1721">
        <v>8160.8</v>
      </c>
      <c r="M1721">
        <v>816.08</v>
      </c>
      <c r="N1721">
        <v>8160.8</v>
      </c>
      <c r="O1721">
        <v>7344.72</v>
      </c>
      <c r="P1721" t="s">
        <v>2111</v>
      </c>
      <c r="Q1721" t="s">
        <v>498</v>
      </c>
    </row>
    <row r="1722" spans="1:17" x14ac:dyDescent="0.3">
      <c r="A1722" t="s">
        <v>185</v>
      </c>
      <c r="B1722" t="s">
        <v>184</v>
      </c>
      <c r="C1722" s="1">
        <v>46029</v>
      </c>
      <c r="D1722" t="s">
        <v>34</v>
      </c>
      <c r="E1722" t="s">
        <v>17</v>
      </c>
      <c r="F1722" t="s">
        <v>31</v>
      </c>
      <c r="G1722" t="s">
        <v>35</v>
      </c>
      <c r="H1722" t="s">
        <v>36</v>
      </c>
      <c r="I1722" t="s">
        <v>37</v>
      </c>
      <c r="J1722">
        <v>799</v>
      </c>
      <c r="K1722">
        <v>1</v>
      </c>
      <c r="L1722">
        <v>813.19</v>
      </c>
      <c r="M1722">
        <v>162.63999999999999</v>
      </c>
      <c r="N1722">
        <v>813.19</v>
      </c>
      <c r="O1722">
        <v>650.54999999999995</v>
      </c>
      <c r="P1722" t="s">
        <v>2111</v>
      </c>
      <c r="Q1722" t="s">
        <v>23</v>
      </c>
    </row>
    <row r="1723" spans="1:17" x14ac:dyDescent="0.3">
      <c r="A1723" t="s">
        <v>2332</v>
      </c>
      <c r="B1723" t="s">
        <v>2333</v>
      </c>
      <c r="C1723" s="1">
        <v>46061</v>
      </c>
      <c r="D1723" t="s">
        <v>16</v>
      </c>
      <c r="E1723" t="s">
        <v>17</v>
      </c>
      <c r="F1723" t="s">
        <v>31</v>
      </c>
      <c r="G1723" t="s">
        <v>112</v>
      </c>
      <c r="H1723" t="s">
        <v>113</v>
      </c>
      <c r="I1723" t="s">
        <v>37</v>
      </c>
      <c r="J1723">
        <v>1499</v>
      </c>
      <c r="K1723">
        <v>2</v>
      </c>
      <c r="L1723">
        <v>1442.4</v>
      </c>
      <c r="M1723">
        <v>288.48</v>
      </c>
      <c r="N1723">
        <v>2884.8</v>
      </c>
      <c r="O1723">
        <v>2596.3200000000002</v>
      </c>
      <c r="P1723" t="s">
        <v>2111</v>
      </c>
      <c r="Q1723" t="s">
        <v>498</v>
      </c>
    </row>
    <row r="1724" spans="1:17" x14ac:dyDescent="0.3">
      <c r="A1724" t="s">
        <v>1871</v>
      </c>
      <c r="B1724" t="s">
        <v>442</v>
      </c>
      <c r="C1724" s="1">
        <v>46178</v>
      </c>
      <c r="D1724" t="s">
        <v>26</v>
      </c>
      <c r="E1724" t="s">
        <v>50</v>
      </c>
      <c r="F1724" t="s">
        <v>22</v>
      </c>
      <c r="G1724" t="s">
        <v>18</v>
      </c>
      <c r="H1724" t="s">
        <v>19</v>
      </c>
      <c r="I1724" t="s">
        <v>20</v>
      </c>
      <c r="J1724">
        <v>2799</v>
      </c>
      <c r="K1724">
        <v>1</v>
      </c>
      <c r="L1724">
        <v>2770.83</v>
      </c>
      <c r="M1724">
        <v>277.08</v>
      </c>
      <c r="N1724">
        <v>2770.83</v>
      </c>
      <c r="O1724">
        <v>2493.75</v>
      </c>
      <c r="P1724" t="s">
        <v>2111</v>
      </c>
      <c r="Q1724" t="s">
        <v>1809</v>
      </c>
    </row>
    <row r="1725" spans="1:17" x14ac:dyDescent="0.3">
      <c r="A1725" t="s">
        <v>723</v>
      </c>
      <c r="B1725" t="s">
        <v>722</v>
      </c>
      <c r="C1725" s="1">
        <v>46075</v>
      </c>
      <c r="D1725" t="s">
        <v>63</v>
      </c>
      <c r="E1725" t="s">
        <v>50</v>
      </c>
      <c r="F1725" t="s">
        <v>22</v>
      </c>
      <c r="G1725" t="s">
        <v>250</v>
      </c>
      <c r="H1725" t="s">
        <v>251</v>
      </c>
      <c r="I1725" t="s">
        <v>108</v>
      </c>
      <c r="J1725">
        <v>899</v>
      </c>
      <c r="K1725">
        <v>1</v>
      </c>
      <c r="L1725">
        <v>953.96</v>
      </c>
      <c r="M1725">
        <v>47.7</v>
      </c>
      <c r="N1725">
        <v>953.96</v>
      </c>
      <c r="O1725">
        <v>906.26</v>
      </c>
      <c r="P1725" t="s">
        <v>2111</v>
      </c>
      <c r="Q1725" t="s">
        <v>498</v>
      </c>
    </row>
    <row r="1726" spans="1:17" x14ac:dyDescent="0.3">
      <c r="A1726" t="s">
        <v>2644</v>
      </c>
      <c r="B1726" t="s">
        <v>2645</v>
      </c>
      <c r="C1726" s="1">
        <v>46103</v>
      </c>
      <c r="D1726" t="s">
        <v>16</v>
      </c>
      <c r="E1726" t="s">
        <v>42</v>
      </c>
      <c r="F1726" t="s">
        <v>74</v>
      </c>
      <c r="G1726" t="s">
        <v>101</v>
      </c>
      <c r="H1726" t="s">
        <v>102</v>
      </c>
      <c r="I1726" t="s">
        <v>45</v>
      </c>
      <c r="J1726">
        <v>4999</v>
      </c>
      <c r="K1726">
        <v>2</v>
      </c>
      <c r="L1726">
        <v>4660.68</v>
      </c>
      <c r="M1726">
        <v>1398.2</v>
      </c>
      <c r="N1726">
        <v>9321.36</v>
      </c>
      <c r="O1726">
        <v>7923.16</v>
      </c>
      <c r="P1726" t="s">
        <v>2111</v>
      </c>
      <c r="Q1726" t="s">
        <v>789</v>
      </c>
    </row>
    <row r="1727" spans="1:17" x14ac:dyDescent="0.3">
      <c r="A1727" t="s">
        <v>2845</v>
      </c>
      <c r="B1727" t="s">
        <v>95</v>
      </c>
      <c r="C1727" s="1">
        <v>46108</v>
      </c>
      <c r="D1727" t="s">
        <v>26</v>
      </c>
      <c r="E1727" t="s">
        <v>17</v>
      </c>
      <c r="F1727" t="s">
        <v>22</v>
      </c>
      <c r="G1727" t="s">
        <v>43</v>
      </c>
      <c r="H1727" t="s">
        <v>44</v>
      </c>
      <c r="I1727" t="s">
        <v>45</v>
      </c>
      <c r="J1727">
        <v>3299</v>
      </c>
      <c r="K1727">
        <v>3</v>
      </c>
      <c r="L1727">
        <v>3162.31</v>
      </c>
      <c r="M1727">
        <v>948.69</v>
      </c>
      <c r="N1727">
        <v>9486.93</v>
      </c>
      <c r="O1727">
        <v>8538.24</v>
      </c>
      <c r="P1727" t="s">
        <v>2111</v>
      </c>
      <c r="Q1727" t="s">
        <v>789</v>
      </c>
    </row>
    <row r="1728" spans="1:17" x14ac:dyDescent="0.3">
      <c r="A1728" t="s">
        <v>1940</v>
      </c>
      <c r="B1728" t="s">
        <v>672</v>
      </c>
      <c r="C1728" s="1">
        <v>46186</v>
      </c>
      <c r="D1728" t="s">
        <v>16</v>
      </c>
      <c r="E1728" t="s">
        <v>50</v>
      </c>
      <c r="F1728" t="s">
        <v>22</v>
      </c>
      <c r="G1728" t="s">
        <v>355</v>
      </c>
      <c r="H1728" t="s">
        <v>356</v>
      </c>
      <c r="I1728" t="s">
        <v>82</v>
      </c>
      <c r="J1728">
        <v>499</v>
      </c>
      <c r="K1728">
        <v>3</v>
      </c>
      <c r="L1728">
        <v>516.91</v>
      </c>
      <c r="M1728">
        <v>232.61</v>
      </c>
      <c r="N1728">
        <v>1550.73</v>
      </c>
      <c r="O1728">
        <v>1318.12</v>
      </c>
      <c r="P1728" t="s">
        <v>2111</v>
      </c>
      <c r="Q1728" t="s">
        <v>1809</v>
      </c>
    </row>
    <row r="1729" spans="1:17" x14ac:dyDescent="0.3">
      <c r="A1729" t="s">
        <v>622</v>
      </c>
      <c r="B1729" t="s">
        <v>621</v>
      </c>
      <c r="C1729" s="1">
        <v>46065</v>
      </c>
      <c r="D1729" t="s">
        <v>63</v>
      </c>
      <c r="E1729" t="s">
        <v>50</v>
      </c>
      <c r="F1729" t="s">
        <v>22</v>
      </c>
      <c r="G1729" t="s">
        <v>149</v>
      </c>
      <c r="H1729" t="s">
        <v>150</v>
      </c>
      <c r="I1729" t="s">
        <v>37</v>
      </c>
      <c r="J1729">
        <v>2999</v>
      </c>
      <c r="K1729">
        <v>1</v>
      </c>
      <c r="L1729">
        <v>2888.33</v>
      </c>
      <c r="M1729">
        <v>433.25</v>
      </c>
      <c r="N1729">
        <v>2888.33</v>
      </c>
      <c r="O1729">
        <v>2455.08</v>
      </c>
      <c r="P1729" t="s">
        <v>2114</v>
      </c>
      <c r="Q1729" t="s">
        <v>498</v>
      </c>
    </row>
    <row r="1730" spans="1:17" x14ac:dyDescent="0.3">
      <c r="A1730" t="s">
        <v>2857</v>
      </c>
      <c r="B1730" t="s">
        <v>2858</v>
      </c>
      <c r="C1730" s="1">
        <v>46023</v>
      </c>
      <c r="D1730" t="s">
        <v>34</v>
      </c>
      <c r="E1730" t="s">
        <v>17</v>
      </c>
      <c r="F1730" t="s">
        <v>74</v>
      </c>
      <c r="G1730" t="s">
        <v>18</v>
      </c>
      <c r="H1730" t="s">
        <v>19</v>
      </c>
      <c r="I1730" t="s">
        <v>20</v>
      </c>
      <c r="J1730">
        <v>2799</v>
      </c>
      <c r="K1730">
        <v>1</v>
      </c>
      <c r="L1730">
        <v>2962.74</v>
      </c>
      <c r="M1730">
        <v>148.13999999999999</v>
      </c>
      <c r="N1730">
        <v>2962.74</v>
      </c>
      <c r="O1730">
        <v>2814.6</v>
      </c>
      <c r="P1730" t="s">
        <v>2111</v>
      </c>
      <c r="Q1730" t="s">
        <v>23</v>
      </c>
    </row>
    <row r="1731" spans="1:17" x14ac:dyDescent="0.3">
      <c r="A1731" t="s">
        <v>1686</v>
      </c>
      <c r="B1731" t="s">
        <v>254</v>
      </c>
      <c r="C1731" s="1">
        <v>46160</v>
      </c>
      <c r="D1731" t="s">
        <v>16</v>
      </c>
      <c r="E1731" t="s">
        <v>17</v>
      </c>
      <c r="F1731" t="s">
        <v>60</v>
      </c>
      <c r="G1731" t="s">
        <v>18</v>
      </c>
      <c r="H1731" t="s">
        <v>19</v>
      </c>
      <c r="I1731" t="s">
        <v>20</v>
      </c>
      <c r="J1731">
        <v>2799</v>
      </c>
      <c r="K1731">
        <v>1</v>
      </c>
      <c r="L1731">
        <v>2592.13</v>
      </c>
      <c r="M1731">
        <v>388.82</v>
      </c>
      <c r="N1731">
        <v>2592.13</v>
      </c>
      <c r="O1731">
        <v>2203.31</v>
      </c>
      <c r="P1731" t="s">
        <v>2111</v>
      </c>
      <c r="Q1731" t="s">
        <v>1479</v>
      </c>
    </row>
    <row r="1732" spans="1:17" x14ac:dyDescent="0.3">
      <c r="A1732" t="s">
        <v>788</v>
      </c>
      <c r="B1732" t="s">
        <v>278</v>
      </c>
      <c r="C1732" s="1">
        <v>46082</v>
      </c>
      <c r="D1732" t="s">
        <v>63</v>
      </c>
      <c r="E1732" t="s">
        <v>42</v>
      </c>
      <c r="F1732" t="s">
        <v>31</v>
      </c>
      <c r="G1732" t="s">
        <v>112</v>
      </c>
      <c r="H1732" t="s">
        <v>113</v>
      </c>
      <c r="I1732" t="s">
        <v>37</v>
      </c>
      <c r="J1732">
        <v>1499</v>
      </c>
      <c r="K1732">
        <v>1</v>
      </c>
      <c r="L1732">
        <v>1577.75</v>
      </c>
      <c r="M1732">
        <v>236.66</v>
      </c>
      <c r="N1732">
        <v>1577.75</v>
      </c>
      <c r="O1732">
        <v>1341.09</v>
      </c>
      <c r="P1732" t="s">
        <v>2111</v>
      </c>
      <c r="Q1732" t="s">
        <v>789</v>
      </c>
    </row>
    <row r="1733" spans="1:17" x14ac:dyDescent="0.3">
      <c r="A1733" t="s">
        <v>1347</v>
      </c>
      <c r="B1733" t="s">
        <v>1346</v>
      </c>
      <c r="C1733" s="1">
        <v>46132</v>
      </c>
      <c r="D1733" t="s">
        <v>34</v>
      </c>
      <c r="E1733" t="s">
        <v>17</v>
      </c>
      <c r="F1733" t="s">
        <v>74</v>
      </c>
      <c r="G1733" t="s">
        <v>27</v>
      </c>
      <c r="H1733" t="s">
        <v>28</v>
      </c>
      <c r="I1733" t="s">
        <v>29</v>
      </c>
      <c r="J1733">
        <v>1599</v>
      </c>
      <c r="K1733">
        <v>3</v>
      </c>
      <c r="L1733">
        <v>1460.96</v>
      </c>
      <c r="M1733">
        <v>219.14</v>
      </c>
      <c r="N1733">
        <v>4382.88</v>
      </c>
      <c r="O1733">
        <v>4163.74</v>
      </c>
      <c r="P1733" t="s">
        <v>2111</v>
      </c>
      <c r="Q1733" t="s">
        <v>1170</v>
      </c>
    </row>
    <row r="1734" spans="1:17" x14ac:dyDescent="0.3">
      <c r="A1734" t="s">
        <v>2859</v>
      </c>
      <c r="B1734" t="s">
        <v>2790</v>
      </c>
      <c r="C1734" s="1">
        <v>46111</v>
      </c>
      <c r="D1734" t="s">
        <v>41</v>
      </c>
      <c r="E1734" t="s">
        <v>50</v>
      </c>
      <c r="F1734" t="s">
        <v>47</v>
      </c>
      <c r="G1734" t="s">
        <v>91</v>
      </c>
      <c r="H1734" t="s">
        <v>92</v>
      </c>
      <c r="I1734" t="s">
        <v>37</v>
      </c>
      <c r="J1734">
        <v>1899</v>
      </c>
      <c r="K1734">
        <v>1</v>
      </c>
      <c r="L1734">
        <v>1713.88</v>
      </c>
      <c r="M1734">
        <v>0</v>
      </c>
      <c r="N1734">
        <v>1713.88</v>
      </c>
      <c r="O1734">
        <v>1713.88</v>
      </c>
      <c r="P1734" t="s">
        <v>2111</v>
      </c>
      <c r="Q1734" t="s">
        <v>789</v>
      </c>
    </row>
    <row r="1735" spans="1:17" x14ac:dyDescent="0.3">
      <c r="A1735" t="s">
        <v>1729</v>
      </c>
      <c r="B1735" t="s">
        <v>1728</v>
      </c>
      <c r="C1735" s="1">
        <v>46165</v>
      </c>
      <c r="D1735" t="s">
        <v>41</v>
      </c>
      <c r="E1735" t="s">
        <v>17</v>
      </c>
      <c r="F1735" t="s">
        <v>47</v>
      </c>
      <c r="G1735" t="s">
        <v>250</v>
      </c>
      <c r="H1735" t="s">
        <v>251</v>
      </c>
      <c r="I1735" t="s">
        <v>108</v>
      </c>
      <c r="J1735">
        <v>899</v>
      </c>
      <c r="K1735">
        <v>1</v>
      </c>
      <c r="L1735">
        <v>970.6</v>
      </c>
      <c r="M1735">
        <v>0</v>
      </c>
      <c r="N1735">
        <v>970.6</v>
      </c>
      <c r="O1735">
        <v>970.6</v>
      </c>
      <c r="P1735" t="s">
        <v>2111</v>
      </c>
      <c r="Q1735" t="s">
        <v>1479</v>
      </c>
    </row>
    <row r="1736" spans="1:17" x14ac:dyDescent="0.3">
      <c r="A1736" t="s">
        <v>2185</v>
      </c>
      <c r="B1736" t="s">
        <v>2186</v>
      </c>
      <c r="C1736" s="1">
        <v>46174</v>
      </c>
      <c r="D1736" t="s">
        <v>16</v>
      </c>
      <c r="E1736" t="s">
        <v>17</v>
      </c>
      <c r="F1736" t="s">
        <v>22</v>
      </c>
      <c r="G1736" t="s">
        <v>106</v>
      </c>
      <c r="H1736" t="s">
        <v>107</v>
      </c>
      <c r="I1736" t="s">
        <v>108</v>
      </c>
      <c r="J1736">
        <v>599</v>
      </c>
      <c r="K1736">
        <v>1</v>
      </c>
      <c r="L1736">
        <v>608.74</v>
      </c>
      <c r="M1736">
        <v>60.87</v>
      </c>
      <c r="N1736">
        <v>608.74</v>
      </c>
      <c r="O1736">
        <v>547.87</v>
      </c>
      <c r="P1736" t="s">
        <v>2111</v>
      </c>
      <c r="Q1736" t="s">
        <v>1809</v>
      </c>
    </row>
    <row r="1737" spans="1:17" x14ac:dyDescent="0.3">
      <c r="A1737" t="s">
        <v>1094</v>
      </c>
      <c r="B1737" t="s">
        <v>1093</v>
      </c>
      <c r="C1737" s="1">
        <v>46105</v>
      </c>
      <c r="D1737" t="s">
        <v>63</v>
      </c>
      <c r="E1737" t="s">
        <v>17</v>
      </c>
      <c r="F1737" t="s">
        <v>47</v>
      </c>
      <c r="G1737" t="s">
        <v>149</v>
      </c>
      <c r="H1737" t="s">
        <v>150</v>
      </c>
      <c r="I1737" t="s">
        <v>37</v>
      </c>
      <c r="J1737">
        <v>2999</v>
      </c>
      <c r="K1737">
        <v>1</v>
      </c>
      <c r="L1737">
        <v>2910.13</v>
      </c>
      <c r="M1737">
        <v>145.51</v>
      </c>
      <c r="N1737">
        <v>2910.13</v>
      </c>
      <c r="O1737">
        <v>2764.62</v>
      </c>
      <c r="P1737" t="s">
        <v>2111</v>
      </c>
      <c r="Q1737" t="s">
        <v>789</v>
      </c>
    </row>
    <row r="1738" spans="1:17" x14ac:dyDescent="0.3">
      <c r="A1738" t="s">
        <v>2219</v>
      </c>
      <c r="B1738" t="s">
        <v>2220</v>
      </c>
      <c r="C1738" s="1">
        <v>46128</v>
      </c>
      <c r="D1738" t="s">
        <v>16</v>
      </c>
      <c r="E1738" t="s">
        <v>17</v>
      </c>
      <c r="F1738" t="s">
        <v>60</v>
      </c>
      <c r="G1738" t="s">
        <v>355</v>
      </c>
      <c r="H1738" t="s">
        <v>356</v>
      </c>
      <c r="I1738" t="s">
        <v>82</v>
      </c>
      <c r="J1738">
        <v>499</v>
      </c>
      <c r="K1738">
        <v>2</v>
      </c>
      <c r="L1738">
        <v>472.31</v>
      </c>
      <c r="M1738">
        <v>94.46</v>
      </c>
      <c r="N1738">
        <v>944.62</v>
      </c>
      <c r="O1738">
        <v>850.16</v>
      </c>
      <c r="P1738" t="s">
        <v>2111</v>
      </c>
      <c r="Q1738" t="s">
        <v>1170</v>
      </c>
    </row>
    <row r="1739" spans="1:17" x14ac:dyDescent="0.3">
      <c r="A1739" t="s">
        <v>2704</v>
      </c>
      <c r="B1739" t="s">
        <v>2705</v>
      </c>
      <c r="C1739" s="1">
        <v>46069</v>
      </c>
      <c r="D1739" t="s">
        <v>16</v>
      </c>
      <c r="E1739" t="s">
        <v>50</v>
      </c>
      <c r="F1739" t="s">
        <v>60</v>
      </c>
      <c r="G1739" t="s">
        <v>43</v>
      </c>
      <c r="H1739" t="s">
        <v>44</v>
      </c>
      <c r="I1739" t="s">
        <v>45</v>
      </c>
      <c r="J1739">
        <v>3299</v>
      </c>
      <c r="K1739">
        <v>1</v>
      </c>
      <c r="L1739">
        <v>3376.12</v>
      </c>
      <c r="M1739">
        <v>0</v>
      </c>
      <c r="N1739">
        <v>3376.12</v>
      </c>
      <c r="O1739">
        <v>3376.12</v>
      </c>
      <c r="P1739" t="s">
        <v>2111</v>
      </c>
      <c r="Q1739" t="s">
        <v>498</v>
      </c>
    </row>
    <row r="1740" spans="1:17" x14ac:dyDescent="0.3">
      <c r="A1740" t="s">
        <v>699</v>
      </c>
      <c r="B1740" t="s">
        <v>687</v>
      </c>
      <c r="C1740" s="1">
        <v>46073</v>
      </c>
      <c r="D1740" t="s">
        <v>16</v>
      </c>
      <c r="E1740" t="s">
        <v>42</v>
      </c>
      <c r="F1740" t="s">
        <v>31</v>
      </c>
      <c r="G1740" t="s">
        <v>56</v>
      </c>
      <c r="H1740" t="s">
        <v>57</v>
      </c>
      <c r="I1740" t="s">
        <v>58</v>
      </c>
      <c r="J1740">
        <v>8999</v>
      </c>
      <c r="K1740">
        <v>1</v>
      </c>
      <c r="L1740">
        <v>9015.2000000000007</v>
      </c>
      <c r="M1740">
        <v>1803.04</v>
      </c>
      <c r="N1740">
        <v>9015.2000000000007</v>
      </c>
      <c r="O1740">
        <v>7212.16</v>
      </c>
      <c r="P1740" t="s">
        <v>2111</v>
      </c>
      <c r="Q1740" t="s">
        <v>498</v>
      </c>
    </row>
    <row r="1741" spans="1:17" x14ac:dyDescent="0.3">
      <c r="A1741" t="s">
        <v>599</v>
      </c>
      <c r="B1741" t="s">
        <v>598</v>
      </c>
      <c r="C1741" s="1">
        <v>46063</v>
      </c>
      <c r="D1741" t="s">
        <v>26</v>
      </c>
      <c r="E1741" t="s">
        <v>50</v>
      </c>
      <c r="F1741" t="s">
        <v>60</v>
      </c>
      <c r="G1741" t="s">
        <v>27</v>
      </c>
      <c r="H1741" t="s">
        <v>28</v>
      </c>
      <c r="I1741" t="s">
        <v>29</v>
      </c>
      <c r="J1741">
        <v>1599</v>
      </c>
      <c r="K1741">
        <v>1</v>
      </c>
      <c r="L1741">
        <v>1756.21</v>
      </c>
      <c r="M1741">
        <v>87.81</v>
      </c>
      <c r="N1741">
        <v>1756.21</v>
      </c>
      <c r="O1741">
        <v>1668.4</v>
      </c>
      <c r="P1741" t="s">
        <v>2111</v>
      </c>
      <c r="Q1741" t="s">
        <v>498</v>
      </c>
    </row>
    <row r="1742" spans="1:17" x14ac:dyDescent="0.3">
      <c r="A1742" t="s">
        <v>2131</v>
      </c>
      <c r="B1742" t="s">
        <v>90</v>
      </c>
      <c r="C1742" s="1">
        <v>46073</v>
      </c>
      <c r="D1742" t="s">
        <v>34</v>
      </c>
      <c r="E1742" t="s">
        <v>17</v>
      </c>
      <c r="F1742" t="s">
        <v>60</v>
      </c>
      <c r="G1742" t="s">
        <v>43</v>
      </c>
      <c r="H1742" t="s">
        <v>44</v>
      </c>
      <c r="I1742" t="s">
        <v>45</v>
      </c>
      <c r="J1742">
        <v>3299</v>
      </c>
      <c r="K1742">
        <v>1</v>
      </c>
      <c r="L1742">
        <v>3617.83</v>
      </c>
      <c r="M1742">
        <v>180.89</v>
      </c>
      <c r="N1742">
        <v>3617.83</v>
      </c>
      <c r="O1742">
        <v>3436.94</v>
      </c>
      <c r="P1742" t="s">
        <v>2111</v>
      </c>
      <c r="Q1742" t="s">
        <v>498</v>
      </c>
    </row>
    <row r="1743" spans="1:17" x14ac:dyDescent="0.3">
      <c r="A1743" t="s">
        <v>1350</v>
      </c>
      <c r="B1743" t="s">
        <v>1349</v>
      </c>
      <c r="C1743" s="1">
        <v>46132</v>
      </c>
      <c r="D1743" t="s">
        <v>26</v>
      </c>
      <c r="E1743" t="s">
        <v>50</v>
      </c>
      <c r="F1743" t="s">
        <v>22</v>
      </c>
      <c r="G1743" t="s">
        <v>126</v>
      </c>
      <c r="H1743" t="s">
        <v>127</v>
      </c>
      <c r="I1743" t="s">
        <v>45</v>
      </c>
      <c r="J1743">
        <v>2499</v>
      </c>
      <c r="K1743">
        <v>1</v>
      </c>
      <c r="L1743">
        <v>2566.4899999999998</v>
      </c>
      <c r="M1743">
        <v>256.64999999999998</v>
      </c>
      <c r="N1743">
        <v>2566.4899999999998</v>
      </c>
      <c r="O1743">
        <v>2309.84</v>
      </c>
      <c r="P1743" t="s">
        <v>2111</v>
      </c>
      <c r="Q1743" t="s">
        <v>1170</v>
      </c>
    </row>
    <row r="1744" spans="1:17" x14ac:dyDescent="0.3">
      <c r="A1744" t="s">
        <v>2860</v>
      </c>
      <c r="B1744" t="s">
        <v>2861</v>
      </c>
      <c r="C1744" s="1">
        <v>46065</v>
      </c>
      <c r="D1744" t="s">
        <v>16</v>
      </c>
      <c r="E1744" t="s">
        <v>50</v>
      </c>
      <c r="F1744" t="s">
        <v>74</v>
      </c>
      <c r="G1744" t="s">
        <v>35</v>
      </c>
      <c r="H1744" t="s">
        <v>36</v>
      </c>
      <c r="I1744" t="s">
        <v>37</v>
      </c>
      <c r="J1744">
        <v>799</v>
      </c>
      <c r="K1744">
        <v>1</v>
      </c>
      <c r="L1744">
        <v>789.87</v>
      </c>
      <c r="M1744">
        <v>78.989999999999995</v>
      </c>
      <c r="N1744">
        <v>789.87</v>
      </c>
      <c r="O1744">
        <v>710.88</v>
      </c>
      <c r="P1744" t="s">
        <v>2111</v>
      </c>
      <c r="Q1744" t="s">
        <v>498</v>
      </c>
    </row>
    <row r="1745" spans="1:17" x14ac:dyDescent="0.3">
      <c r="A1745" t="s">
        <v>2862</v>
      </c>
      <c r="B1745" t="s">
        <v>2810</v>
      </c>
      <c r="C1745" s="1">
        <v>46155</v>
      </c>
      <c r="D1745" t="s">
        <v>16</v>
      </c>
      <c r="E1745" t="s">
        <v>17</v>
      </c>
      <c r="F1745" t="s">
        <v>74</v>
      </c>
      <c r="G1745" t="s">
        <v>191</v>
      </c>
      <c r="H1745" t="s">
        <v>192</v>
      </c>
      <c r="I1745" t="s">
        <v>45</v>
      </c>
      <c r="J1745">
        <v>699</v>
      </c>
      <c r="K1745">
        <v>1</v>
      </c>
      <c r="L1745">
        <v>697.76</v>
      </c>
      <c r="M1745">
        <v>34.89</v>
      </c>
      <c r="N1745">
        <v>697.76</v>
      </c>
      <c r="O1745">
        <v>662.87</v>
      </c>
      <c r="P1745" t="s">
        <v>2114</v>
      </c>
      <c r="Q1745" t="s">
        <v>1479</v>
      </c>
    </row>
    <row r="1746" spans="1:17" x14ac:dyDescent="0.3">
      <c r="A1746" t="s">
        <v>1179</v>
      </c>
      <c r="B1746" t="s">
        <v>1178</v>
      </c>
      <c r="C1746" s="1">
        <v>46115</v>
      </c>
      <c r="D1746" t="s">
        <v>16</v>
      </c>
      <c r="E1746" t="s">
        <v>17</v>
      </c>
      <c r="F1746" t="s">
        <v>47</v>
      </c>
      <c r="G1746" t="s">
        <v>101</v>
      </c>
      <c r="H1746" t="s">
        <v>102</v>
      </c>
      <c r="I1746" t="s">
        <v>45</v>
      </c>
      <c r="J1746">
        <v>4999</v>
      </c>
      <c r="K1746">
        <v>2</v>
      </c>
      <c r="L1746">
        <v>5181.4399999999996</v>
      </c>
      <c r="M1746">
        <v>518.14</v>
      </c>
      <c r="N1746">
        <v>10362.879999999999</v>
      </c>
      <c r="O1746">
        <v>9844.74</v>
      </c>
      <c r="P1746" t="s">
        <v>2114</v>
      </c>
      <c r="Q1746" t="s">
        <v>1170</v>
      </c>
    </row>
    <row r="1747" spans="1:17" x14ac:dyDescent="0.3">
      <c r="A1747" t="s">
        <v>584</v>
      </c>
      <c r="B1747" t="s">
        <v>583</v>
      </c>
      <c r="C1747" s="1">
        <v>46062</v>
      </c>
      <c r="D1747" t="s">
        <v>16</v>
      </c>
      <c r="E1747" t="s">
        <v>17</v>
      </c>
      <c r="F1747" t="s">
        <v>47</v>
      </c>
      <c r="G1747" t="s">
        <v>27</v>
      </c>
      <c r="H1747" t="s">
        <v>28</v>
      </c>
      <c r="I1747" t="s">
        <v>29</v>
      </c>
      <c r="J1747">
        <v>1599</v>
      </c>
      <c r="K1747">
        <v>3</v>
      </c>
      <c r="L1747">
        <v>1471.58</v>
      </c>
      <c r="M1747">
        <v>0</v>
      </c>
      <c r="N1747">
        <v>4414.74</v>
      </c>
      <c r="O1747">
        <v>4414.74</v>
      </c>
      <c r="P1747" t="s">
        <v>2111</v>
      </c>
      <c r="Q1747" t="s">
        <v>498</v>
      </c>
    </row>
    <row r="1748" spans="1:17" x14ac:dyDescent="0.3">
      <c r="A1748" t="s">
        <v>2863</v>
      </c>
      <c r="B1748" t="s">
        <v>2126</v>
      </c>
      <c r="C1748" s="1">
        <v>46154</v>
      </c>
      <c r="D1748" t="s">
        <v>26</v>
      </c>
      <c r="E1748" t="s">
        <v>17</v>
      </c>
      <c r="F1748" t="s">
        <v>22</v>
      </c>
      <c r="G1748" t="s">
        <v>101</v>
      </c>
      <c r="H1748" t="s">
        <v>102</v>
      </c>
      <c r="I1748" t="s">
        <v>45</v>
      </c>
      <c r="J1748">
        <v>4999</v>
      </c>
      <c r="K1748">
        <v>3</v>
      </c>
      <c r="L1748">
        <v>4827.3900000000003</v>
      </c>
      <c r="M1748">
        <v>2172.33</v>
      </c>
      <c r="N1748">
        <v>14482.17</v>
      </c>
      <c r="O1748">
        <v>12309.84</v>
      </c>
      <c r="P1748" t="s">
        <v>2111</v>
      </c>
      <c r="Q1748" t="s">
        <v>1479</v>
      </c>
    </row>
    <row r="1749" spans="1:17" x14ac:dyDescent="0.3">
      <c r="A1749" t="s">
        <v>2864</v>
      </c>
      <c r="B1749" t="s">
        <v>1797</v>
      </c>
      <c r="C1749" s="1">
        <v>46201</v>
      </c>
      <c r="D1749" t="s">
        <v>16</v>
      </c>
      <c r="E1749" t="s">
        <v>17</v>
      </c>
      <c r="F1749" t="s">
        <v>60</v>
      </c>
      <c r="G1749" t="s">
        <v>80</v>
      </c>
      <c r="H1749" t="s">
        <v>81</v>
      </c>
      <c r="I1749" t="s">
        <v>82</v>
      </c>
      <c r="J1749">
        <v>4299</v>
      </c>
      <c r="K1749">
        <v>3</v>
      </c>
      <c r="L1749">
        <v>3933.82</v>
      </c>
      <c r="M1749">
        <v>1770.22</v>
      </c>
      <c r="N1749">
        <v>11801.46</v>
      </c>
      <c r="O1749">
        <v>10031.24</v>
      </c>
      <c r="P1749" t="s">
        <v>2111</v>
      </c>
      <c r="Q1749" t="s">
        <v>1809</v>
      </c>
    </row>
    <row r="1750" spans="1:17" x14ac:dyDescent="0.3">
      <c r="A1750" t="s">
        <v>120</v>
      </c>
      <c r="B1750" t="s">
        <v>119</v>
      </c>
      <c r="C1750" s="1">
        <v>46027</v>
      </c>
      <c r="D1750" t="s">
        <v>26</v>
      </c>
      <c r="E1750" t="s">
        <v>50</v>
      </c>
      <c r="F1750" t="s">
        <v>74</v>
      </c>
      <c r="G1750" t="s">
        <v>43</v>
      </c>
      <c r="H1750" t="s">
        <v>44</v>
      </c>
      <c r="I1750" t="s">
        <v>45</v>
      </c>
      <c r="J1750">
        <v>3299</v>
      </c>
      <c r="K1750">
        <v>1</v>
      </c>
      <c r="L1750">
        <v>3017.5</v>
      </c>
      <c r="M1750">
        <v>301.75</v>
      </c>
      <c r="N1750">
        <v>3017.5</v>
      </c>
      <c r="O1750">
        <v>2715.75</v>
      </c>
      <c r="P1750" t="s">
        <v>2111</v>
      </c>
      <c r="Q1750" t="s">
        <v>23</v>
      </c>
    </row>
    <row r="1751" spans="1:17" x14ac:dyDescent="0.3">
      <c r="A1751" t="s">
        <v>1874</v>
      </c>
      <c r="B1751" t="s">
        <v>1873</v>
      </c>
      <c r="C1751" s="1">
        <v>46178</v>
      </c>
      <c r="D1751" t="s">
        <v>41</v>
      </c>
      <c r="E1751" t="s">
        <v>50</v>
      </c>
      <c r="F1751" t="s">
        <v>31</v>
      </c>
      <c r="G1751" t="s">
        <v>101</v>
      </c>
      <c r="H1751" t="s">
        <v>102</v>
      </c>
      <c r="I1751" t="s">
        <v>45</v>
      </c>
      <c r="J1751">
        <v>4999</v>
      </c>
      <c r="K1751">
        <v>1</v>
      </c>
      <c r="L1751">
        <v>4694.8999999999996</v>
      </c>
      <c r="M1751">
        <v>704.23</v>
      </c>
      <c r="N1751">
        <v>4694.8999999999996</v>
      </c>
      <c r="O1751">
        <v>3990.67</v>
      </c>
      <c r="P1751" t="s">
        <v>2111</v>
      </c>
      <c r="Q1751" t="s">
        <v>1809</v>
      </c>
    </row>
    <row r="1752" spans="1:17" x14ac:dyDescent="0.3">
      <c r="A1752" t="s">
        <v>494</v>
      </c>
      <c r="B1752" t="s">
        <v>493</v>
      </c>
      <c r="C1752" s="1">
        <v>46053</v>
      </c>
      <c r="D1752" t="s">
        <v>34</v>
      </c>
      <c r="E1752" t="s">
        <v>50</v>
      </c>
      <c r="F1752" t="s">
        <v>74</v>
      </c>
      <c r="G1752" t="s">
        <v>43</v>
      </c>
      <c r="H1752" t="s">
        <v>44</v>
      </c>
      <c r="I1752" t="s">
        <v>45</v>
      </c>
      <c r="J1752">
        <v>3299</v>
      </c>
      <c r="K1752">
        <v>1</v>
      </c>
      <c r="L1752">
        <v>3289.27</v>
      </c>
      <c r="M1752">
        <v>493.39</v>
      </c>
      <c r="N1752">
        <v>3289.27</v>
      </c>
      <c r="O1752">
        <v>2795.88</v>
      </c>
      <c r="P1752" t="s">
        <v>2111</v>
      </c>
      <c r="Q1752" t="s">
        <v>23</v>
      </c>
    </row>
    <row r="1753" spans="1:17" x14ac:dyDescent="0.3">
      <c r="A1753" t="s">
        <v>2340</v>
      </c>
      <c r="B1753" t="s">
        <v>25</v>
      </c>
      <c r="C1753" s="1">
        <v>46100</v>
      </c>
      <c r="D1753" t="s">
        <v>26</v>
      </c>
      <c r="E1753" t="s">
        <v>17</v>
      </c>
      <c r="F1753" t="s">
        <v>31</v>
      </c>
      <c r="G1753" t="s">
        <v>35</v>
      </c>
      <c r="H1753" t="s">
        <v>36</v>
      </c>
      <c r="I1753" t="s">
        <v>37</v>
      </c>
      <c r="J1753">
        <v>799</v>
      </c>
      <c r="K1753">
        <v>3</v>
      </c>
      <c r="L1753">
        <v>844.51</v>
      </c>
      <c r="M1753">
        <v>0</v>
      </c>
      <c r="N1753">
        <v>2533.5300000000002</v>
      </c>
      <c r="O1753">
        <v>2533.5300000000002</v>
      </c>
      <c r="P1753" t="s">
        <v>2114</v>
      </c>
      <c r="Q1753" t="s">
        <v>789</v>
      </c>
    </row>
    <row r="1754" spans="1:17" x14ac:dyDescent="0.3">
      <c r="A1754" t="s">
        <v>2581</v>
      </c>
      <c r="B1754" t="s">
        <v>2582</v>
      </c>
      <c r="C1754" s="1">
        <v>46154</v>
      </c>
      <c r="D1754" t="s">
        <v>26</v>
      </c>
      <c r="E1754" t="s">
        <v>50</v>
      </c>
      <c r="F1754" t="s">
        <v>74</v>
      </c>
      <c r="G1754" t="s">
        <v>191</v>
      </c>
      <c r="H1754" t="s">
        <v>192</v>
      </c>
      <c r="I1754" t="s">
        <v>45</v>
      </c>
      <c r="J1754">
        <v>699</v>
      </c>
      <c r="K1754">
        <v>4</v>
      </c>
      <c r="L1754">
        <v>696.97</v>
      </c>
      <c r="M1754">
        <v>696.97</v>
      </c>
      <c r="N1754">
        <v>2787.88</v>
      </c>
      <c r="O1754">
        <v>2090.91</v>
      </c>
      <c r="P1754" t="s">
        <v>2111</v>
      </c>
      <c r="Q1754" t="s">
        <v>1479</v>
      </c>
    </row>
    <row r="1755" spans="1:17" x14ac:dyDescent="0.3">
      <c r="A1755" t="s">
        <v>1358</v>
      </c>
      <c r="B1755" t="s">
        <v>1357</v>
      </c>
      <c r="C1755" s="1">
        <v>46133</v>
      </c>
      <c r="D1755" t="s">
        <v>41</v>
      </c>
      <c r="E1755" t="s">
        <v>17</v>
      </c>
      <c r="F1755" t="s">
        <v>31</v>
      </c>
      <c r="G1755" t="s">
        <v>27</v>
      </c>
      <c r="H1755" t="s">
        <v>28</v>
      </c>
      <c r="I1755" t="s">
        <v>29</v>
      </c>
      <c r="J1755">
        <v>1599</v>
      </c>
      <c r="K1755">
        <v>2</v>
      </c>
      <c r="L1755">
        <v>1546.39</v>
      </c>
      <c r="M1755">
        <v>463.92</v>
      </c>
      <c r="N1755">
        <v>3092.78</v>
      </c>
      <c r="O1755">
        <v>2628.86</v>
      </c>
      <c r="P1755" t="s">
        <v>2111</v>
      </c>
      <c r="Q1755" t="s">
        <v>1170</v>
      </c>
    </row>
    <row r="1756" spans="1:17" x14ac:dyDescent="0.3">
      <c r="A1756" t="s">
        <v>2487</v>
      </c>
      <c r="B1756" t="s">
        <v>1160</v>
      </c>
      <c r="C1756" s="1">
        <v>46048</v>
      </c>
      <c r="D1756" t="s">
        <v>41</v>
      </c>
      <c r="E1756" t="s">
        <v>17</v>
      </c>
      <c r="F1756" t="s">
        <v>22</v>
      </c>
      <c r="G1756" t="s">
        <v>51</v>
      </c>
      <c r="H1756" t="s">
        <v>52</v>
      </c>
      <c r="I1756" t="s">
        <v>20</v>
      </c>
      <c r="J1756">
        <v>999</v>
      </c>
      <c r="K1756">
        <v>1</v>
      </c>
      <c r="L1756">
        <v>915.55</v>
      </c>
      <c r="M1756">
        <v>45.78</v>
      </c>
      <c r="N1756">
        <v>915.55</v>
      </c>
      <c r="O1756">
        <v>869.77</v>
      </c>
      <c r="P1756" t="s">
        <v>2111</v>
      </c>
      <c r="Q1756" t="s">
        <v>23</v>
      </c>
    </row>
    <row r="1757" spans="1:17" x14ac:dyDescent="0.3">
      <c r="A1757" t="s">
        <v>1367</v>
      </c>
      <c r="B1757" t="s">
        <v>1343</v>
      </c>
      <c r="C1757" s="1">
        <v>46133</v>
      </c>
      <c r="D1757" t="s">
        <v>16</v>
      </c>
      <c r="E1757" t="s">
        <v>50</v>
      </c>
      <c r="F1757" t="s">
        <v>31</v>
      </c>
      <c r="G1757" t="s">
        <v>149</v>
      </c>
      <c r="H1757" t="s">
        <v>150</v>
      </c>
      <c r="I1757" t="s">
        <v>37</v>
      </c>
      <c r="J1757">
        <v>2999</v>
      </c>
      <c r="K1757">
        <v>3</v>
      </c>
      <c r="L1757">
        <v>3029.17</v>
      </c>
      <c r="M1757">
        <v>0</v>
      </c>
      <c r="N1757">
        <v>9087.51</v>
      </c>
      <c r="O1757">
        <v>9087.51</v>
      </c>
      <c r="P1757" t="s">
        <v>2114</v>
      </c>
      <c r="Q1757" t="s">
        <v>1170</v>
      </c>
    </row>
    <row r="1758" spans="1:17" x14ac:dyDescent="0.3">
      <c r="A1758" t="s">
        <v>1657</v>
      </c>
      <c r="B1758" t="s">
        <v>1656</v>
      </c>
      <c r="C1758" s="1">
        <v>46157</v>
      </c>
      <c r="D1758" t="s">
        <v>34</v>
      </c>
      <c r="E1758" t="s">
        <v>17</v>
      </c>
      <c r="F1758" t="s">
        <v>60</v>
      </c>
      <c r="G1758" t="s">
        <v>101</v>
      </c>
      <c r="H1758" t="s">
        <v>102</v>
      </c>
      <c r="I1758" t="s">
        <v>45</v>
      </c>
      <c r="J1758">
        <v>4999</v>
      </c>
      <c r="K1758">
        <v>1</v>
      </c>
      <c r="L1758">
        <v>4770.3100000000004</v>
      </c>
      <c r="M1758">
        <v>0</v>
      </c>
      <c r="N1758">
        <v>4770.3100000000004</v>
      </c>
      <c r="O1758">
        <v>4770.3100000000004</v>
      </c>
      <c r="P1758" t="s">
        <v>2114</v>
      </c>
      <c r="Q1758" t="s">
        <v>1479</v>
      </c>
    </row>
    <row r="1759" spans="1:17" x14ac:dyDescent="0.3">
      <c r="A1759" t="s">
        <v>543</v>
      </c>
      <c r="B1759" t="s">
        <v>542</v>
      </c>
      <c r="C1759" s="1">
        <v>46058</v>
      </c>
      <c r="D1759" t="s">
        <v>16</v>
      </c>
      <c r="E1759" t="s">
        <v>17</v>
      </c>
      <c r="F1759" t="s">
        <v>74</v>
      </c>
      <c r="G1759" t="s">
        <v>101</v>
      </c>
      <c r="H1759" t="s">
        <v>102</v>
      </c>
      <c r="I1759" t="s">
        <v>45</v>
      </c>
      <c r="J1759">
        <v>4999</v>
      </c>
      <c r="K1759">
        <v>1</v>
      </c>
      <c r="L1759">
        <v>5113.91</v>
      </c>
      <c r="M1759">
        <v>0</v>
      </c>
      <c r="N1759">
        <v>5113.91</v>
      </c>
      <c r="O1759">
        <v>5113.91</v>
      </c>
      <c r="P1759" t="s">
        <v>2114</v>
      </c>
      <c r="Q1759" t="s">
        <v>498</v>
      </c>
    </row>
    <row r="1760" spans="1:17" x14ac:dyDescent="0.3">
      <c r="A1760" t="s">
        <v>2707</v>
      </c>
      <c r="B1760" t="s">
        <v>1637</v>
      </c>
      <c r="C1760" s="1">
        <v>46049</v>
      </c>
      <c r="D1760" t="s">
        <v>63</v>
      </c>
      <c r="E1760" t="s">
        <v>17</v>
      </c>
      <c r="F1760" t="s">
        <v>31</v>
      </c>
      <c r="G1760" t="s">
        <v>160</v>
      </c>
      <c r="H1760" t="s">
        <v>161</v>
      </c>
      <c r="I1760" t="s">
        <v>82</v>
      </c>
      <c r="J1760">
        <v>799</v>
      </c>
      <c r="K1760">
        <v>1</v>
      </c>
      <c r="L1760">
        <v>875.25</v>
      </c>
      <c r="M1760">
        <v>131.29</v>
      </c>
      <c r="N1760">
        <v>875.25</v>
      </c>
      <c r="O1760">
        <v>743.96</v>
      </c>
      <c r="P1760" t="s">
        <v>2111</v>
      </c>
      <c r="Q1760" t="s">
        <v>23</v>
      </c>
    </row>
    <row r="1761" spans="1:17" x14ac:dyDescent="0.3">
      <c r="A1761" t="s">
        <v>2609</v>
      </c>
      <c r="B1761" t="s">
        <v>2610</v>
      </c>
      <c r="C1761" s="1">
        <v>46193</v>
      </c>
      <c r="D1761" t="s">
        <v>16</v>
      </c>
      <c r="E1761" t="s">
        <v>50</v>
      </c>
      <c r="F1761" t="s">
        <v>31</v>
      </c>
      <c r="G1761" t="s">
        <v>18</v>
      </c>
      <c r="H1761" t="s">
        <v>19</v>
      </c>
      <c r="I1761" t="s">
        <v>20</v>
      </c>
      <c r="J1761">
        <v>2799</v>
      </c>
      <c r="K1761">
        <v>1</v>
      </c>
      <c r="L1761">
        <v>2581.41</v>
      </c>
      <c r="M1761">
        <v>258.14</v>
      </c>
      <c r="N1761">
        <v>2581.41</v>
      </c>
      <c r="O1761">
        <v>2323.27</v>
      </c>
      <c r="P1761" t="s">
        <v>2111</v>
      </c>
      <c r="Q1761" t="s">
        <v>1809</v>
      </c>
    </row>
    <row r="1762" spans="1:17" x14ac:dyDescent="0.3">
      <c r="A1762" t="s">
        <v>344</v>
      </c>
      <c r="B1762" t="s">
        <v>343</v>
      </c>
      <c r="C1762" s="1">
        <v>46041</v>
      </c>
      <c r="D1762" t="s">
        <v>41</v>
      </c>
      <c r="E1762" t="s">
        <v>50</v>
      </c>
      <c r="F1762" t="s">
        <v>74</v>
      </c>
      <c r="G1762" t="s">
        <v>160</v>
      </c>
      <c r="H1762" t="s">
        <v>161</v>
      </c>
      <c r="I1762" t="s">
        <v>82</v>
      </c>
      <c r="J1762">
        <v>799</v>
      </c>
      <c r="K1762">
        <v>1</v>
      </c>
      <c r="L1762">
        <v>753</v>
      </c>
      <c r="M1762">
        <v>112.95</v>
      </c>
      <c r="N1762">
        <v>753</v>
      </c>
      <c r="O1762">
        <v>640.04999999999995</v>
      </c>
      <c r="P1762" t="s">
        <v>2111</v>
      </c>
      <c r="Q1762" t="s">
        <v>23</v>
      </c>
    </row>
    <row r="1763" spans="1:17" x14ac:dyDescent="0.3">
      <c r="A1763" t="s">
        <v>2267</v>
      </c>
      <c r="B1763" t="s">
        <v>2268</v>
      </c>
      <c r="C1763" s="1">
        <v>46177</v>
      </c>
      <c r="D1763" t="s">
        <v>16</v>
      </c>
      <c r="E1763" t="s">
        <v>50</v>
      </c>
      <c r="F1763" t="s">
        <v>31</v>
      </c>
      <c r="G1763" t="s">
        <v>106</v>
      </c>
      <c r="H1763" t="s">
        <v>107</v>
      </c>
      <c r="I1763" t="s">
        <v>108</v>
      </c>
      <c r="J1763">
        <v>599</v>
      </c>
      <c r="K1763">
        <v>1</v>
      </c>
      <c r="L1763">
        <v>595.78</v>
      </c>
      <c r="M1763">
        <v>89.37</v>
      </c>
      <c r="N1763">
        <v>595.78</v>
      </c>
      <c r="O1763">
        <v>506.41</v>
      </c>
      <c r="P1763" t="s">
        <v>2111</v>
      </c>
      <c r="Q1763" t="s">
        <v>1809</v>
      </c>
    </row>
    <row r="1764" spans="1:17" x14ac:dyDescent="0.3">
      <c r="A1764" t="s">
        <v>2473</v>
      </c>
      <c r="B1764" t="s">
        <v>2474</v>
      </c>
      <c r="C1764" s="1">
        <v>46159</v>
      </c>
      <c r="D1764" t="s">
        <v>26</v>
      </c>
      <c r="E1764" t="s">
        <v>17</v>
      </c>
      <c r="F1764" t="s">
        <v>22</v>
      </c>
      <c r="G1764" t="s">
        <v>96</v>
      </c>
      <c r="H1764" t="s">
        <v>97</v>
      </c>
      <c r="I1764" t="s">
        <v>58</v>
      </c>
      <c r="J1764">
        <v>7499</v>
      </c>
      <c r="K1764">
        <v>1</v>
      </c>
      <c r="L1764">
        <v>8201.83</v>
      </c>
      <c r="M1764">
        <v>820.18</v>
      </c>
      <c r="N1764">
        <v>8201.83</v>
      </c>
      <c r="O1764">
        <v>7381.65</v>
      </c>
      <c r="P1764" t="s">
        <v>2111</v>
      </c>
      <c r="Q1764" t="s">
        <v>1479</v>
      </c>
    </row>
    <row r="1765" spans="1:17" x14ac:dyDescent="0.3">
      <c r="A1765" t="s">
        <v>2865</v>
      </c>
      <c r="B1765" t="s">
        <v>2866</v>
      </c>
      <c r="C1765" s="1">
        <v>46050</v>
      </c>
      <c r="D1765" t="s">
        <v>41</v>
      </c>
      <c r="E1765" t="s">
        <v>50</v>
      </c>
      <c r="F1765" t="s">
        <v>60</v>
      </c>
      <c r="G1765" t="s">
        <v>80</v>
      </c>
      <c r="H1765" t="s">
        <v>81</v>
      </c>
      <c r="I1765" t="s">
        <v>82</v>
      </c>
      <c r="J1765">
        <v>4299</v>
      </c>
      <c r="K1765">
        <v>1</v>
      </c>
      <c r="L1765">
        <v>4532.7</v>
      </c>
      <c r="M1765">
        <v>679.9</v>
      </c>
      <c r="N1765">
        <v>4532.7</v>
      </c>
      <c r="O1765">
        <v>3852.8</v>
      </c>
      <c r="P1765" t="s">
        <v>2111</v>
      </c>
      <c r="Q1765" t="s">
        <v>23</v>
      </c>
    </row>
    <row r="1766" spans="1:17" x14ac:dyDescent="0.3">
      <c r="A1766" t="s">
        <v>1430</v>
      </c>
      <c r="B1766" t="s">
        <v>1429</v>
      </c>
      <c r="C1766" s="1">
        <v>46138</v>
      </c>
      <c r="D1766" t="s">
        <v>63</v>
      </c>
      <c r="E1766" t="s">
        <v>17</v>
      </c>
      <c r="F1766" t="s">
        <v>60</v>
      </c>
      <c r="G1766" t="s">
        <v>18</v>
      </c>
      <c r="H1766" t="s">
        <v>19</v>
      </c>
      <c r="I1766" t="s">
        <v>20</v>
      </c>
      <c r="J1766">
        <v>2799</v>
      </c>
      <c r="K1766">
        <v>2</v>
      </c>
      <c r="L1766">
        <v>3021.93</v>
      </c>
      <c r="M1766">
        <v>0</v>
      </c>
      <c r="N1766">
        <v>6043.86</v>
      </c>
      <c r="O1766">
        <v>6043.86</v>
      </c>
      <c r="P1766" t="s">
        <v>2111</v>
      </c>
      <c r="Q1766" t="s">
        <v>1170</v>
      </c>
    </row>
    <row r="1767" spans="1:17" x14ac:dyDescent="0.3">
      <c r="A1767" t="s">
        <v>679</v>
      </c>
      <c r="B1767" t="s">
        <v>678</v>
      </c>
      <c r="C1767" s="1">
        <v>46072</v>
      </c>
      <c r="D1767" t="s">
        <v>63</v>
      </c>
      <c r="E1767" t="s">
        <v>17</v>
      </c>
      <c r="F1767" t="s">
        <v>22</v>
      </c>
      <c r="G1767" t="s">
        <v>165</v>
      </c>
      <c r="H1767" t="s">
        <v>166</v>
      </c>
      <c r="I1767" t="s">
        <v>29</v>
      </c>
      <c r="J1767">
        <v>449</v>
      </c>
      <c r="K1767">
        <v>2</v>
      </c>
      <c r="L1767">
        <v>434.07</v>
      </c>
      <c r="M1767">
        <v>43.41</v>
      </c>
      <c r="N1767">
        <v>868.14</v>
      </c>
      <c r="O1767">
        <v>824.73</v>
      </c>
      <c r="P1767" t="s">
        <v>2111</v>
      </c>
      <c r="Q1767" t="s">
        <v>498</v>
      </c>
    </row>
    <row r="1768" spans="1:17" x14ac:dyDescent="0.3">
      <c r="A1768" t="s">
        <v>2768</v>
      </c>
      <c r="B1768" t="s">
        <v>2049</v>
      </c>
      <c r="C1768" s="1">
        <v>46032</v>
      </c>
      <c r="D1768" t="s">
        <v>34</v>
      </c>
      <c r="E1768" t="s">
        <v>50</v>
      </c>
      <c r="F1768" t="s">
        <v>31</v>
      </c>
      <c r="G1768" t="s">
        <v>160</v>
      </c>
      <c r="H1768" t="s">
        <v>161</v>
      </c>
      <c r="I1768" t="s">
        <v>82</v>
      </c>
      <c r="J1768">
        <v>799</v>
      </c>
      <c r="K1768">
        <v>1</v>
      </c>
      <c r="L1768">
        <v>877.63</v>
      </c>
      <c r="M1768">
        <v>131.63999999999999</v>
      </c>
      <c r="N1768">
        <v>877.63</v>
      </c>
      <c r="O1768">
        <v>745.99</v>
      </c>
      <c r="P1768" t="s">
        <v>2111</v>
      </c>
      <c r="Q1768" t="s">
        <v>23</v>
      </c>
    </row>
    <row r="1769" spans="1:17" x14ac:dyDescent="0.3">
      <c r="A1769" t="s">
        <v>2240</v>
      </c>
      <c r="B1769" t="s">
        <v>2241</v>
      </c>
      <c r="C1769" s="1">
        <v>46045</v>
      </c>
      <c r="D1769" t="s">
        <v>26</v>
      </c>
      <c r="E1769" t="s">
        <v>17</v>
      </c>
      <c r="F1769" t="s">
        <v>60</v>
      </c>
      <c r="G1769" t="s">
        <v>149</v>
      </c>
      <c r="H1769" t="s">
        <v>150</v>
      </c>
      <c r="I1769" t="s">
        <v>37</v>
      </c>
      <c r="J1769">
        <v>2999</v>
      </c>
      <c r="K1769">
        <v>2</v>
      </c>
      <c r="L1769">
        <v>2760.78</v>
      </c>
      <c r="M1769">
        <v>0</v>
      </c>
      <c r="N1769">
        <v>5521.56</v>
      </c>
      <c r="O1769">
        <v>5521.56</v>
      </c>
      <c r="P1769" t="s">
        <v>2114</v>
      </c>
      <c r="Q1769" t="s">
        <v>23</v>
      </c>
    </row>
    <row r="1770" spans="1:17" x14ac:dyDescent="0.3">
      <c r="A1770" t="s">
        <v>109</v>
      </c>
      <c r="B1770" t="s">
        <v>105</v>
      </c>
      <c r="C1770" s="1">
        <v>46026</v>
      </c>
      <c r="D1770" t="s">
        <v>16</v>
      </c>
      <c r="E1770" t="s">
        <v>17</v>
      </c>
      <c r="F1770" t="s">
        <v>22</v>
      </c>
      <c r="G1770" t="s">
        <v>86</v>
      </c>
      <c r="H1770" t="s">
        <v>87</v>
      </c>
      <c r="I1770" t="s">
        <v>82</v>
      </c>
      <c r="J1770">
        <v>3499</v>
      </c>
      <c r="K1770">
        <v>3</v>
      </c>
      <c r="L1770">
        <v>3186.17</v>
      </c>
      <c r="M1770">
        <v>0</v>
      </c>
      <c r="N1770">
        <v>9558.51</v>
      </c>
      <c r="O1770">
        <v>9558.51</v>
      </c>
      <c r="P1770" t="s">
        <v>2111</v>
      </c>
      <c r="Q1770" t="s">
        <v>23</v>
      </c>
    </row>
    <row r="1771" spans="1:17" x14ac:dyDescent="0.3">
      <c r="A1771" t="s">
        <v>930</v>
      </c>
      <c r="B1771" t="s">
        <v>929</v>
      </c>
      <c r="C1771" s="1">
        <v>46091</v>
      </c>
      <c r="D1771" t="s">
        <v>16</v>
      </c>
      <c r="E1771" t="s">
        <v>17</v>
      </c>
      <c r="F1771" t="s">
        <v>22</v>
      </c>
      <c r="G1771" t="s">
        <v>165</v>
      </c>
      <c r="H1771" t="s">
        <v>166</v>
      </c>
      <c r="I1771" t="s">
        <v>29</v>
      </c>
      <c r="J1771">
        <v>449</v>
      </c>
      <c r="K1771">
        <v>1</v>
      </c>
      <c r="L1771">
        <v>480.93</v>
      </c>
      <c r="M1771">
        <v>96.19</v>
      </c>
      <c r="N1771">
        <v>480.93</v>
      </c>
      <c r="O1771">
        <v>384.74</v>
      </c>
      <c r="P1771" t="s">
        <v>2111</v>
      </c>
      <c r="Q1771" t="s">
        <v>789</v>
      </c>
    </row>
    <row r="1772" spans="1:17" x14ac:dyDescent="0.3">
      <c r="A1772" t="s">
        <v>2496</v>
      </c>
      <c r="B1772" t="s">
        <v>2497</v>
      </c>
      <c r="C1772" s="1">
        <v>46024</v>
      </c>
      <c r="D1772" t="s">
        <v>16</v>
      </c>
      <c r="E1772" t="s">
        <v>50</v>
      </c>
      <c r="F1772" t="s">
        <v>31</v>
      </c>
      <c r="G1772" t="s">
        <v>191</v>
      </c>
      <c r="H1772" t="s">
        <v>192</v>
      </c>
      <c r="I1772" t="s">
        <v>45</v>
      </c>
      <c r="J1772">
        <v>699</v>
      </c>
      <c r="K1772">
        <v>1</v>
      </c>
      <c r="L1772">
        <v>758.73</v>
      </c>
      <c r="M1772">
        <v>113.81</v>
      </c>
      <c r="N1772">
        <v>758.73</v>
      </c>
      <c r="O1772">
        <v>644.91999999999996</v>
      </c>
      <c r="P1772" t="s">
        <v>2111</v>
      </c>
      <c r="Q1772" t="s">
        <v>23</v>
      </c>
    </row>
    <row r="1773" spans="1:17" x14ac:dyDescent="0.3">
      <c r="A1773" t="s">
        <v>720</v>
      </c>
      <c r="B1773" t="s">
        <v>485</v>
      </c>
      <c r="C1773" s="1">
        <v>46075</v>
      </c>
      <c r="D1773" t="s">
        <v>34</v>
      </c>
      <c r="E1773" t="s">
        <v>17</v>
      </c>
      <c r="F1773" t="s">
        <v>60</v>
      </c>
      <c r="G1773" t="s">
        <v>191</v>
      </c>
      <c r="H1773" t="s">
        <v>192</v>
      </c>
      <c r="I1773" t="s">
        <v>45</v>
      </c>
      <c r="J1773">
        <v>699</v>
      </c>
      <c r="K1773">
        <v>1</v>
      </c>
      <c r="L1773">
        <v>641.76</v>
      </c>
      <c r="M1773">
        <v>32.090000000000003</v>
      </c>
      <c r="N1773">
        <v>641.76</v>
      </c>
      <c r="O1773">
        <v>609.66999999999996</v>
      </c>
      <c r="P1773" t="s">
        <v>2111</v>
      </c>
      <c r="Q1773" t="s">
        <v>498</v>
      </c>
    </row>
    <row r="1774" spans="1:17" x14ac:dyDescent="0.3">
      <c r="A1774" t="s">
        <v>2164</v>
      </c>
      <c r="B1774" t="s">
        <v>2165</v>
      </c>
      <c r="C1774" s="1">
        <v>46090</v>
      </c>
      <c r="D1774" t="s">
        <v>16</v>
      </c>
      <c r="E1774" t="s">
        <v>17</v>
      </c>
      <c r="F1774" t="s">
        <v>31</v>
      </c>
      <c r="G1774" t="s">
        <v>43</v>
      </c>
      <c r="H1774" t="s">
        <v>44</v>
      </c>
      <c r="I1774" t="s">
        <v>45</v>
      </c>
      <c r="J1774">
        <v>3299</v>
      </c>
      <c r="K1774">
        <v>1</v>
      </c>
      <c r="L1774">
        <v>3043.94</v>
      </c>
      <c r="M1774">
        <v>456.59</v>
      </c>
      <c r="N1774">
        <v>3043.94</v>
      </c>
      <c r="O1774">
        <v>2587.35</v>
      </c>
      <c r="P1774" t="s">
        <v>2111</v>
      </c>
      <c r="Q1774" t="s">
        <v>789</v>
      </c>
    </row>
    <row r="1775" spans="1:17" x14ac:dyDescent="0.3">
      <c r="A1775" t="s">
        <v>2259</v>
      </c>
      <c r="B1775" t="s">
        <v>2260</v>
      </c>
      <c r="C1775" s="1">
        <v>46200</v>
      </c>
      <c r="D1775" t="s">
        <v>16</v>
      </c>
      <c r="E1775" t="s">
        <v>17</v>
      </c>
      <c r="F1775" t="s">
        <v>47</v>
      </c>
      <c r="G1775" t="s">
        <v>80</v>
      </c>
      <c r="H1775" t="s">
        <v>81</v>
      </c>
      <c r="I1775" t="s">
        <v>82</v>
      </c>
      <c r="J1775">
        <v>4299</v>
      </c>
      <c r="K1775">
        <v>2</v>
      </c>
      <c r="L1775">
        <v>3897.62</v>
      </c>
      <c r="M1775">
        <v>1169.29</v>
      </c>
      <c r="N1775">
        <v>7795.24</v>
      </c>
      <c r="O1775">
        <v>6625.95</v>
      </c>
      <c r="P1775" t="s">
        <v>2111</v>
      </c>
      <c r="Q1775" t="s">
        <v>1809</v>
      </c>
    </row>
    <row r="1776" spans="1:17" x14ac:dyDescent="0.3">
      <c r="A1776" t="s">
        <v>413</v>
      </c>
      <c r="B1776" t="s">
        <v>412</v>
      </c>
      <c r="C1776" s="1">
        <v>46046</v>
      </c>
      <c r="D1776" t="s">
        <v>16</v>
      </c>
      <c r="E1776" t="s">
        <v>17</v>
      </c>
      <c r="F1776" t="s">
        <v>60</v>
      </c>
      <c r="G1776" t="s">
        <v>43</v>
      </c>
      <c r="H1776" t="s">
        <v>44</v>
      </c>
      <c r="I1776" t="s">
        <v>45</v>
      </c>
      <c r="J1776">
        <v>3299</v>
      </c>
      <c r="K1776">
        <v>2</v>
      </c>
      <c r="L1776">
        <v>3038.05</v>
      </c>
      <c r="M1776">
        <v>303.8</v>
      </c>
      <c r="N1776">
        <v>6076.1</v>
      </c>
      <c r="O1776">
        <v>5772.3</v>
      </c>
      <c r="P1776" t="s">
        <v>2111</v>
      </c>
      <c r="Q1776" t="s">
        <v>23</v>
      </c>
    </row>
    <row r="1777" spans="1:17" x14ac:dyDescent="0.3">
      <c r="A1777" t="s">
        <v>1657</v>
      </c>
      <c r="B1777" t="s">
        <v>1656</v>
      </c>
      <c r="C1777" s="1">
        <v>46157</v>
      </c>
      <c r="D1777" t="s">
        <v>34</v>
      </c>
      <c r="E1777" t="s">
        <v>17</v>
      </c>
      <c r="F1777" t="s">
        <v>60</v>
      </c>
      <c r="G1777" t="s">
        <v>27</v>
      </c>
      <c r="H1777" t="s">
        <v>28</v>
      </c>
      <c r="I1777" t="s">
        <v>29</v>
      </c>
      <c r="J1777">
        <v>1599</v>
      </c>
      <c r="K1777">
        <v>1</v>
      </c>
      <c r="L1777">
        <v>1506.07</v>
      </c>
      <c r="M1777">
        <v>0</v>
      </c>
      <c r="N1777">
        <v>1506.07</v>
      </c>
      <c r="O1777">
        <v>1506.07</v>
      </c>
      <c r="P1777" t="s">
        <v>2111</v>
      </c>
      <c r="Q1777" t="s">
        <v>1479</v>
      </c>
    </row>
    <row r="1778" spans="1:17" x14ac:dyDescent="0.3">
      <c r="A1778" t="s">
        <v>2839</v>
      </c>
      <c r="B1778" t="s">
        <v>2437</v>
      </c>
      <c r="C1778" s="1">
        <v>46025</v>
      </c>
      <c r="D1778" t="s">
        <v>63</v>
      </c>
      <c r="E1778" t="s">
        <v>17</v>
      </c>
      <c r="F1778" t="s">
        <v>31</v>
      </c>
      <c r="G1778" t="s">
        <v>27</v>
      </c>
      <c r="H1778" t="s">
        <v>28</v>
      </c>
      <c r="I1778" t="s">
        <v>29</v>
      </c>
      <c r="J1778">
        <v>1599</v>
      </c>
      <c r="K1778">
        <v>2</v>
      </c>
      <c r="L1778">
        <v>1749.33</v>
      </c>
      <c r="M1778">
        <v>699.73</v>
      </c>
      <c r="N1778">
        <v>3498.66</v>
      </c>
      <c r="O1778">
        <v>2798.93</v>
      </c>
      <c r="P1778" t="s">
        <v>2114</v>
      </c>
      <c r="Q1778" t="s">
        <v>23</v>
      </c>
    </row>
    <row r="1779" spans="1:17" x14ac:dyDescent="0.3">
      <c r="A1779" t="s">
        <v>2867</v>
      </c>
      <c r="B1779" t="s">
        <v>1053</v>
      </c>
      <c r="C1779" s="1">
        <v>46053</v>
      </c>
      <c r="D1779" t="s">
        <v>34</v>
      </c>
      <c r="E1779" t="s">
        <v>17</v>
      </c>
      <c r="F1779" t="s">
        <v>60</v>
      </c>
      <c r="G1779" t="s">
        <v>355</v>
      </c>
      <c r="H1779" t="s">
        <v>356</v>
      </c>
      <c r="I1779" t="s">
        <v>82</v>
      </c>
      <c r="J1779">
        <v>499</v>
      </c>
      <c r="K1779">
        <v>2</v>
      </c>
      <c r="L1779">
        <v>515.75</v>
      </c>
      <c r="M1779">
        <v>51.58</v>
      </c>
      <c r="N1779">
        <v>1031.5</v>
      </c>
      <c r="O1779">
        <v>979.92</v>
      </c>
      <c r="P1779" t="s">
        <v>2111</v>
      </c>
      <c r="Q1779" t="s">
        <v>23</v>
      </c>
    </row>
    <row r="1780" spans="1:17" x14ac:dyDescent="0.3">
      <c r="A1780" t="s">
        <v>2671</v>
      </c>
      <c r="B1780" t="s">
        <v>1236</v>
      </c>
      <c r="C1780" s="1">
        <v>46138</v>
      </c>
      <c r="D1780" t="s">
        <v>16</v>
      </c>
      <c r="E1780" t="s">
        <v>17</v>
      </c>
      <c r="F1780" t="s">
        <v>22</v>
      </c>
      <c r="G1780" t="s">
        <v>101</v>
      </c>
      <c r="H1780" t="s">
        <v>102</v>
      </c>
      <c r="I1780" t="s">
        <v>45</v>
      </c>
      <c r="J1780">
        <v>4999</v>
      </c>
      <c r="K1780">
        <v>3</v>
      </c>
      <c r="L1780">
        <v>5277.5</v>
      </c>
      <c r="M1780">
        <v>0</v>
      </c>
      <c r="N1780">
        <v>15832.5</v>
      </c>
      <c r="O1780">
        <v>15832.5</v>
      </c>
      <c r="P1780" t="s">
        <v>2111</v>
      </c>
      <c r="Q1780" t="s">
        <v>1170</v>
      </c>
    </row>
    <row r="1781" spans="1:17" x14ac:dyDescent="0.3">
      <c r="A1781" t="s">
        <v>2109</v>
      </c>
      <c r="B1781" t="s">
        <v>2110</v>
      </c>
      <c r="C1781" s="1">
        <v>46182</v>
      </c>
      <c r="D1781" t="s">
        <v>16</v>
      </c>
      <c r="E1781" t="s">
        <v>17</v>
      </c>
      <c r="F1781" t="s">
        <v>74</v>
      </c>
      <c r="G1781" t="s">
        <v>51</v>
      </c>
      <c r="H1781" t="s">
        <v>52</v>
      </c>
      <c r="I1781" t="s">
        <v>20</v>
      </c>
      <c r="J1781">
        <v>999</v>
      </c>
      <c r="K1781">
        <v>1</v>
      </c>
      <c r="L1781">
        <v>1054.17</v>
      </c>
      <c r="M1781">
        <v>105.42</v>
      </c>
      <c r="N1781">
        <v>1054.17</v>
      </c>
      <c r="O1781">
        <v>948.75</v>
      </c>
      <c r="P1781" t="s">
        <v>2111</v>
      </c>
      <c r="Q1781" t="s">
        <v>1809</v>
      </c>
    </row>
    <row r="1782" spans="1:17" x14ac:dyDescent="0.3">
      <c r="A1782" t="s">
        <v>2654</v>
      </c>
      <c r="B1782" t="s">
        <v>2212</v>
      </c>
      <c r="C1782" s="1">
        <v>46061</v>
      </c>
      <c r="D1782" t="s">
        <v>63</v>
      </c>
      <c r="E1782" t="s">
        <v>50</v>
      </c>
      <c r="F1782" t="s">
        <v>60</v>
      </c>
      <c r="G1782" t="s">
        <v>86</v>
      </c>
      <c r="H1782" t="s">
        <v>87</v>
      </c>
      <c r="I1782" t="s">
        <v>82</v>
      </c>
      <c r="J1782">
        <v>3499</v>
      </c>
      <c r="K1782">
        <v>3</v>
      </c>
      <c r="L1782">
        <v>3523.54</v>
      </c>
      <c r="M1782">
        <v>1585.59</v>
      </c>
      <c r="N1782">
        <v>10570.62</v>
      </c>
      <c r="O1782">
        <v>8985.0300000000007</v>
      </c>
      <c r="P1782" t="s">
        <v>2111</v>
      </c>
      <c r="Q1782" t="s">
        <v>498</v>
      </c>
    </row>
    <row r="1783" spans="1:17" x14ac:dyDescent="0.3">
      <c r="A1783" t="s">
        <v>1590</v>
      </c>
      <c r="B1783" t="s">
        <v>1589</v>
      </c>
      <c r="C1783" s="1">
        <v>46152</v>
      </c>
      <c r="D1783" t="s">
        <v>34</v>
      </c>
      <c r="E1783" t="s">
        <v>50</v>
      </c>
      <c r="F1783" t="s">
        <v>74</v>
      </c>
      <c r="G1783" t="s">
        <v>250</v>
      </c>
      <c r="H1783" t="s">
        <v>251</v>
      </c>
      <c r="I1783" t="s">
        <v>108</v>
      </c>
      <c r="J1783">
        <v>899</v>
      </c>
      <c r="K1783">
        <v>1</v>
      </c>
      <c r="L1783">
        <v>952.49</v>
      </c>
      <c r="M1783">
        <v>47.62</v>
      </c>
      <c r="N1783">
        <v>952.49</v>
      </c>
      <c r="O1783">
        <v>904.87</v>
      </c>
      <c r="P1783" t="s">
        <v>2111</v>
      </c>
      <c r="Q1783" t="s">
        <v>1479</v>
      </c>
    </row>
    <row r="1784" spans="1:17" x14ac:dyDescent="0.3">
      <c r="A1784" t="s">
        <v>1404</v>
      </c>
      <c r="B1784" t="s">
        <v>1403</v>
      </c>
      <c r="C1784" s="1">
        <v>46136</v>
      </c>
      <c r="D1784" t="s">
        <v>26</v>
      </c>
      <c r="E1784" t="s">
        <v>50</v>
      </c>
      <c r="F1784" t="s">
        <v>31</v>
      </c>
      <c r="G1784" t="s">
        <v>51</v>
      </c>
      <c r="H1784" t="s">
        <v>52</v>
      </c>
      <c r="I1784" t="s">
        <v>20</v>
      </c>
      <c r="J1784">
        <v>999</v>
      </c>
      <c r="K1784">
        <v>1</v>
      </c>
      <c r="L1784">
        <v>1018.14</v>
      </c>
      <c r="M1784">
        <v>50.91</v>
      </c>
      <c r="N1784">
        <v>1018.14</v>
      </c>
      <c r="O1784">
        <v>967.23</v>
      </c>
      <c r="P1784" t="s">
        <v>2111</v>
      </c>
      <c r="Q1784" t="s">
        <v>1170</v>
      </c>
    </row>
    <row r="1785" spans="1:17" x14ac:dyDescent="0.3">
      <c r="A1785" t="s">
        <v>2434</v>
      </c>
      <c r="B1785" t="s">
        <v>2435</v>
      </c>
      <c r="C1785" s="1">
        <v>46087</v>
      </c>
      <c r="D1785" t="s">
        <v>41</v>
      </c>
      <c r="E1785" t="s">
        <v>17</v>
      </c>
      <c r="F1785" t="s">
        <v>31</v>
      </c>
      <c r="G1785" t="s">
        <v>80</v>
      </c>
      <c r="H1785" t="s">
        <v>81</v>
      </c>
      <c r="I1785" t="s">
        <v>82</v>
      </c>
      <c r="J1785">
        <v>4299</v>
      </c>
      <c r="K1785">
        <v>1</v>
      </c>
      <c r="L1785">
        <v>4139.55</v>
      </c>
      <c r="M1785">
        <v>206.98</v>
      </c>
      <c r="N1785">
        <v>4139.55</v>
      </c>
      <c r="O1785">
        <v>3932.57</v>
      </c>
      <c r="P1785" t="s">
        <v>2111</v>
      </c>
      <c r="Q1785" t="s">
        <v>789</v>
      </c>
    </row>
    <row r="1786" spans="1:17" x14ac:dyDescent="0.3">
      <c r="A1786" t="s">
        <v>2091</v>
      </c>
      <c r="B1786" t="s">
        <v>1570</v>
      </c>
      <c r="C1786" s="1">
        <v>46203</v>
      </c>
      <c r="D1786" t="s">
        <v>34</v>
      </c>
      <c r="E1786" t="s">
        <v>50</v>
      </c>
      <c r="F1786" t="s">
        <v>74</v>
      </c>
      <c r="G1786" t="s">
        <v>43</v>
      </c>
      <c r="H1786" t="s">
        <v>44</v>
      </c>
      <c r="I1786" t="s">
        <v>45</v>
      </c>
      <c r="J1786">
        <v>3299</v>
      </c>
      <c r="K1786">
        <v>1</v>
      </c>
      <c r="L1786">
        <v>3339.32</v>
      </c>
      <c r="M1786">
        <v>834.83</v>
      </c>
      <c r="N1786">
        <v>3339.32</v>
      </c>
      <c r="O1786">
        <v>2504.4899999999998</v>
      </c>
      <c r="P1786" t="s">
        <v>2111</v>
      </c>
      <c r="Q1786" t="s">
        <v>1809</v>
      </c>
    </row>
    <row r="1787" spans="1:17" x14ac:dyDescent="0.3">
      <c r="A1787" t="s">
        <v>1141</v>
      </c>
      <c r="B1787" t="s">
        <v>1140</v>
      </c>
      <c r="C1787" s="1">
        <v>46109</v>
      </c>
      <c r="D1787" t="s">
        <v>63</v>
      </c>
      <c r="E1787" t="s">
        <v>17</v>
      </c>
      <c r="F1787" t="s">
        <v>22</v>
      </c>
      <c r="G1787" t="s">
        <v>51</v>
      </c>
      <c r="H1787" t="s">
        <v>52</v>
      </c>
      <c r="I1787" t="s">
        <v>20</v>
      </c>
      <c r="J1787">
        <v>999</v>
      </c>
      <c r="K1787">
        <v>2</v>
      </c>
      <c r="L1787">
        <v>1005.7</v>
      </c>
      <c r="M1787">
        <v>0</v>
      </c>
      <c r="N1787">
        <v>2011.4</v>
      </c>
      <c r="O1787">
        <v>2011.4</v>
      </c>
      <c r="P1787" t="s">
        <v>2111</v>
      </c>
      <c r="Q1787" t="s">
        <v>789</v>
      </c>
    </row>
    <row r="1788" spans="1:17" x14ac:dyDescent="0.3">
      <c r="A1788" t="s">
        <v>1879</v>
      </c>
      <c r="B1788" t="s">
        <v>1878</v>
      </c>
      <c r="C1788" s="1">
        <v>46178</v>
      </c>
      <c r="D1788" t="s">
        <v>34</v>
      </c>
      <c r="E1788" t="s">
        <v>50</v>
      </c>
      <c r="F1788" t="s">
        <v>31</v>
      </c>
      <c r="G1788" t="s">
        <v>101</v>
      </c>
      <c r="H1788" t="s">
        <v>102</v>
      </c>
      <c r="I1788" t="s">
        <v>45</v>
      </c>
      <c r="J1788">
        <v>4999</v>
      </c>
      <c r="K1788">
        <v>1</v>
      </c>
      <c r="L1788">
        <v>5322.39</v>
      </c>
      <c r="M1788">
        <v>532.24</v>
      </c>
      <c r="N1788">
        <v>5322.39</v>
      </c>
      <c r="O1788">
        <v>4790.1499999999996</v>
      </c>
      <c r="P1788" t="s">
        <v>2111</v>
      </c>
      <c r="Q1788" t="s">
        <v>1809</v>
      </c>
    </row>
    <row r="1789" spans="1:17" x14ac:dyDescent="0.3">
      <c r="A1789" t="s">
        <v>517</v>
      </c>
      <c r="B1789" t="s">
        <v>479</v>
      </c>
      <c r="C1789" s="1">
        <v>46056</v>
      </c>
      <c r="D1789" t="s">
        <v>26</v>
      </c>
      <c r="E1789" t="s">
        <v>50</v>
      </c>
      <c r="F1789" t="s">
        <v>60</v>
      </c>
      <c r="G1789" t="s">
        <v>27</v>
      </c>
      <c r="H1789" t="s">
        <v>28</v>
      </c>
      <c r="I1789" t="s">
        <v>29</v>
      </c>
      <c r="J1789">
        <v>1599</v>
      </c>
      <c r="K1789">
        <v>1</v>
      </c>
      <c r="L1789">
        <v>1753.06</v>
      </c>
      <c r="M1789">
        <v>350.61</v>
      </c>
      <c r="N1789">
        <v>1753.06</v>
      </c>
      <c r="O1789">
        <v>1402.45</v>
      </c>
      <c r="P1789" t="s">
        <v>2111</v>
      </c>
      <c r="Q1789" t="s">
        <v>498</v>
      </c>
    </row>
    <row r="1790" spans="1:17" x14ac:dyDescent="0.3">
      <c r="A1790" t="s">
        <v>1830</v>
      </c>
      <c r="B1790" t="s">
        <v>1107</v>
      </c>
      <c r="C1790" s="1">
        <v>46175</v>
      </c>
      <c r="D1790" t="s">
        <v>16</v>
      </c>
      <c r="E1790" t="s">
        <v>17</v>
      </c>
      <c r="F1790" t="s">
        <v>31</v>
      </c>
      <c r="G1790" t="s">
        <v>101</v>
      </c>
      <c r="H1790" t="s">
        <v>102</v>
      </c>
      <c r="I1790" t="s">
        <v>45</v>
      </c>
      <c r="J1790">
        <v>4999</v>
      </c>
      <c r="K1790">
        <v>1</v>
      </c>
      <c r="L1790">
        <v>4910.0600000000004</v>
      </c>
      <c r="M1790">
        <v>0</v>
      </c>
      <c r="N1790">
        <v>4910.0600000000004</v>
      </c>
      <c r="O1790">
        <v>4910.0600000000004</v>
      </c>
      <c r="P1790" t="s">
        <v>2114</v>
      </c>
      <c r="Q1790" t="s">
        <v>1809</v>
      </c>
    </row>
    <row r="1791" spans="1:17" x14ac:dyDescent="0.3">
      <c r="A1791" t="s">
        <v>73</v>
      </c>
      <c r="B1791" t="s">
        <v>72</v>
      </c>
      <c r="C1791" s="1">
        <v>46024</v>
      </c>
      <c r="D1791" t="s">
        <v>63</v>
      </c>
      <c r="E1791" t="s">
        <v>42</v>
      </c>
      <c r="F1791" t="s">
        <v>22</v>
      </c>
      <c r="G1791" t="s">
        <v>160</v>
      </c>
      <c r="H1791" t="s">
        <v>161</v>
      </c>
      <c r="I1791" t="s">
        <v>82</v>
      </c>
      <c r="J1791">
        <v>799</v>
      </c>
      <c r="K1791">
        <v>2</v>
      </c>
      <c r="L1791">
        <v>841.09</v>
      </c>
      <c r="M1791">
        <v>420.54</v>
      </c>
      <c r="N1791">
        <v>1682.18</v>
      </c>
      <c r="O1791">
        <v>1261.6400000000001</v>
      </c>
      <c r="P1791" t="s">
        <v>2111</v>
      </c>
      <c r="Q1791" t="s">
        <v>23</v>
      </c>
    </row>
    <row r="1792" spans="1:17" x14ac:dyDescent="0.3">
      <c r="A1792" t="s">
        <v>883</v>
      </c>
      <c r="B1792" t="s">
        <v>882</v>
      </c>
      <c r="C1792" s="1">
        <v>46088</v>
      </c>
      <c r="D1792" t="s">
        <v>16</v>
      </c>
      <c r="E1792" t="s">
        <v>17</v>
      </c>
      <c r="F1792" t="s">
        <v>47</v>
      </c>
      <c r="G1792" t="s">
        <v>96</v>
      </c>
      <c r="H1792" t="s">
        <v>97</v>
      </c>
      <c r="I1792" t="s">
        <v>58</v>
      </c>
      <c r="J1792">
        <v>7499</v>
      </c>
      <c r="K1792">
        <v>1</v>
      </c>
      <c r="L1792">
        <v>6898.72</v>
      </c>
      <c r="M1792">
        <v>1379.74</v>
      </c>
      <c r="N1792">
        <v>6898.72</v>
      </c>
      <c r="O1792">
        <v>5518.98</v>
      </c>
      <c r="P1792" t="s">
        <v>2111</v>
      </c>
      <c r="Q1792" t="s">
        <v>789</v>
      </c>
    </row>
    <row r="1793" spans="1:17" x14ac:dyDescent="0.3">
      <c r="A1793" t="s">
        <v>2868</v>
      </c>
      <c r="B1793" t="s">
        <v>2576</v>
      </c>
      <c r="C1793" s="1">
        <v>46168</v>
      </c>
      <c r="D1793" t="s">
        <v>34</v>
      </c>
      <c r="E1793" t="s">
        <v>50</v>
      </c>
      <c r="F1793" t="s">
        <v>47</v>
      </c>
      <c r="G1793" t="s">
        <v>165</v>
      </c>
      <c r="H1793" t="s">
        <v>166</v>
      </c>
      <c r="I1793" t="s">
        <v>29</v>
      </c>
      <c r="J1793">
        <v>449</v>
      </c>
      <c r="K1793">
        <v>2</v>
      </c>
      <c r="L1793">
        <v>473.86</v>
      </c>
      <c r="M1793">
        <v>189.54</v>
      </c>
      <c r="N1793">
        <v>947.72</v>
      </c>
      <c r="O1793">
        <v>758.18</v>
      </c>
      <c r="P1793" t="s">
        <v>2111</v>
      </c>
      <c r="Q1793" t="s">
        <v>1479</v>
      </c>
    </row>
    <row r="1794" spans="1:17" x14ac:dyDescent="0.3">
      <c r="A1794" t="s">
        <v>2828</v>
      </c>
      <c r="B1794" t="s">
        <v>1819</v>
      </c>
      <c r="C1794" s="1">
        <v>46098</v>
      </c>
      <c r="D1794" t="s">
        <v>26</v>
      </c>
      <c r="E1794" t="s">
        <v>50</v>
      </c>
      <c r="F1794" t="s">
        <v>60</v>
      </c>
      <c r="G1794" t="s">
        <v>80</v>
      </c>
      <c r="H1794" t="s">
        <v>81</v>
      </c>
      <c r="I1794" t="s">
        <v>82</v>
      </c>
      <c r="J1794">
        <v>4299</v>
      </c>
      <c r="K1794">
        <v>1</v>
      </c>
      <c r="L1794">
        <v>4188.4399999999996</v>
      </c>
      <c r="M1794">
        <v>209.42</v>
      </c>
      <c r="N1794">
        <v>4188.4399999999996</v>
      </c>
      <c r="O1794">
        <v>3979.02</v>
      </c>
      <c r="P1794" t="s">
        <v>2111</v>
      </c>
      <c r="Q1794" t="s">
        <v>789</v>
      </c>
    </row>
    <row r="1795" spans="1:17" x14ac:dyDescent="0.3">
      <c r="A1795" t="s">
        <v>2299</v>
      </c>
      <c r="B1795" t="s">
        <v>2300</v>
      </c>
      <c r="C1795" s="1">
        <v>46138</v>
      </c>
      <c r="D1795" t="s">
        <v>26</v>
      </c>
      <c r="E1795" t="s">
        <v>17</v>
      </c>
      <c r="F1795" t="s">
        <v>47</v>
      </c>
      <c r="G1795" t="s">
        <v>91</v>
      </c>
      <c r="H1795" t="s">
        <v>92</v>
      </c>
      <c r="I1795" t="s">
        <v>37</v>
      </c>
      <c r="J1795">
        <v>1899</v>
      </c>
      <c r="K1795">
        <v>1</v>
      </c>
      <c r="L1795">
        <v>1724.06</v>
      </c>
      <c r="M1795">
        <v>258.61</v>
      </c>
      <c r="N1795">
        <v>1724.06</v>
      </c>
      <c r="O1795">
        <v>1465.45</v>
      </c>
      <c r="P1795" t="s">
        <v>2111</v>
      </c>
      <c r="Q1795" t="s">
        <v>1170</v>
      </c>
    </row>
    <row r="1796" spans="1:17" x14ac:dyDescent="0.3">
      <c r="A1796" t="s">
        <v>844</v>
      </c>
      <c r="B1796" t="s">
        <v>843</v>
      </c>
      <c r="C1796" s="1">
        <v>46085</v>
      </c>
      <c r="D1796" t="s">
        <v>34</v>
      </c>
      <c r="E1796" t="s">
        <v>42</v>
      </c>
      <c r="F1796" t="s">
        <v>31</v>
      </c>
      <c r="G1796" t="s">
        <v>35</v>
      </c>
      <c r="H1796" t="s">
        <v>36</v>
      </c>
      <c r="I1796" t="s">
        <v>37</v>
      </c>
      <c r="J1796">
        <v>799</v>
      </c>
      <c r="K1796">
        <v>1</v>
      </c>
      <c r="L1796">
        <v>777.15</v>
      </c>
      <c r="M1796">
        <v>116.57</v>
      </c>
      <c r="N1796">
        <v>777.15</v>
      </c>
      <c r="O1796">
        <v>660.58</v>
      </c>
      <c r="P1796" t="s">
        <v>2114</v>
      </c>
      <c r="Q1796" t="s">
        <v>789</v>
      </c>
    </row>
    <row r="1797" spans="1:17" x14ac:dyDescent="0.3">
      <c r="A1797" t="s">
        <v>2608</v>
      </c>
      <c r="B1797" t="s">
        <v>133</v>
      </c>
      <c r="C1797" s="1">
        <v>46127</v>
      </c>
      <c r="D1797" t="s">
        <v>26</v>
      </c>
      <c r="E1797" t="s">
        <v>50</v>
      </c>
      <c r="F1797" t="s">
        <v>60</v>
      </c>
      <c r="G1797" t="s">
        <v>27</v>
      </c>
      <c r="H1797" t="s">
        <v>28</v>
      </c>
      <c r="I1797" t="s">
        <v>29</v>
      </c>
      <c r="J1797">
        <v>1599</v>
      </c>
      <c r="K1797">
        <v>1</v>
      </c>
      <c r="L1797">
        <v>1634.38</v>
      </c>
      <c r="M1797">
        <v>408.6</v>
      </c>
      <c r="N1797">
        <v>1634.38</v>
      </c>
      <c r="O1797">
        <v>1225.78</v>
      </c>
      <c r="P1797" t="s">
        <v>2111</v>
      </c>
      <c r="Q1797" t="s">
        <v>1170</v>
      </c>
    </row>
    <row r="1798" spans="1:17" x14ac:dyDescent="0.3">
      <c r="A1798" t="s">
        <v>2251</v>
      </c>
      <c r="B1798" t="s">
        <v>1216</v>
      </c>
      <c r="C1798" s="1">
        <v>46084</v>
      </c>
      <c r="D1798" t="s">
        <v>26</v>
      </c>
      <c r="E1798" t="s">
        <v>17</v>
      </c>
      <c r="F1798" t="s">
        <v>60</v>
      </c>
      <c r="G1798" t="s">
        <v>250</v>
      </c>
      <c r="H1798" t="s">
        <v>251</v>
      </c>
      <c r="I1798" t="s">
        <v>108</v>
      </c>
      <c r="J1798">
        <v>899</v>
      </c>
      <c r="K1798">
        <v>1</v>
      </c>
      <c r="L1798">
        <v>830.54</v>
      </c>
      <c r="M1798">
        <v>0</v>
      </c>
      <c r="N1798">
        <v>830.54</v>
      </c>
      <c r="O1798">
        <v>830.54</v>
      </c>
      <c r="P1798" t="s">
        <v>2111</v>
      </c>
      <c r="Q1798" t="s">
        <v>789</v>
      </c>
    </row>
    <row r="1799" spans="1:17" x14ac:dyDescent="0.3">
      <c r="A1799" t="s">
        <v>1488</v>
      </c>
      <c r="B1799" t="s">
        <v>1487</v>
      </c>
      <c r="C1799" s="1">
        <v>46144</v>
      </c>
      <c r="D1799" t="s">
        <v>63</v>
      </c>
      <c r="E1799" t="s">
        <v>42</v>
      </c>
      <c r="F1799" t="s">
        <v>47</v>
      </c>
      <c r="G1799" t="s">
        <v>27</v>
      </c>
      <c r="H1799" t="s">
        <v>28</v>
      </c>
      <c r="I1799" t="s">
        <v>29</v>
      </c>
      <c r="J1799">
        <v>1599</v>
      </c>
      <c r="K1799">
        <v>1</v>
      </c>
      <c r="L1799">
        <v>1734.61</v>
      </c>
      <c r="M1799">
        <v>260.19</v>
      </c>
      <c r="N1799">
        <v>1734.61</v>
      </c>
      <c r="O1799">
        <v>1474.42</v>
      </c>
      <c r="P1799" t="s">
        <v>2111</v>
      </c>
      <c r="Q1799" t="s">
        <v>1479</v>
      </c>
    </row>
    <row r="1800" spans="1:17" x14ac:dyDescent="0.3">
      <c r="A1800" t="s">
        <v>2869</v>
      </c>
      <c r="B1800" t="s">
        <v>2002</v>
      </c>
      <c r="C1800" s="1">
        <v>46125</v>
      </c>
      <c r="D1800" t="s">
        <v>34</v>
      </c>
      <c r="E1800" t="s">
        <v>17</v>
      </c>
      <c r="F1800" t="s">
        <v>47</v>
      </c>
      <c r="G1800" t="s">
        <v>149</v>
      </c>
      <c r="H1800" t="s">
        <v>150</v>
      </c>
      <c r="I1800" t="s">
        <v>37</v>
      </c>
      <c r="J1800">
        <v>2999</v>
      </c>
      <c r="K1800">
        <v>4</v>
      </c>
      <c r="L1800">
        <v>2745.69</v>
      </c>
      <c r="M1800">
        <v>549.14</v>
      </c>
      <c r="N1800">
        <v>10982.76</v>
      </c>
      <c r="O1800">
        <v>10433.620000000001</v>
      </c>
      <c r="P1800" t="s">
        <v>2111</v>
      </c>
      <c r="Q1800" t="s">
        <v>1170</v>
      </c>
    </row>
    <row r="1801" spans="1:17" x14ac:dyDescent="0.3">
      <c r="A1801" t="s">
        <v>2870</v>
      </c>
      <c r="B1801" t="s">
        <v>2871</v>
      </c>
      <c r="C1801" s="1">
        <v>46145</v>
      </c>
      <c r="D1801" t="s">
        <v>34</v>
      </c>
      <c r="E1801" t="s">
        <v>17</v>
      </c>
      <c r="F1801" t="s">
        <v>22</v>
      </c>
      <c r="G1801" t="s">
        <v>35</v>
      </c>
      <c r="H1801" t="s">
        <v>36</v>
      </c>
      <c r="I1801" t="s">
        <v>37</v>
      </c>
      <c r="J1801">
        <v>799</v>
      </c>
      <c r="K1801">
        <v>2</v>
      </c>
      <c r="L1801">
        <v>867.72</v>
      </c>
      <c r="M1801">
        <v>0</v>
      </c>
      <c r="N1801">
        <v>1735.44</v>
      </c>
      <c r="O1801">
        <v>1735.44</v>
      </c>
      <c r="P1801" t="s">
        <v>2111</v>
      </c>
      <c r="Q1801" t="s">
        <v>1479</v>
      </c>
    </row>
    <row r="1802" spans="1:17" x14ac:dyDescent="0.3">
      <c r="A1802" t="s">
        <v>2850</v>
      </c>
      <c r="B1802" t="s">
        <v>705</v>
      </c>
      <c r="C1802" s="1">
        <v>46145</v>
      </c>
      <c r="D1802" t="s">
        <v>63</v>
      </c>
      <c r="E1802" t="s">
        <v>50</v>
      </c>
      <c r="F1802" t="s">
        <v>60</v>
      </c>
      <c r="G1802" t="s">
        <v>51</v>
      </c>
      <c r="H1802" t="s">
        <v>52</v>
      </c>
      <c r="I1802" t="s">
        <v>20</v>
      </c>
      <c r="J1802">
        <v>999</v>
      </c>
      <c r="K1802">
        <v>1</v>
      </c>
      <c r="L1802">
        <v>1040.3900000000001</v>
      </c>
      <c r="M1802">
        <v>104.04</v>
      </c>
      <c r="N1802">
        <v>1040.3900000000001</v>
      </c>
      <c r="O1802">
        <v>936.35</v>
      </c>
      <c r="P1802" t="s">
        <v>2111</v>
      </c>
      <c r="Q1802" t="s">
        <v>1479</v>
      </c>
    </row>
    <row r="1803" spans="1:17" x14ac:dyDescent="0.3">
      <c r="A1803" t="s">
        <v>2730</v>
      </c>
      <c r="B1803" t="s">
        <v>530</v>
      </c>
      <c r="C1803" s="1">
        <v>46034</v>
      </c>
      <c r="D1803" t="s">
        <v>26</v>
      </c>
      <c r="E1803" t="s">
        <v>42</v>
      </c>
      <c r="F1803" t="s">
        <v>47</v>
      </c>
      <c r="G1803" t="s">
        <v>191</v>
      </c>
      <c r="H1803" t="s">
        <v>192</v>
      </c>
      <c r="I1803" t="s">
        <v>45</v>
      </c>
      <c r="J1803">
        <v>699</v>
      </c>
      <c r="K1803">
        <v>1</v>
      </c>
      <c r="L1803">
        <v>675.19</v>
      </c>
      <c r="M1803">
        <v>101.28</v>
      </c>
      <c r="N1803">
        <v>675.19</v>
      </c>
      <c r="O1803">
        <v>573.91</v>
      </c>
      <c r="P1803" t="s">
        <v>2111</v>
      </c>
      <c r="Q1803" t="s">
        <v>23</v>
      </c>
    </row>
    <row r="1804" spans="1:17" x14ac:dyDescent="0.3">
      <c r="A1804" t="s">
        <v>1032</v>
      </c>
      <c r="B1804" t="s">
        <v>1031</v>
      </c>
      <c r="C1804" s="1">
        <v>46099</v>
      </c>
      <c r="D1804" t="s">
        <v>41</v>
      </c>
      <c r="E1804" t="s">
        <v>17</v>
      </c>
      <c r="F1804" t="s">
        <v>31</v>
      </c>
      <c r="G1804" t="s">
        <v>86</v>
      </c>
      <c r="H1804" t="s">
        <v>87</v>
      </c>
      <c r="I1804" t="s">
        <v>82</v>
      </c>
      <c r="J1804">
        <v>3499</v>
      </c>
      <c r="K1804">
        <v>3</v>
      </c>
      <c r="L1804">
        <v>3422.55</v>
      </c>
      <c r="M1804">
        <v>1026.77</v>
      </c>
      <c r="N1804">
        <v>10267.65</v>
      </c>
      <c r="O1804">
        <v>9240.8799999999992</v>
      </c>
      <c r="P1804" t="s">
        <v>2111</v>
      </c>
      <c r="Q1804" t="s">
        <v>789</v>
      </c>
    </row>
    <row r="1805" spans="1:17" x14ac:dyDescent="0.3">
      <c r="A1805" t="s">
        <v>2715</v>
      </c>
      <c r="B1805" t="s">
        <v>243</v>
      </c>
      <c r="C1805" s="1">
        <v>46197</v>
      </c>
      <c r="D1805" t="s">
        <v>26</v>
      </c>
      <c r="E1805" t="s">
        <v>17</v>
      </c>
      <c r="F1805" t="s">
        <v>47</v>
      </c>
      <c r="G1805" t="s">
        <v>250</v>
      </c>
      <c r="H1805" t="s">
        <v>251</v>
      </c>
      <c r="I1805" t="s">
        <v>108</v>
      </c>
      <c r="J1805">
        <v>899</v>
      </c>
      <c r="K1805">
        <v>1</v>
      </c>
      <c r="L1805">
        <v>942.3</v>
      </c>
      <c r="M1805">
        <v>94.23</v>
      </c>
      <c r="N1805">
        <v>942.3</v>
      </c>
      <c r="O1805">
        <v>848.07</v>
      </c>
      <c r="P1805" t="s">
        <v>2111</v>
      </c>
      <c r="Q1805" t="s">
        <v>1809</v>
      </c>
    </row>
    <row r="1806" spans="1:17" x14ac:dyDescent="0.3">
      <c r="A1806" t="s">
        <v>1032</v>
      </c>
      <c r="B1806" t="s">
        <v>1031</v>
      </c>
      <c r="C1806" s="1">
        <v>46099</v>
      </c>
      <c r="D1806" t="s">
        <v>41</v>
      </c>
      <c r="E1806" t="s">
        <v>17</v>
      </c>
      <c r="F1806" t="s">
        <v>31</v>
      </c>
      <c r="G1806" t="s">
        <v>91</v>
      </c>
      <c r="H1806" t="s">
        <v>92</v>
      </c>
      <c r="I1806" t="s">
        <v>37</v>
      </c>
      <c r="J1806">
        <v>1899</v>
      </c>
      <c r="K1806">
        <v>1</v>
      </c>
      <c r="L1806">
        <v>1937.54</v>
      </c>
      <c r="M1806">
        <v>484.38</v>
      </c>
      <c r="N1806">
        <v>1937.54</v>
      </c>
      <c r="O1806">
        <v>1453.16</v>
      </c>
      <c r="P1806" t="s">
        <v>2111</v>
      </c>
      <c r="Q1806" t="s">
        <v>789</v>
      </c>
    </row>
    <row r="1807" spans="1:17" x14ac:dyDescent="0.3">
      <c r="A1807" t="s">
        <v>2591</v>
      </c>
      <c r="B1807" t="s">
        <v>2592</v>
      </c>
      <c r="C1807" s="1">
        <v>46061</v>
      </c>
      <c r="D1807" t="s">
        <v>63</v>
      </c>
      <c r="E1807" t="s">
        <v>17</v>
      </c>
      <c r="F1807" t="s">
        <v>22</v>
      </c>
      <c r="G1807" t="s">
        <v>165</v>
      </c>
      <c r="H1807" t="s">
        <v>166</v>
      </c>
      <c r="I1807" t="s">
        <v>29</v>
      </c>
      <c r="J1807">
        <v>449</v>
      </c>
      <c r="K1807">
        <v>2</v>
      </c>
      <c r="L1807">
        <v>464.41</v>
      </c>
      <c r="M1807">
        <v>92.88</v>
      </c>
      <c r="N1807">
        <v>928.82</v>
      </c>
      <c r="O1807">
        <v>835.94</v>
      </c>
      <c r="P1807" t="s">
        <v>2111</v>
      </c>
      <c r="Q1807" t="s">
        <v>498</v>
      </c>
    </row>
    <row r="1808" spans="1:17" x14ac:dyDescent="0.3">
      <c r="A1808" t="s">
        <v>2803</v>
      </c>
      <c r="B1808" t="s">
        <v>2804</v>
      </c>
      <c r="C1808" s="1">
        <v>46074</v>
      </c>
      <c r="D1808" t="s">
        <v>16</v>
      </c>
      <c r="E1808" t="s">
        <v>17</v>
      </c>
      <c r="F1808" t="s">
        <v>31</v>
      </c>
      <c r="G1808" t="s">
        <v>250</v>
      </c>
      <c r="H1808" t="s">
        <v>251</v>
      </c>
      <c r="I1808" t="s">
        <v>108</v>
      </c>
      <c r="J1808">
        <v>899</v>
      </c>
      <c r="K1808">
        <v>1</v>
      </c>
      <c r="L1808">
        <v>879.07</v>
      </c>
      <c r="M1808">
        <v>87.91</v>
      </c>
      <c r="N1808">
        <v>879.07</v>
      </c>
      <c r="O1808">
        <v>791.16</v>
      </c>
      <c r="P1808" t="s">
        <v>2111</v>
      </c>
      <c r="Q1808" t="s">
        <v>498</v>
      </c>
    </row>
    <row r="1809" spans="1:17" x14ac:dyDescent="0.3">
      <c r="A1809" t="s">
        <v>2872</v>
      </c>
      <c r="B1809" t="s">
        <v>1616</v>
      </c>
      <c r="C1809" s="1">
        <v>46096</v>
      </c>
      <c r="D1809" t="s">
        <v>34</v>
      </c>
      <c r="E1809" t="s">
        <v>17</v>
      </c>
      <c r="F1809" t="s">
        <v>47</v>
      </c>
      <c r="G1809" t="s">
        <v>355</v>
      </c>
      <c r="H1809" t="s">
        <v>356</v>
      </c>
      <c r="I1809" t="s">
        <v>82</v>
      </c>
      <c r="J1809">
        <v>499</v>
      </c>
      <c r="K1809">
        <v>1</v>
      </c>
      <c r="L1809">
        <v>497.78</v>
      </c>
      <c r="M1809">
        <v>24.89</v>
      </c>
      <c r="N1809">
        <v>497.78</v>
      </c>
      <c r="O1809">
        <v>472.89</v>
      </c>
      <c r="P1809" t="s">
        <v>2111</v>
      </c>
      <c r="Q1809" t="s">
        <v>789</v>
      </c>
    </row>
    <row r="1810" spans="1:17" x14ac:dyDescent="0.3">
      <c r="A1810" t="s">
        <v>1854</v>
      </c>
      <c r="B1810" t="s">
        <v>1853</v>
      </c>
      <c r="C1810" s="1">
        <v>46177</v>
      </c>
      <c r="D1810" t="s">
        <v>34</v>
      </c>
      <c r="E1810" t="s">
        <v>17</v>
      </c>
      <c r="F1810" t="s">
        <v>74</v>
      </c>
      <c r="G1810" t="s">
        <v>106</v>
      </c>
      <c r="H1810" t="s">
        <v>107</v>
      </c>
      <c r="I1810" t="s">
        <v>108</v>
      </c>
      <c r="J1810">
        <v>599</v>
      </c>
      <c r="K1810">
        <v>1</v>
      </c>
      <c r="L1810">
        <v>657.69</v>
      </c>
      <c r="M1810">
        <v>65.77</v>
      </c>
      <c r="N1810">
        <v>657.69</v>
      </c>
      <c r="O1810">
        <v>591.91999999999996</v>
      </c>
      <c r="P1810" t="s">
        <v>2114</v>
      </c>
      <c r="Q1810" t="s">
        <v>1809</v>
      </c>
    </row>
    <row r="1811" spans="1:17" x14ac:dyDescent="0.3">
      <c r="A1811" t="s">
        <v>531</v>
      </c>
      <c r="B1811" t="s">
        <v>530</v>
      </c>
      <c r="C1811" s="1">
        <v>46056</v>
      </c>
      <c r="D1811" t="s">
        <v>16</v>
      </c>
      <c r="E1811" t="s">
        <v>17</v>
      </c>
      <c r="F1811" t="s">
        <v>31</v>
      </c>
      <c r="G1811" t="s">
        <v>91</v>
      </c>
      <c r="H1811" t="s">
        <v>92</v>
      </c>
      <c r="I1811" t="s">
        <v>37</v>
      </c>
      <c r="J1811">
        <v>1899</v>
      </c>
      <c r="K1811">
        <v>1</v>
      </c>
      <c r="L1811">
        <v>1790.35</v>
      </c>
      <c r="M1811">
        <v>268.55</v>
      </c>
      <c r="N1811">
        <v>1790.35</v>
      </c>
      <c r="O1811">
        <v>1521.8</v>
      </c>
      <c r="P1811" t="s">
        <v>2111</v>
      </c>
      <c r="Q1811" t="s">
        <v>498</v>
      </c>
    </row>
    <row r="1812" spans="1:17" x14ac:dyDescent="0.3">
      <c r="A1812" t="s">
        <v>2715</v>
      </c>
      <c r="B1812" t="s">
        <v>243</v>
      </c>
      <c r="C1812" s="1">
        <v>46197</v>
      </c>
      <c r="D1812" t="s">
        <v>26</v>
      </c>
      <c r="E1812" t="s">
        <v>17</v>
      </c>
      <c r="F1812" t="s">
        <v>47</v>
      </c>
      <c r="G1812" t="s">
        <v>43</v>
      </c>
      <c r="H1812" t="s">
        <v>44</v>
      </c>
      <c r="I1812" t="s">
        <v>45</v>
      </c>
      <c r="J1812">
        <v>3299</v>
      </c>
      <c r="K1812">
        <v>2</v>
      </c>
      <c r="L1812">
        <v>3244.8</v>
      </c>
      <c r="M1812">
        <v>1297.92</v>
      </c>
      <c r="N1812">
        <v>6489.6</v>
      </c>
      <c r="O1812">
        <v>5191.68</v>
      </c>
      <c r="P1812" t="s">
        <v>2111</v>
      </c>
      <c r="Q1812" t="s">
        <v>1809</v>
      </c>
    </row>
    <row r="1813" spans="1:17" x14ac:dyDescent="0.3">
      <c r="A1813" t="s">
        <v>2303</v>
      </c>
      <c r="B1813" t="s">
        <v>2304</v>
      </c>
      <c r="C1813" s="1">
        <v>46057</v>
      </c>
      <c r="D1813" t="s">
        <v>16</v>
      </c>
      <c r="E1813" t="s">
        <v>50</v>
      </c>
      <c r="F1813" t="s">
        <v>74</v>
      </c>
      <c r="G1813" t="s">
        <v>191</v>
      </c>
      <c r="H1813" t="s">
        <v>192</v>
      </c>
      <c r="I1813" t="s">
        <v>45</v>
      </c>
      <c r="J1813">
        <v>699</v>
      </c>
      <c r="K1813">
        <v>1</v>
      </c>
      <c r="L1813">
        <v>669.9</v>
      </c>
      <c r="M1813">
        <v>66.989999999999995</v>
      </c>
      <c r="N1813">
        <v>669.9</v>
      </c>
      <c r="O1813">
        <v>602.91</v>
      </c>
      <c r="P1813" t="s">
        <v>2111</v>
      </c>
      <c r="Q1813" t="s">
        <v>498</v>
      </c>
    </row>
    <row r="1814" spans="1:17" x14ac:dyDescent="0.3">
      <c r="A1814" t="s">
        <v>1401</v>
      </c>
      <c r="B1814" t="s">
        <v>557</v>
      </c>
      <c r="C1814" s="1">
        <v>46136</v>
      </c>
      <c r="D1814" t="s">
        <v>34</v>
      </c>
      <c r="E1814" t="s">
        <v>50</v>
      </c>
      <c r="F1814" t="s">
        <v>47</v>
      </c>
      <c r="G1814" t="s">
        <v>91</v>
      </c>
      <c r="H1814" t="s">
        <v>92</v>
      </c>
      <c r="I1814" t="s">
        <v>37</v>
      </c>
      <c r="J1814">
        <v>1899</v>
      </c>
      <c r="K1814">
        <v>1</v>
      </c>
      <c r="L1814">
        <v>1999.69</v>
      </c>
      <c r="M1814">
        <v>299.95</v>
      </c>
      <c r="N1814">
        <v>1999.69</v>
      </c>
      <c r="O1814">
        <v>1699.74</v>
      </c>
      <c r="P1814" t="s">
        <v>2111</v>
      </c>
      <c r="Q1814" t="s">
        <v>1170</v>
      </c>
    </row>
    <row r="1815" spans="1:17" x14ac:dyDescent="0.3">
      <c r="A1815" t="s">
        <v>366</v>
      </c>
      <c r="B1815" t="s">
        <v>365</v>
      </c>
      <c r="C1815" s="1">
        <v>46042</v>
      </c>
      <c r="D1815" t="s">
        <v>26</v>
      </c>
      <c r="E1815" t="s">
        <v>17</v>
      </c>
      <c r="F1815" t="s">
        <v>31</v>
      </c>
      <c r="G1815" t="s">
        <v>250</v>
      </c>
      <c r="H1815" t="s">
        <v>251</v>
      </c>
      <c r="I1815" t="s">
        <v>108</v>
      </c>
      <c r="J1815">
        <v>899</v>
      </c>
      <c r="K1815">
        <v>1</v>
      </c>
      <c r="L1815">
        <v>946.47</v>
      </c>
      <c r="M1815">
        <v>0</v>
      </c>
      <c r="N1815">
        <v>946.47</v>
      </c>
      <c r="O1815">
        <v>946.47</v>
      </c>
      <c r="P1815" t="s">
        <v>2111</v>
      </c>
      <c r="Q1815" t="s">
        <v>23</v>
      </c>
    </row>
    <row r="1816" spans="1:17" x14ac:dyDescent="0.3">
      <c r="A1816" t="s">
        <v>375</v>
      </c>
      <c r="B1816" t="s">
        <v>374</v>
      </c>
      <c r="C1816" s="1">
        <v>46043</v>
      </c>
      <c r="D1816" t="s">
        <v>16</v>
      </c>
      <c r="E1816" t="s">
        <v>17</v>
      </c>
      <c r="F1816" t="s">
        <v>60</v>
      </c>
      <c r="G1816" t="s">
        <v>96</v>
      </c>
      <c r="H1816" t="s">
        <v>97</v>
      </c>
      <c r="I1816" t="s">
        <v>58</v>
      </c>
      <c r="J1816">
        <v>7499</v>
      </c>
      <c r="K1816">
        <v>1</v>
      </c>
      <c r="L1816">
        <v>7187.71</v>
      </c>
      <c r="M1816">
        <v>359.39</v>
      </c>
      <c r="N1816">
        <v>7187.71</v>
      </c>
      <c r="O1816">
        <v>6828.32</v>
      </c>
      <c r="P1816" t="s">
        <v>2111</v>
      </c>
      <c r="Q1816" t="s">
        <v>23</v>
      </c>
    </row>
    <row r="1817" spans="1:17" x14ac:dyDescent="0.3">
      <c r="A1817" t="s">
        <v>2873</v>
      </c>
      <c r="B1817" t="s">
        <v>2874</v>
      </c>
      <c r="C1817" s="1">
        <v>46081</v>
      </c>
      <c r="D1817" t="s">
        <v>26</v>
      </c>
      <c r="E1817" t="s">
        <v>17</v>
      </c>
      <c r="F1817" t="s">
        <v>22</v>
      </c>
      <c r="G1817" t="s">
        <v>91</v>
      </c>
      <c r="H1817" t="s">
        <v>92</v>
      </c>
      <c r="I1817" t="s">
        <v>37</v>
      </c>
      <c r="J1817">
        <v>1899</v>
      </c>
      <c r="K1817">
        <v>3</v>
      </c>
      <c r="L1817">
        <v>1740.01</v>
      </c>
      <c r="M1817">
        <v>522</v>
      </c>
      <c r="N1817">
        <v>5220.03</v>
      </c>
      <c r="O1817">
        <v>4698.03</v>
      </c>
      <c r="P1817" t="s">
        <v>2111</v>
      </c>
      <c r="Q1817" t="s">
        <v>498</v>
      </c>
    </row>
    <row r="1818" spans="1:17" x14ac:dyDescent="0.3">
      <c r="A1818" t="s">
        <v>2501</v>
      </c>
      <c r="B1818" t="s">
        <v>2502</v>
      </c>
      <c r="C1818" s="1">
        <v>46044</v>
      </c>
      <c r="D1818" t="s">
        <v>41</v>
      </c>
      <c r="E1818" t="s">
        <v>17</v>
      </c>
      <c r="F1818" t="s">
        <v>47</v>
      </c>
      <c r="G1818" t="s">
        <v>250</v>
      </c>
      <c r="H1818" t="s">
        <v>251</v>
      </c>
      <c r="I1818" t="s">
        <v>108</v>
      </c>
      <c r="J1818">
        <v>899</v>
      </c>
      <c r="K1818">
        <v>2</v>
      </c>
      <c r="L1818">
        <v>811.16</v>
      </c>
      <c r="M1818">
        <v>0</v>
      </c>
      <c r="N1818">
        <v>1622.32</v>
      </c>
      <c r="O1818">
        <v>1622.32</v>
      </c>
      <c r="P1818" t="s">
        <v>2111</v>
      </c>
      <c r="Q1818" t="s">
        <v>23</v>
      </c>
    </row>
    <row r="1819" spans="1:17" x14ac:dyDescent="0.3">
      <c r="A1819" t="s">
        <v>2003</v>
      </c>
      <c r="B1819" t="s">
        <v>2002</v>
      </c>
      <c r="C1819" s="1">
        <v>46195</v>
      </c>
      <c r="D1819" t="s">
        <v>63</v>
      </c>
      <c r="E1819" t="s">
        <v>17</v>
      </c>
      <c r="F1819" t="s">
        <v>31</v>
      </c>
      <c r="G1819" t="s">
        <v>101</v>
      </c>
      <c r="H1819" t="s">
        <v>102</v>
      </c>
      <c r="I1819" t="s">
        <v>45</v>
      </c>
      <c r="J1819">
        <v>4999</v>
      </c>
      <c r="K1819">
        <v>2</v>
      </c>
      <c r="L1819">
        <v>4926.47</v>
      </c>
      <c r="M1819">
        <v>492.65</v>
      </c>
      <c r="N1819">
        <v>9852.94</v>
      </c>
      <c r="O1819">
        <v>9360.2900000000009</v>
      </c>
      <c r="P1819" t="s">
        <v>2111</v>
      </c>
      <c r="Q1819" t="s">
        <v>1809</v>
      </c>
    </row>
    <row r="1820" spans="1:17" x14ac:dyDescent="0.3">
      <c r="A1820" t="s">
        <v>1328</v>
      </c>
      <c r="B1820" t="s">
        <v>1327</v>
      </c>
      <c r="C1820" s="1">
        <v>46130</v>
      </c>
      <c r="D1820" t="s">
        <v>16</v>
      </c>
      <c r="E1820" t="s">
        <v>17</v>
      </c>
      <c r="F1820" t="s">
        <v>31</v>
      </c>
      <c r="G1820" t="s">
        <v>35</v>
      </c>
      <c r="H1820" t="s">
        <v>36</v>
      </c>
      <c r="I1820" t="s">
        <v>37</v>
      </c>
      <c r="J1820">
        <v>799</v>
      </c>
      <c r="K1820">
        <v>1</v>
      </c>
      <c r="L1820">
        <v>784.67</v>
      </c>
      <c r="M1820">
        <v>78.47</v>
      </c>
      <c r="N1820">
        <v>784.67</v>
      </c>
      <c r="O1820">
        <v>706.2</v>
      </c>
      <c r="P1820" t="s">
        <v>2111</v>
      </c>
      <c r="Q1820" t="s">
        <v>1170</v>
      </c>
    </row>
    <row r="1821" spans="1:17" x14ac:dyDescent="0.3">
      <c r="A1821" t="s">
        <v>2875</v>
      </c>
      <c r="B1821" t="s">
        <v>2876</v>
      </c>
      <c r="C1821" s="1">
        <v>46126</v>
      </c>
      <c r="D1821" t="s">
        <v>41</v>
      </c>
      <c r="E1821" t="s">
        <v>50</v>
      </c>
      <c r="F1821" t="s">
        <v>31</v>
      </c>
      <c r="G1821" t="s">
        <v>27</v>
      </c>
      <c r="H1821" t="s">
        <v>28</v>
      </c>
      <c r="I1821" t="s">
        <v>29</v>
      </c>
      <c r="J1821">
        <v>1599</v>
      </c>
      <c r="K1821">
        <v>1</v>
      </c>
      <c r="L1821">
        <v>1755.19</v>
      </c>
      <c r="M1821">
        <v>0</v>
      </c>
      <c r="N1821">
        <v>1755.19</v>
      </c>
      <c r="O1821">
        <v>1755.19</v>
      </c>
      <c r="P1821" t="s">
        <v>2111</v>
      </c>
      <c r="Q1821" t="s">
        <v>1170</v>
      </c>
    </row>
    <row r="1822" spans="1:17" x14ac:dyDescent="0.3">
      <c r="A1822" t="s">
        <v>903</v>
      </c>
      <c r="B1822" t="s">
        <v>902</v>
      </c>
      <c r="C1822" s="1">
        <v>46089</v>
      </c>
      <c r="D1822" t="s">
        <v>16</v>
      </c>
      <c r="E1822" t="s">
        <v>17</v>
      </c>
      <c r="F1822" t="s">
        <v>31</v>
      </c>
      <c r="G1822" t="s">
        <v>250</v>
      </c>
      <c r="H1822" t="s">
        <v>251</v>
      </c>
      <c r="I1822" t="s">
        <v>108</v>
      </c>
      <c r="J1822">
        <v>899</v>
      </c>
      <c r="K1822">
        <v>1</v>
      </c>
      <c r="L1822">
        <v>893.57</v>
      </c>
      <c r="M1822">
        <v>44.68</v>
      </c>
      <c r="N1822">
        <v>893.57</v>
      </c>
      <c r="O1822">
        <v>848.89</v>
      </c>
      <c r="P1822" t="s">
        <v>2111</v>
      </c>
      <c r="Q1822" t="s">
        <v>789</v>
      </c>
    </row>
    <row r="1823" spans="1:17" x14ac:dyDescent="0.3">
      <c r="A1823" t="s">
        <v>2162</v>
      </c>
      <c r="B1823" t="s">
        <v>2163</v>
      </c>
      <c r="C1823" s="1">
        <v>46194</v>
      </c>
      <c r="D1823" t="s">
        <v>26</v>
      </c>
      <c r="E1823" t="s">
        <v>50</v>
      </c>
      <c r="F1823" t="s">
        <v>22</v>
      </c>
      <c r="G1823" t="s">
        <v>191</v>
      </c>
      <c r="H1823" t="s">
        <v>192</v>
      </c>
      <c r="I1823" t="s">
        <v>45</v>
      </c>
      <c r="J1823">
        <v>699</v>
      </c>
      <c r="K1823">
        <v>1</v>
      </c>
      <c r="L1823">
        <v>664.95</v>
      </c>
      <c r="M1823">
        <v>66.5</v>
      </c>
      <c r="N1823">
        <v>664.95</v>
      </c>
      <c r="O1823">
        <v>598.45000000000005</v>
      </c>
      <c r="P1823" t="s">
        <v>2111</v>
      </c>
      <c r="Q1823" t="s">
        <v>1809</v>
      </c>
    </row>
    <row r="1824" spans="1:17" x14ac:dyDescent="0.3">
      <c r="A1824" t="s">
        <v>2021</v>
      </c>
      <c r="B1824" t="s">
        <v>346</v>
      </c>
      <c r="C1824" s="1">
        <v>46196</v>
      </c>
      <c r="D1824" t="s">
        <v>63</v>
      </c>
      <c r="E1824" t="s">
        <v>17</v>
      </c>
      <c r="F1824" t="s">
        <v>60</v>
      </c>
      <c r="G1824" t="s">
        <v>112</v>
      </c>
      <c r="H1824" t="s">
        <v>113</v>
      </c>
      <c r="I1824" t="s">
        <v>37</v>
      </c>
      <c r="J1824">
        <v>1499</v>
      </c>
      <c r="K1824">
        <v>4</v>
      </c>
      <c r="L1824">
        <v>1616.29</v>
      </c>
      <c r="M1824">
        <v>646.52</v>
      </c>
      <c r="N1824">
        <v>6465.16</v>
      </c>
      <c r="O1824">
        <v>5818.64</v>
      </c>
      <c r="P1824" t="s">
        <v>2111</v>
      </c>
      <c r="Q1824" t="s">
        <v>1809</v>
      </c>
    </row>
    <row r="1825" spans="1:17" x14ac:dyDescent="0.3">
      <c r="A1825" t="s">
        <v>2446</v>
      </c>
      <c r="B1825" t="s">
        <v>322</v>
      </c>
      <c r="C1825" s="1">
        <v>46141</v>
      </c>
      <c r="D1825" t="s">
        <v>34</v>
      </c>
      <c r="E1825" t="s">
        <v>17</v>
      </c>
      <c r="F1825" t="s">
        <v>31</v>
      </c>
      <c r="G1825" t="s">
        <v>80</v>
      </c>
      <c r="H1825" t="s">
        <v>81</v>
      </c>
      <c r="I1825" t="s">
        <v>82</v>
      </c>
      <c r="J1825">
        <v>4299</v>
      </c>
      <c r="K1825">
        <v>1</v>
      </c>
      <c r="L1825">
        <v>4291.32</v>
      </c>
      <c r="M1825">
        <v>858.26</v>
      </c>
      <c r="N1825">
        <v>4291.32</v>
      </c>
      <c r="O1825">
        <v>3433.06</v>
      </c>
      <c r="P1825" t="s">
        <v>2111</v>
      </c>
      <c r="Q1825" t="s">
        <v>1170</v>
      </c>
    </row>
    <row r="1826" spans="1:17" x14ac:dyDescent="0.3">
      <c r="A1826" t="s">
        <v>2704</v>
      </c>
      <c r="B1826" t="s">
        <v>2705</v>
      </c>
      <c r="C1826" s="1">
        <v>46069</v>
      </c>
      <c r="D1826" t="s">
        <v>16</v>
      </c>
      <c r="E1826" t="s">
        <v>50</v>
      </c>
      <c r="F1826" t="s">
        <v>60</v>
      </c>
      <c r="G1826" t="s">
        <v>165</v>
      </c>
      <c r="H1826" t="s">
        <v>166</v>
      </c>
      <c r="I1826" t="s">
        <v>29</v>
      </c>
      <c r="J1826">
        <v>449</v>
      </c>
      <c r="K1826">
        <v>1</v>
      </c>
      <c r="L1826">
        <v>457.91</v>
      </c>
      <c r="M1826">
        <v>68.69</v>
      </c>
      <c r="N1826">
        <v>457.91</v>
      </c>
      <c r="O1826">
        <v>389.22</v>
      </c>
      <c r="P1826" t="s">
        <v>2111</v>
      </c>
      <c r="Q1826" t="s">
        <v>498</v>
      </c>
    </row>
    <row r="1827" spans="1:17" x14ac:dyDescent="0.3">
      <c r="A1827" t="s">
        <v>151</v>
      </c>
      <c r="B1827" t="s">
        <v>148</v>
      </c>
      <c r="C1827" s="1">
        <v>46028</v>
      </c>
      <c r="D1827" t="s">
        <v>41</v>
      </c>
      <c r="E1827" t="s">
        <v>17</v>
      </c>
      <c r="F1827" t="s">
        <v>31</v>
      </c>
      <c r="G1827" t="s">
        <v>165</v>
      </c>
      <c r="H1827" t="s">
        <v>166</v>
      </c>
      <c r="I1827" t="s">
        <v>29</v>
      </c>
      <c r="J1827">
        <v>449</v>
      </c>
      <c r="K1827">
        <v>1</v>
      </c>
      <c r="L1827">
        <v>412.69</v>
      </c>
      <c r="M1827">
        <v>41.27</v>
      </c>
      <c r="N1827">
        <v>412.69</v>
      </c>
      <c r="O1827">
        <v>371.42</v>
      </c>
      <c r="P1827" t="s">
        <v>2111</v>
      </c>
      <c r="Q1827" t="s">
        <v>23</v>
      </c>
    </row>
    <row r="1828" spans="1:17" x14ac:dyDescent="0.3">
      <c r="A1828" t="s">
        <v>1938</v>
      </c>
      <c r="B1828" t="s">
        <v>1937</v>
      </c>
      <c r="C1828" s="1">
        <v>46186</v>
      </c>
      <c r="D1828" t="s">
        <v>16</v>
      </c>
      <c r="E1828" t="s">
        <v>42</v>
      </c>
      <c r="F1828" t="s">
        <v>47</v>
      </c>
      <c r="G1828" t="s">
        <v>250</v>
      </c>
      <c r="H1828" t="s">
        <v>251</v>
      </c>
      <c r="I1828" t="s">
        <v>108</v>
      </c>
      <c r="J1828">
        <v>899</v>
      </c>
      <c r="K1828">
        <v>2</v>
      </c>
      <c r="L1828">
        <v>877.95</v>
      </c>
      <c r="M1828">
        <v>351.18</v>
      </c>
      <c r="N1828">
        <v>1755.9</v>
      </c>
      <c r="O1828">
        <v>1404.72</v>
      </c>
      <c r="P1828" t="s">
        <v>2111</v>
      </c>
      <c r="Q1828" t="s">
        <v>1809</v>
      </c>
    </row>
    <row r="1829" spans="1:17" x14ac:dyDescent="0.3">
      <c r="A1829" t="s">
        <v>2533</v>
      </c>
      <c r="B1829" t="s">
        <v>2534</v>
      </c>
      <c r="C1829" s="1">
        <v>46180</v>
      </c>
      <c r="D1829" t="s">
        <v>41</v>
      </c>
      <c r="E1829" t="s">
        <v>50</v>
      </c>
      <c r="F1829" t="s">
        <v>31</v>
      </c>
      <c r="G1829" t="s">
        <v>91</v>
      </c>
      <c r="H1829" t="s">
        <v>92</v>
      </c>
      <c r="I1829" t="s">
        <v>37</v>
      </c>
      <c r="J1829">
        <v>1899</v>
      </c>
      <c r="K1829">
        <v>1</v>
      </c>
      <c r="L1829">
        <v>2067.7199999999998</v>
      </c>
      <c r="M1829">
        <v>310.16000000000003</v>
      </c>
      <c r="N1829">
        <v>2067.7199999999998</v>
      </c>
      <c r="O1829">
        <v>1757.56</v>
      </c>
      <c r="P1829" t="s">
        <v>2114</v>
      </c>
      <c r="Q1829" t="s">
        <v>1809</v>
      </c>
    </row>
    <row r="1830" spans="1:17" x14ac:dyDescent="0.3">
      <c r="A1830" t="s">
        <v>2487</v>
      </c>
      <c r="B1830" t="s">
        <v>1160</v>
      </c>
      <c r="C1830" s="1">
        <v>46048</v>
      </c>
      <c r="D1830" t="s">
        <v>41</v>
      </c>
      <c r="E1830" t="s">
        <v>17</v>
      </c>
      <c r="F1830" t="s">
        <v>22</v>
      </c>
      <c r="G1830" t="s">
        <v>191</v>
      </c>
      <c r="H1830" t="s">
        <v>192</v>
      </c>
      <c r="I1830" t="s">
        <v>45</v>
      </c>
      <c r="J1830">
        <v>699</v>
      </c>
      <c r="K1830">
        <v>1</v>
      </c>
      <c r="L1830">
        <v>711.51</v>
      </c>
      <c r="M1830">
        <v>35.58</v>
      </c>
      <c r="N1830">
        <v>711.51</v>
      </c>
      <c r="O1830">
        <v>675.93</v>
      </c>
      <c r="P1830" t="s">
        <v>2111</v>
      </c>
      <c r="Q1830" t="s">
        <v>23</v>
      </c>
    </row>
    <row r="1831" spans="1:17" x14ac:dyDescent="0.3">
      <c r="A1831" t="s">
        <v>131</v>
      </c>
      <c r="B1831" t="s">
        <v>130</v>
      </c>
      <c r="C1831" s="1">
        <v>46027</v>
      </c>
      <c r="D1831" t="s">
        <v>63</v>
      </c>
      <c r="E1831" t="s">
        <v>42</v>
      </c>
      <c r="F1831" t="s">
        <v>60</v>
      </c>
      <c r="G1831" t="s">
        <v>160</v>
      </c>
      <c r="H1831" t="s">
        <v>161</v>
      </c>
      <c r="I1831" t="s">
        <v>82</v>
      </c>
      <c r="J1831">
        <v>799</v>
      </c>
      <c r="K1831">
        <v>1</v>
      </c>
      <c r="L1831">
        <v>774.15</v>
      </c>
      <c r="M1831">
        <v>0</v>
      </c>
      <c r="N1831">
        <v>774.15</v>
      </c>
      <c r="O1831">
        <v>774.15</v>
      </c>
      <c r="P1831" t="s">
        <v>2114</v>
      </c>
      <c r="Q1831" t="s">
        <v>23</v>
      </c>
    </row>
    <row r="1832" spans="1:17" x14ac:dyDescent="0.3">
      <c r="A1832" t="s">
        <v>2091</v>
      </c>
      <c r="B1832" t="s">
        <v>1570</v>
      </c>
      <c r="C1832" s="1">
        <v>46203</v>
      </c>
      <c r="D1832" t="s">
        <v>34</v>
      </c>
      <c r="E1832" t="s">
        <v>50</v>
      </c>
      <c r="F1832" t="s">
        <v>74</v>
      </c>
      <c r="G1832" t="s">
        <v>35</v>
      </c>
      <c r="H1832" t="s">
        <v>36</v>
      </c>
      <c r="I1832" t="s">
        <v>37</v>
      </c>
      <c r="J1832">
        <v>799</v>
      </c>
      <c r="K1832">
        <v>3</v>
      </c>
      <c r="L1832">
        <v>819.08</v>
      </c>
      <c r="M1832">
        <v>368.59</v>
      </c>
      <c r="N1832">
        <v>2457.2399999999998</v>
      </c>
      <c r="O1832">
        <v>2088.65</v>
      </c>
      <c r="P1832" t="s">
        <v>2111</v>
      </c>
      <c r="Q1832" t="s">
        <v>1809</v>
      </c>
    </row>
    <row r="1833" spans="1:17" x14ac:dyDescent="0.3">
      <c r="A1833" t="s">
        <v>315</v>
      </c>
      <c r="B1833" t="s">
        <v>314</v>
      </c>
      <c r="C1833" s="1">
        <v>46038</v>
      </c>
      <c r="D1833" t="s">
        <v>34</v>
      </c>
      <c r="E1833" t="s">
        <v>42</v>
      </c>
      <c r="F1833" t="s">
        <v>47</v>
      </c>
      <c r="G1833" t="s">
        <v>86</v>
      </c>
      <c r="H1833" t="s">
        <v>87</v>
      </c>
      <c r="I1833" t="s">
        <v>82</v>
      </c>
      <c r="J1833">
        <v>3499</v>
      </c>
      <c r="K1833">
        <v>1</v>
      </c>
      <c r="L1833">
        <v>3786.21</v>
      </c>
      <c r="M1833">
        <v>378.62</v>
      </c>
      <c r="N1833">
        <v>3786.21</v>
      </c>
      <c r="O1833">
        <v>3407.59</v>
      </c>
      <c r="P1833" t="s">
        <v>2111</v>
      </c>
      <c r="Q1833" t="s">
        <v>23</v>
      </c>
    </row>
    <row r="1834" spans="1:17" x14ac:dyDescent="0.3">
      <c r="A1834" t="s">
        <v>2325</v>
      </c>
      <c r="B1834" t="s">
        <v>2326</v>
      </c>
      <c r="C1834" s="1">
        <v>46175</v>
      </c>
      <c r="D1834" t="s">
        <v>16</v>
      </c>
      <c r="E1834" t="s">
        <v>50</v>
      </c>
      <c r="F1834" t="s">
        <v>47</v>
      </c>
      <c r="G1834" t="s">
        <v>35</v>
      </c>
      <c r="H1834" t="s">
        <v>36</v>
      </c>
      <c r="I1834" t="s">
        <v>37</v>
      </c>
      <c r="J1834">
        <v>799</v>
      </c>
      <c r="K1834">
        <v>3</v>
      </c>
      <c r="L1834">
        <v>762.88</v>
      </c>
      <c r="M1834">
        <v>343.3</v>
      </c>
      <c r="N1834">
        <v>2288.64</v>
      </c>
      <c r="O1834">
        <v>1945.34</v>
      </c>
      <c r="P1834" t="s">
        <v>2111</v>
      </c>
      <c r="Q1834" t="s">
        <v>1809</v>
      </c>
    </row>
    <row r="1835" spans="1:17" x14ac:dyDescent="0.3">
      <c r="A1835" t="s">
        <v>471</v>
      </c>
      <c r="B1835" t="s">
        <v>470</v>
      </c>
      <c r="C1835" s="1">
        <v>46052</v>
      </c>
      <c r="D1835" t="s">
        <v>41</v>
      </c>
      <c r="E1835" t="s">
        <v>17</v>
      </c>
      <c r="F1835" t="s">
        <v>60</v>
      </c>
      <c r="G1835" t="s">
        <v>101</v>
      </c>
      <c r="H1835" t="s">
        <v>102</v>
      </c>
      <c r="I1835" t="s">
        <v>45</v>
      </c>
      <c r="J1835">
        <v>4999</v>
      </c>
      <c r="K1835">
        <v>2</v>
      </c>
      <c r="L1835">
        <v>5004.12</v>
      </c>
      <c r="M1835">
        <v>1501.24</v>
      </c>
      <c r="N1835">
        <v>10008.24</v>
      </c>
      <c r="O1835">
        <v>8507</v>
      </c>
      <c r="P1835" t="s">
        <v>2111</v>
      </c>
      <c r="Q1835" t="s">
        <v>23</v>
      </c>
    </row>
    <row r="1836" spans="1:17" x14ac:dyDescent="0.3">
      <c r="A1836" t="s">
        <v>157</v>
      </c>
      <c r="B1836" t="s">
        <v>156</v>
      </c>
      <c r="C1836" s="1">
        <v>46028</v>
      </c>
      <c r="D1836" t="s">
        <v>63</v>
      </c>
      <c r="E1836" t="s">
        <v>17</v>
      </c>
      <c r="F1836" t="s">
        <v>31</v>
      </c>
      <c r="G1836" t="s">
        <v>250</v>
      </c>
      <c r="H1836" t="s">
        <v>251</v>
      </c>
      <c r="I1836" t="s">
        <v>108</v>
      </c>
      <c r="J1836">
        <v>899</v>
      </c>
      <c r="K1836">
        <v>1</v>
      </c>
      <c r="L1836">
        <v>981.47</v>
      </c>
      <c r="M1836">
        <v>98.15</v>
      </c>
      <c r="N1836">
        <v>981.47</v>
      </c>
      <c r="O1836">
        <v>883.32</v>
      </c>
      <c r="P1836" t="s">
        <v>2111</v>
      </c>
      <c r="Q1836" t="s">
        <v>23</v>
      </c>
    </row>
    <row r="1837" spans="1:17" x14ac:dyDescent="0.3">
      <c r="A1837" t="s">
        <v>2877</v>
      </c>
      <c r="B1837" t="s">
        <v>2878</v>
      </c>
      <c r="C1837" s="1">
        <v>46053</v>
      </c>
      <c r="D1837" t="s">
        <v>63</v>
      </c>
      <c r="E1837" t="s">
        <v>17</v>
      </c>
      <c r="F1837" t="s">
        <v>31</v>
      </c>
      <c r="G1837" t="s">
        <v>165</v>
      </c>
      <c r="H1837" t="s">
        <v>166</v>
      </c>
      <c r="I1837" t="s">
        <v>29</v>
      </c>
      <c r="J1837">
        <v>449</v>
      </c>
      <c r="K1837">
        <v>2</v>
      </c>
      <c r="L1837">
        <v>419.58</v>
      </c>
      <c r="M1837">
        <v>209.79</v>
      </c>
      <c r="N1837">
        <v>839.16</v>
      </c>
      <c r="O1837">
        <v>629.37</v>
      </c>
      <c r="P1837" t="s">
        <v>2111</v>
      </c>
      <c r="Q1837" t="s">
        <v>23</v>
      </c>
    </row>
    <row r="1838" spans="1:17" x14ac:dyDescent="0.3">
      <c r="A1838" t="s">
        <v>2879</v>
      </c>
      <c r="B1838" t="s">
        <v>1096</v>
      </c>
      <c r="C1838" s="1">
        <v>46152</v>
      </c>
      <c r="D1838" t="s">
        <v>41</v>
      </c>
      <c r="E1838" t="s">
        <v>50</v>
      </c>
      <c r="F1838" t="s">
        <v>31</v>
      </c>
      <c r="G1838" t="s">
        <v>96</v>
      </c>
      <c r="H1838" t="s">
        <v>97</v>
      </c>
      <c r="I1838" t="s">
        <v>58</v>
      </c>
      <c r="J1838">
        <v>7499</v>
      </c>
      <c r="K1838">
        <v>1</v>
      </c>
      <c r="L1838">
        <v>7828.45</v>
      </c>
      <c r="M1838">
        <v>782.84</v>
      </c>
      <c r="N1838">
        <v>7828.45</v>
      </c>
      <c r="O1838">
        <v>7045.61</v>
      </c>
      <c r="P1838" t="s">
        <v>2114</v>
      </c>
      <c r="Q1838" t="s">
        <v>1479</v>
      </c>
    </row>
    <row r="1839" spans="1:17" x14ac:dyDescent="0.3">
      <c r="A1839" t="s">
        <v>847</v>
      </c>
      <c r="B1839" t="s">
        <v>846</v>
      </c>
      <c r="C1839" s="1">
        <v>46086</v>
      </c>
      <c r="D1839" t="s">
        <v>16</v>
      </c>
      <c r="E1839" t="s">
        <v>50</v>
      </c>
      <c r="F1839" t="s">
        <v>74</v>
      </c>
      <c r="G1839" t="s">
        <v>106</v>
      </c>
      <c r="H1839" t="s">
        <v>107</v>
      </c>
      <c r="I1839" t="s">
        <v>108</v>
      </c>
      <c r="J1839">
        <v>599</v>
      </c>
      <c r="K1839">
        <v>4</v>
      </c>
      <c r="L1839">
        <v>612.71</v>
      </c>
      <c r="M1839">
        <v>0</v>
      </c>
      <c r="N1839">
        <v>2450.84</v>
      </c>
      <c r="O1839">
        <v>2450.84</v>
      </c>
      <c r="P1839" t="s">
        <v>2111</v>
      </c>
      <c r="Q1839" t="s">
        <v>789</v>
      </c>
    </row>
    <row r="1840" spans="1:17" x14ac:dyDescent="0.3">
      <c r="A1840" t="s">
        <v>2880</v>
      </c>
      <c r="B1840" t="s">
        <v>1822</v>
      </c>
      <c r="C1840" s="1">
        <v>46058</v>
      </c>
      <c r="D1840" t="s">
        <v>34</v>
      </c>
      <c r="E1840" t="s">
        <v>42</v>
      </c>
      <c r="F1840" t="s">
        <v>31</v>
      </c>
      <c r="G1840" t="s">
        <v>250</v>
      </c>
      <c r="H1840" t="s">
        <v>251</v>
      </c>
      <c r="I1840" t="s">
        <v>108</v>
      </c>
      <c r="J1840">
        <v>899</v>
      </c>
      <c r="K1840">
        <v>1</v>
      </c>
      <c r="L1840">
        <v>931.31</v>
      </c>
      <c r="M1840">
        <v>139.69999999999999</v>
      </c>
      <c r="N1840">
        <v>931.31</v>
      </c>
      <c r="O1840">
        <v>791.61</v>
      </c>
      <c r="P1840" t="s">
        <v>2111</v>
      </c>
      <c r="Q1840" t="s">
        <v>498</v>
      </c>
    </row>
    <row r="1841" spans="1:17" x14ac:dyDescent="0.3">
      <c r="A1841" t="s">
        <v>2313</v>
      </c>
      <c r="B1841" t="s">
        <v>2314</v>
      </c>
      <c r="C1841" s="1">
        <v>46203</v>
      </c>
      <c r="D1841" t="s">
        <v>26</v>
      </c>
      <c r="E1841" t="s">
        <v>50</v>
      </c>
      <c r="F1841" t="s">
        <v>47</v>
      </c>
      <c r="G1841" t="s">
        <v>355</v>
      </c>
      <c r="H1841" t="s">
        <v>356</v>
      </c>
      <c r="I1841" t="s">
        <v>82</v>
      </c>
      <c r="J1841">
        <v>499</v>
      </c>
      <c r="K1841">
        <v>1</v>
      </c>
      <c r="L1841">
        <v>484.15</v>
      </c>
      <c r="M1841">
        <v>24.21</v>
      </c>
      <c r="N1841">
        <v>484.15</v>
      </c>
      <c r="O1841">
        <v>459.94</v>
      </c>
      <c r="P1841" t="s">
        <v>2111</v>
      </c>
      <c r="Q1841" t="s">
        <v>1809</v>
      </c>
    </row>
    <row r="1842" spans="1:17" x14ac:dyDescent="0.3">
      <c r="A1842" t="s">
        <v>2643</v>
      </c>
      <c r="B1842" t="s">
        <v>846</v>
      </c>
      <c r="C1842" s="1">
        <v>46150</v>
      </c>
      <c r="D1842" t="s">
        <v>34</v>
      </c>
      <c r="E1842" t="s">
        <v>17</v>
      </c>
      <c r="F1842" t="s">
        <v>47</v>
      </c>
      <c r="G1842" t="s">
        <v>149</v>
      </c>
      <c r="H1842" t="s">
        <v>150</v>
      </c>
      <c r="I1842" t="s">
        <v>37</v>
      </c>
      <c r="J1842">
        <v>2999</v>
      </c>
      <c r="K1842">
        <v>1</v>
      </c>
      <c r="L1842">
        <v>2887.36</v>
      </c>
      <c r="M1842">
        <v>433.1</v>
      </c>
      <c r="N1842">
        <v>2887.36</v>
      </c>
      <c r="O1842">
        <v>2454.2600000000002</v>
      </c>
      <c r="P1842" t="s">
        <v>2111</v>
      </c>
      <c r="Q1842" t="s">
        <v>1479</v>
      </c>
    </row>
    <row r="1843" spans="1:17" x14ac:dyDescent="0.3">
      <c r="A1843" t="s">
        <v>1409</v>
      </c>
      <c r="B1843" t="s">
        <v>616</v>
      </c>
      <c r="C1843" s="1">
        <v>46136</v>
      </c>
      <c r="D1843" t="s">
        <v>26</v>
      </c>
      <c r="E1843" t="s">
        <v>50</v>
      </c>
      <c r="F1843" t="s">
        <v>74</v>
      </c>
      <c r="G1843" t="s">
        <v>355</v>
      </c>
      <c r="H1843" t="s">
        <v>356</v>
      </c>
      <c r="I1843" t="s">
        <v>82</v>
      </c>
      <c r="J1843">
        <v>499</v>
      </c>
      <c r="K1843">
        <v>1</v>
      </c>
      <c r="L1843">
        <v>517.38</v>
      </c>
      <c r="M1843">
        <v>129.34</v>
      </c>
      <c r="N1843">
        <v>517.38</v>
      </c>
      <c r="O1843">
        <v>388.04</v>
      </c>
      <c r="P1843" t="s">
        <v>2111</v>
      </c>
      <c r="Q1843" t="s">
        <v>1170</v>
      </c>
    </row>
    <row r="1844" spans="1:17" x14ac:dyDescent="0.3">
      <c r="A1844" t="s">
        <v>2881</v>
      </c>
      <c r="B1844" t="s">
        <v>2882</v>
      </c>
      <c r="C1844" s="1">
        <v>46119</v>
      </c>
      <c r="D1844" t="s">
        <v>26</v>
      </c>
      <c r="E1844" t="s">
        <v>50</v>
      </c>
      <c r="F1844" t="s">
        <v>31</v>
      </c>
      <c r="G1844" t="s">
        <v>149</v>
      </c>
      <c r="H1844" t="s">
        <v>150</v>
      </c>
      <c r="I1844" t="s">
        <v>37</v>
      </c>
      <c r="J1844">
        <v>2999</v>
      </c>
      <c r="K1844">
        <v>4</v>
      </c>
      <c r="L1844">
        <v>2828.38</v>
      </c>
      <c r="M1844">
        <v>1697.03</v>
      </c>
      <c r="N1844">
        <v>11313.52</v>
      </c>
      <c r="O1844">
        <v>9616.49</v>
      </c>
      <c r="P1844" t="s">
        <v>2111</v>
      </c>
      <c r="Q1844" t="s">
        <v>1170</v>
      </c>
    </row>
    <row r="1845" spans="1:17" x14ac:dyDescent="0.3">
      <c r="A1845" t="s">
        <v>988</v>
      </c>
      <c r="B1845" t="s">
        <v>987</v>
      </c>
      <c r="C1845" s="1">
        <v>46096</v>
      </c>
      <c r="D1845" t="s">
        <v>16</v>
      </c>
      <c r="E1845" t="s">
        <v>50</v>
      </c>
      <c r="F1845" t="s">
        <v>22</v>
      </c>
      <c r="G1845" t="s">
        <v>96</v>
      </c>
      <c r="H1845" t="s">
        <v>97</v>
      </c>
      <c r="I1845" t="s">
        <v>58</v>
      </c>
      <c r="J1845">
        <v>7499</v>
      </c>
      <c r="K1845">
        <v>1</v>
      </c>
      <c r="L1845">
        <v>7378.5</v>
      </c>
      <c r="M1845">
        <v>737.85</v>
      </c>
      <c r="N1845">
        <v>7378.5</v>
      </c>
      <c r="O1845">
        <v>6640.65</v>
      </c>
      <c r="P1845" t="s">
        <v>2111</v>
      </c>
      <c r="Q1845" t="s">
        <v>789</v>
      </c>
    </row>
    <row r="1846" spans="1:17" x14ac:dyDescent="0.3">
      <c r="A1846" t="s">
        <v>386</v>
      </c>
      <c r="B1846" t="s">
        <v>385</v>
      </c>
      <c r="C1846" s="1">
        <v>46044</v>
      </c>
      <c r="D1846" t="s">
        <v>26</v>
      </c>
      <c r="E1846" t="s">
        <v>17</v>
      </c>
      <c r="F1846" t="s">
        <v>22</v>
      </c>
      <c r="G1846" t="s">
        <v>86</v>
      </c>
      <c r="H1846" t="s">
        <v>87</v>
      </c>
      <c r="I1846" t="s">
        <v>82</v>
      </c>
      <c r="J1846">
        <v>3499</v>
      </c>
      <c r="K1846">
        <v>2</v>
      </c>
      <c r="L1846">
        <v>3280.78</v>
      </c>
      <c r="M1846">
        <v>656.16</v>
      </c>
      <c r="N1846">
        <v>6561.56</v>
      </c>
      <c r="O1846">
        <v>5905.4</v>
      </c>
      <c r="P1846" t="s">
        <v>2111</v>
      </c>
      <c r="Q1846" t="s">
        <v>23</v>
      </c>
    </row>
    <row r="1847" spans="1:17" x14ac:dyDescent="0.3">
      <c r="A1847" t="s">
        <v>392</v>
      </c>
      <c r="B1847" t="s">
        <v>391</v>
      </c>
      <c r="C1847" s="1">
        <v>46044</v>
      </c>
      <c r="D1847" t="s">
        <v>34</v>
      </c>
      <c r="E1847" t="s">
        <v>42</v>
      </c>
      <c r="F1847" t="s">
        <v>22</v>
      </c>
      <c r="G1847" t="s">
        <v>250</v>
      </c>
      <c r="H1847" t="s">
        <v>251</v>
      </c>
      <c r="I1847" t="s">
        <v>108</v>
      </c>
      <c r="J1847">
        <v>899</v>
      </c>
      <c r="K1847">
        <v>1</v>
      </c>
      <c r="L1847">
        <v>810.59</v>
      </c>
      <c r="M1847">
        <v>40.53</v>
      </c>
      <c r="N1847">
        <v>810.59</v>
      </c>
      <c r="O1847">
        <v>770.06</v>
      </c>
      <c r="P1847" t="s">
        <v>2111</v>
      </c>
      <c r="Q1847" t="s">
        <v>23</v>
      </c>
    </row>
    <row r="1848" spans="1:17" x14ac:dyDescent="0.3">
      <c r="A1848" t="s">
        <v>2883</v>
      </c>
      <c r="B1848" t="s">
        <v>2884</v>
      </c>
      <c r="C1848" s="1">
        <v>46038</v>
      </c>
      <c r="D1848" t="s">
        <v>34</v>
      </c>
      <c r="E1848" t="s">
        <v>17</v>
      </c>
      <c r="F1848" t="s">
        <v>74</v>
      </c>
      <c r="G1848" t="s">
        <v>149</v>
      </c>
      <c r="H1848" t="s">
        <v>150</v>
      </c>
      <c r="I1848" t="s">
        <v>37</v>
      </c>
      <c r="J1848">
        <v>2999</v>
      </c>
      <c r="K1848">
        <v>3</v>
      </c>
      <c r="L1848">
        <v>3280.94</v>
      </c>
      <c r="M1848">
        <v>492.14</v>
      </c>
      <c r="N1848">
        <v>9842.82</v>
      </c>
      <c r="O1848">
        <v>9350.68</v>
      </c>
      <c r="P1848" t="s">
        <v>2111</v>
      </c>
      <c r="Q1848" t="s">
        <v>23</v>
      </c>
    </row>
    <row r="1849" spans="1:17" x14ac:dyDescent="0.3">
      <c r="A1849" t="s">
        <v>2690</v>
      </c>
      <c r="B1849" t="s">
        <v>2691</v>
      </c>
      <c r="C1849" s="1">
        <v>46060</v>
      </c>
      <c r="D1849" t="s">
        <v>16</v>
      </c>
      <c r="E1849" t="s">
        <v>50</v>
      </c>
      <c r="F1849" t="s">
        <v>74</v>
      </c>
      <c r="G1849" t="s">
        <v>51</v>
      </c>
      <c r="H1849" t="s">
        <v>52</v>
      </c>
      <c r="I1849" t="s">
        <v>20</v>
      </c>
      <c r="J1849">
        <v>999</v>
      </c>
      <c r="K1849">
        <v>1</v>
      </c>
      <c r="L1849">
        <v>985.35</v>
      </c>
      <c r="M1849">
        <v>147.80000000000001</v>
      </c>
      <c r="N1849">
        <v>985.35</v>
      </c>
      <c r="O1849">
        <v>837.55</v>
      </c>
      <c r="P1849" t="s">
        <v>2111</v>
      </c>
      <c r="Q1849" t="s">
        <v>498</v>
      </c>
    </row>
    <row r="1850" spans="1:17" x14ac:dyDescent="0.3">
      <c r="A1850" t="s">
        <v>1316</v>
      </c>
      <c r="B1850" t="s">
        <v>782</v>
      </c>
      <c r="C1850" s="1">
        <v>46130</v>
      </c>
      <c r="D1850" t="s">
        <v>16</v>
      </c>
      <c r="E1850" t="s">
        <v>50</v>
      </c>
      <c r="F1850" t="s">
        <v>74</v>
      </c>
      <c r="G1850" t="s">
        <v>27</v>
      </c>
      <c r="H1850" t="s">
        <v>28</v>
      </c>
      <c r="I1850" t="s">
        <v>29</v>
      </c>
      <c r="J1850">
        <v>1599</v>
      </c>
      <c r="K1850">
        <v>1</v>
      </c>
      <c r="L1850">
        <v>1749.1</v>
      </c>
      <c r="M1850">
        <v>262.36</v>
      </c>
      <c r="N1850">
        <v>1749.1</v>
      </c>
      <c r="O1850">
        <v>1486.74</v>
      </c>
      <c r="P1850" t="s">
        <v>2111</v>
      </c>
      <c r="Q1850" t="s">
        <v>1170</v>
      </c>
    </row>
    <row r="1851" spans="1:17" x14ac:dyDescent="0.3">
      <c r="A1851" t="s">
        <v>1851</v>
      </c>
      <c r="B1851" t="s">
        <v>1850</v>
      </c>
      <c r="C1851" s="1">
        <v>46177</v>
      </c>
      <c r="D1851" t="s">
        <v>26</v>
      </c>
      <c r="E1851" t="s">
        <v>50</v>
      </c>
      <c r="F1851" t="s">
        <v>22</v>
      </c>
      <c r="G1851" t="s">
        <v>355</v>
      </c>
      <c r="H1851" t="s">
        <v>356</v>
      </c>
      <c r="I1851" t="s">
        <v>82</v>
      </c>
      <c r="J1851">
        <v>499</v>
      </c>
      <c r="K1851">
        <v>1</v>
      </c>
      <c r="L1851">
        <v>463.1</v>
      </c>
      <c r="M1851">
        <v>69.459999999999994</v>
      </c>
      <c r="N1851">
        <v>463.1</v>
      </c>
      <c r="O1851">
        <v>393.64</v>
      </c>
      <c r="P1851" t="s">
        <v>2111</v>
      </c>
      <c r="Q1851" t="s">
        <v>1809</v>
      </c>
    </row>
    <row r="1852" spans="1:17" x14ac:dyDescent="0.3">
      <c r="A1852" t="s">
        <v>2600</v>
      </c>
      <c r="B1852" t="s">
        <v>2601</v>
      </c>
      <c r="C1852" s="1">
        <v>46064</v>
      </c>
      <c r="D1852" t="s">
        <v>34</v>
      </c>
      <c r="E1852" t="s">
        <v>17</v>
      </c>
      <c r="F1852" t="s">
        <v>22</v>
      </c>
      <c r="G1852" t="s">
        <v>106</v>
      </c>
      <c r="H1852" t="s">
        <v>107</v>
      </c>
      <c r="I1852" t="s">
        <v>108</v>
      </c>
      <c r="J1852">
        <v>599</v>
      </c>
      <c r="K1852">
        <v>2</v>
      </c>
      <c r="L1852">
        <v>609.47</v>
      </c>
      <c r="M1852">
        <v>0</v>
      </c>
      <c r="N1852">
        <v>1218.94</v>
      </c>
      <c r="O1852">
        <v>1218.94</v>
      </c>
      <c r="P1852" t="s">
        <v>2111</v>
      </c>
      <c r="Q1852" t="s">
        <v>498</v>
      </c>
    </row>
    <row r="1853" spans="1:17" x14ac:dyDescent="0.3">
      <c r="A1853" t="s">
        <v>2572</v>
      </c>
      <c r="B1853" t="s">
        <v>1546</v>
      </c>
      <c r="C1853" s="1">
        <v>46038</v>
      </c>
      <c r="D1853" t="s">
        <v>63</v>
      </c>
      <c r="E1853" t="s">
        <v>17</v>
      </c>
      <c r="F1853" t="s">
        <v>47</v>
      </c>
      <c r="G1853" t="s">
        <v>191</v>
      </c>
      <c r="H1853" t="s">
        <v>192</v>
      </c>
      <c r="I1853" t="s">
        <v>45</v>
      </c>
      <c r="J1853">
        <v>699</v>
      </c>
      <c r="K1853">
        <v>1</v>
      </c>
      <c r="L1853">
        <v>657.2</v>
      </c>
      <c r="M1853">
        <v>65.72</v>
      </c>
      <c r="N1853">
        <v>657.2</v>
      </c>
      <c r="O1853">
        <v>591.48</v>
      </c>
      <c r="P1853" t="s">
        <v>2111</v>
      </c>
      <c r="Q1853" t="s">
        <v>23</v>
      </c>
    </row>
    <row r="1854" spans="1:17" x14ac:dyDescent="0.3">
      <c r="A1854" t="s">
        <v>1108</v>
      </c>
      <c r="B1854" t="s">
        <v>1107</v>
      </c>
      <c r="C1854" s="1">
        <v>46107</v>
      </c>
      <c r="D1854" t="s">
        <v>41</v>
      </c>
      <c r="E1854" t="s">
        <v>42</v>
      </c>
      <c r="F1854" t="s">
        <v>22</v>
      </c>
      <c r="G1854" t="s">
        <v>35</v>
      </c>
      <c r="H1854" t="s">
        <v>36</v>
      </c>
      <c r="I1854" t="s">
        <v>37</v>
      </c>
      <c r="J1854">
        <v>799</v>
      </c>
      <c r="K1854">
        <v>1</v>
      </c>
      <c r="L1854">
        <v>845.35</v>
      </c>
      <c r="M1854">
        <v>126.8</v>
      </c>
      <c r="N1854">
        <v>845.35</v>
      </c>
      <c r="O1854">
        <v>718.55</v>
      </c>
      <c r="P1854" t="s">
        <v>2111</v>
      </c>
      <c r="Q1854" t="s">
        <v>789</v>
      </c>
    </row>
    <row r="1855" spans="1:17" x14ac:dyDescent="0.3">
      <c r="A1855" t="s">
        <v>2359</v>
      </c>
      <c r="B1855" t="s">
        <v>2360</v>
      </c>
      <c r="C1855" s="1">
        <v>46158</v>
      </c>
      <c r="D1855" t="s">
        <v>41</v>
      </c>
      <c r="E1855" t="s">
        <v>17</v>
      </c>
      <c r="F1855" t="s">
        <v>31</v>
      </c>
      <c r="G1855" t="s">
        <v>191</v>
      </c>
      <c r="H1855" t="s">
        <v>192</v>
      </c>
      <c r="I1855" t="s">
        <v>45</v>
      </c>
      <c r="J1855">
        <v>699</v>
      </c>
      <c r="K1855">
        <v>1</v>
      </c>
      <c r="L1855">
        <v>738.66</v>
      </c>
      <c r="M1855">
        <v>73.87</v>
      </c>
      <c r="N1855">
        <v>738.66</v>
      </c>
      <c r="O1855">
        <v>664.79</v>
      </c>
      <c r="P1855" t="s">
        <v>2111</v>
      </c>
      <c r="Q1855" t="s">
        <v>1479</v>
      </c>
    </row>
    <row r="1856" spans="1:17" x14ac:dyDescent="0.3">
      <c r="A1856" t="s">
        <v>2829</v>
      </c>
      <c r="B1856" t="s">
        <v>1374</v>
      </c>
      <c r="C1856" s="1">
        <v>46155</v>
      </c>
      <c r="D1856" t="s">
        <v>26</v>
      </c>
      <c r="E1856" t="s">
        <v>17</v>
      </c>
      <c r="F1856" t="s">
        <v>31</v>
      </c>
      <c r="G1856" t="s">
        <v>149</v>
      </c>
      <c r="H1856" t="s">
        <v>150</v>
      </c>
      <c r="I1856" t="s">
        <v>37</v>
      </c>
      <c r="J1856">
        <v>2999</v>
      </c>
      <c r="K1856">
        <v>2</v>
      </c>
      <c r="L1856">
        <v>2766.64</v>
      </c>
      <c r="M1856">
        <v>553.33000000000004</v>
      </c>
      <c r="N1856">
        <v>5533.28</v>
      </c>
      <c r="O1856">
        <v>4979.95</v>
      </c>
      <c r="P1856" t="s">
        <v>2111</v>
      </c>
      <c r="Q1856" t="s">
        <v>1479</v>
      </c>
    </row>
    <row r="1857" spans="1:17" x14ac:dyDescent="0.3">
      <c r="A1857" t="s">
        <v>822</v>
      </c>
      <c r="B1857" t="s">
        <v>821</v>
      </c>
      <c r="C1857" s="1">
        <v>46084</v>
      </c>
      <c r="D1857" t="s">
        <v>16</v>
      </c>
      <c r="E1857" t="s">
        <v>17</v>
      </c>
      <c r="F1857" t="s">
        <v>60</v>
      </c>
      <c r="G1857" t="s">
        <v>250</v>
      </c>
      <c r="H1857" t="s">
        <v>251</v>
      </c>
      <c r="I1857" t="s">
        <v>108</v>
      </c>
      <c r="J1857">
        <v>899</v>
      </c>
      <c r="K1857">
        <v>1</v>
      </c>
      <c r="L1857">
        <v>973.09</v>
      </c>
      <c r="M1857">
        <v>145.96</v>
      </c>
      <c r="N1857">
        <v>973.09</v>
      </c>
      <c r="O1857">
        <v>827.13</v>
      </c>
      <c r="P1857" t="s">
        <v>2111</v>
      </c>
      <c r="Q1857" t="s">
        <v>789</v>
      </c>
    </row>
    <row r="1858" spans="1:17" x14ac:dyDescent="0.3">
      <c r="A1858" t="s">
        <v>2885</v>
      </c>
      <c r="B1858" t="s">
        <v>1270</v>
      </c>
      <c r="C1858" s="1">
        <v>46070</v>
      </c>
      <c r="D1858" t="s">
        <v>16</v>
      </c>
      <c r="E1858" t="s">
        <v>42</v>
      </c>
      <c r="F1858" t="s">
        <v>22</v>
      </c>
      <c r="G1858" t="s">
        <v>106</v>
      </c>
      <c r="H1858" t="s">
        <v>107</v>
      </c>
      <c r="I1858" t="s">
        <v>108</v>
      </c>
      <c r="J1858">
        <v>599</v>
      </c>
      <c r="K1858">
        <v>1</v>
      </c>
      <c r="L1858">
        <v>562.41999999999996</v>
      </c>
      <c r="M1858">
        <v>84.36</v>
      </c>
      <c r="N1858">
        <v>562.41999999999996</v>
      </c>
      <c r="O1858">
        <v>478.06</v>
      </c>
      <c r="P1858" t="s">
        <v>2111</v>
      </c>
      <c r="Q1858" t="s">
        <v>498</v>
      </c>
    </row>
    <row r="1859" spans="1:17" x14ac:dyDescent="0.3">
      <c r="A1859" t="s">
        <v>2317</v>
      </c>
      <c r="B1859" t="s">
        <v>830</v>
      </c>
      <c r="C1859" s="1">
        <v>46161</v>
      </c>
      <c r="D1859" t="s">
        <v>16</v>
      </c>
      <c r="E1859" t="s">
        <v>17</v>
      </c>
      <c r="F1859" t="s">
        <v>31</v>
      </c>
      <c r="G1859" t="s">
        <v>35</v>
      </c>
      <c r="H1859" t="s">
        <v>36</v>
      </c>
      <c r="I1859" t="s">
        <v>37</v>
      </c>
      <c r="J1859">
        <v>799</v>
      </c>
      <c r="K1859">
        <v>1</v>
      </c>
      <c r="L1859">
        <v>817.05</v>
      </c>
      <c r="M1859">
        <v>81.7</v>
      </c>
      <c r="N1859">
        <v>817.05</v>
      </c>
      <c r="O1859">
        <v>735.35</v>
      </c>
      <c r="P1859" t="s">
        <v>2111</v>
      </c>
      <c r="Q1859" t="s">
        <v>1479</v>
      </c>
    </row>
    <row r="1860" spans="1:17" x14ac:dyDescent="0.3">
      <c r="A1860" t="s">
        <v>2886</v>
      </c>
      <c r="B1860" t="s">
        <v>2887</v>
      </c>
      <c r="C1860" s="1">
        <v>46092</v>
      </c>
      <c r="D1860" t="s">
        <v>63</v>
      </c>
      <c r="E1860" t="s">
        <v>17</v>
      </c>
      <c r="F1860" t="s">
        <v>60</v>
      </c>
      <c r="G1860" t="s">
        <v>18</v>
      </c>
      <c r="H1860" t="s">
        <v>19</v>
      </c>
      <c r="I1860" t="s">
        <v>20</v>
      </c>
      <c r="J1860">
        <v>2799</v>
      </c>
      <c r="K1860">
        <v>2</v>
      </c>
      <c r="L1860">
        <v>3070.86</v>
      </c>
      <c r="M1860">
        <v>1228.3399999999999</v>
      </c>
      <c r="N1860">
        <v>6141.72</v>
      </c>
      <c r="O1860">
        <v>4913.38</v>
      </c>
      <c r="P1860" t="s">
        <v>2111</v>
      </c>
      <c r="Q1860" t="s">
        <v>789</v>
      </c>
    </row>
    <row r="1861" spans="1:17" x14ac:dyDescent="0.3">
      <c r="A1861" t="s">
        <v>1066</v>
      </c>
      <c r="B1861" t="s">
        <v>1065</v>
      </c>
      <c r="C1861" s="1">
        <v>46103</v>
      </c>
      <c r="D1861" t="s">
        <v>41</v>
      </c>
      <c r="E1861" t="s">
        <v>50</v>
      </c>
      <c r="F1861" t="s">
        <v>22</v>
      </c>
      <c r="G1861" t="s">
        <v>165</v>
      </c>
      <c r="H1861" t="s">
        <v>166</v>
      </c>
      <c r="I1861" t="s">
        <v>29</v>
      </c>
      <c r="J1861">
        <v>449</v>
      </c>
      <c r="K1861">
        <v>3</v>
      </c>
      <c r="L1861">
        <v>483.34</v>
      </c>
      <c r="M1861">
        <v>0</v>
      </c>
      <c r="N1861">
        <v>1450.02</v>
      </c>
      <c r="O1861">
        <v>1450.02</v>
      </c>
      <c r="P1861" t="s">
        <v>2111</v>
      </c>
      <c r="Q1861" t="s">
        <v>789</v>
      </c>
    </row>
    <row r="1862" spans="1:17" x14ac:dyDescent="0.3">
      <c r="A1862" t="s">
        <v>703</v>
      </c>
      <c r="B1862" t="s">
        <v>187</v>
      </c>
      <c r="C1862" s="1">
        <v>46074</v>
      </c>
      <c r="D1862" t="s">
        <v>16</v>
      </c>
      <c r="E1862" t="s">
        <v>17</v>
      </c>
      <c r="F1862" t="s">
        <v>60</v>
      </c>
      <c r="G1862" t="s">
        <v>51</v>
      </c>
      <c r="H1862" t="s">
        <v>52</v>
      </c>
      <c r="I1862" t="s">
        <v>20</v>
      </c>
      <c r="J1862">
        <v>999</v>
      </c>
      <c r="K1862">
        <v>1</v>
      </c>
      <c r="L1862">
        <v>1090.22</v>
      </c>
      <c r="M1862">
        <v>272.56</v>
      </c>
      <c r="N1862">
        <v>1090.22</v>
      </c>
      <c r="O1862">
        <v>817.66</v>
      </c>
      <c r="P1862" t="s">
        <v>2111</v>
      </c>
      <c r="Q1862" t="s">
        <v>498</v>
      </c>
    </row>
    <row r="1863" spans="1:17" x14ac:dyDescent="0.3">
      <c r="A1863" t="s">
        <v>2423</v>
      </c>
      <c r="B1863" t="s">
        <v>2424</v>
      </c>
      <c r="C1863" s="1">
        <v>46198</v>
      </c>
      <c r="D1863" t="s">
        <v>41</v>
      </c>
      <c r="E1863" t="s">
        <v>17</v>
      </c>
      <c r="F1863" t="s">
        <v>60</v>
      </c>
      <c r="G1863" t="s">
        <v>126</v>
      </c>
      <c r="H1863" t="s">
        <v>127</v>
      </c>
      <c r="I1863" t="s">
        <v>45</v>
      </c>
      <c r="J1863">
        <v>2499</v>
      </c>
      <c r="K1863">
        <v>1</v>
      </c>
      <c r="L1863">
        <v>2420.33</v>
      </c>
      <c r="M1863">
        <v>0</v>
      </c>
      <c r="N1863">
        <v>2420.33</v>
      </c>
      <c r="O1863">
        <v>2420.33</v>
      </c>
      <c r="P1863" t="s">
        <v>2111</v>
      </c>
      <c r="Q1863" t="s">
        <v>1809</v>
      </c>
    </row>
    <row r="1864" spans="1:17" x14ac:dyDescent="0.3">
      <c r="A1864" t="s">
        <v>2526</v>
      </c>
      <c r="B1864" t="s">
        <v>2527</v>
      </c>
      <c r="C1864" s="1">
        <v>46156</v>
      </c>
      <c r="D1864" t="s">
        <v>16</v>
      </c>
      <c r="E1864" t="s">
        <v>17</v>
      </c>
      <c r="F1864" t="s">
        <v>74</v>
      </c>
      <c r="G1864" t="s">
        <v>96</v>
      </c>
      <c r="H1864" t="s">
        <v>97</v>
      </c>
      <c r="I1864" t="s">
        <v>58</v>
      </c>
      <c r="J1864">
        <v>7499</v>
      </c>
      <c r="K1864">
        <v>1</v>
      </c>
      <c r="L1864">
        <v>6907.44</v>
      </c>
      <c r="M1864">
        <v>0</v>
      </c>
      <c r="N1864">
        <v>6907.44</v>
      </c>
      <c r="O1864">
        <v>6907.44</v>
      </c>
      <c r="P1864" t="s">
        <v>2111</v>
      </c>
      <c r="Q1864" t="s">
        <v>1479</v>
      </c>
    </row>
    <row r="1865" spans="1:17" x14ac:dyDescent="0.3">
      <c r="A1865" t="s">
        <v>628</v>
      </c>
      <c r="B1865" t="s">
        <v>627</v>
      </c>
      <c r="C1865" s="1">
        <v>46065</v>
      </c>
      <c r="D1865" t="s">
        <v>34</v>
      </c>
      <c r="E1865" t="s">
        <v>17</v>
      </c>
      <c r="F1865" t="s">
        <v>22</v>
      </c>
      <c r="G1865" t="s">
        <v>112</v>
      </c>
      <c r="H1865" t="s">
        <v>113</v>
      </c>
      <c r="I1865" t="s">
        <v>37</v>
      </c>
      <c r="J1865">
        <v>1499</v>
      </c>
      <c r="K1865">
        <v>1</v>
      </c>
      <c r="L1865">
        <v>1405.57</v>
      </c>
      <c r="M1865">
        <v>281.11</v>
      </c>
      <c r="N1865">
        <v>1405.57</v>
      </c>
      <c r="O1865">
        <v>1124.46</v>
      </c>
      <c r="P1865" t="s">
        <v>2111</v>
      </c>
      <c r="Q1865" t="s">
        <v>498</v>
      </c>
    </row>
    <row r="1866" spans="1:17" x14ac:dyDescent="0.3">
      <c r="A1866" t="s">
        <v>247</v>
      </c>
      <c r="B1866" t="s">
        <v>246</v>
      </c>
      <c r="C1866" s="1">
        <v>46034</v>
      </c>
      <c r="D1866" t="s">
        <v>34</v>
      </c>
      <c r="E1866" t="s">
        <v>50</v>
      </c>
      <c r="F1866" t="s">
        <v>47</v>
      </c>
      <c r="G1866" t="s">
        <v>96</v>
      </c>
      <c r="H1866" t="s">
        <v>97</v>
      </c>
      <c r="I1866" t="s">
        <v>58</v>
      </c>
      <c r="J1866">
        <v>7499</v>
      </c>
      <c r="K1866">
        <v>1</v>
      </c>
      <c r="L1866">
        <v>7499.74</v>
      </c>
      <c r="M1866">
        <v>374.99</v>
      </c>
      <c r="N1866">
        <v>7499.74</v>
      </c>
      <c r="O1866">
        <v>7124.75</v>
      </c>
      <c r="P1866" t="s">
        <v>2111</v>
      </c>
      <c r="Q1866" t="s">
        <v>23</v>
      </c>
    </row>
    <row r="1867" spans="1:17" x14ac:dyDescent="0.3">
      <c r="A1867" t="s">
        <v>1094</v>
      </c>
      <c r="B1867" t="s">
        <v>1093</v>
      </c>
      <c r="C1867" s="1">
        <v>46105</v>
      </c>
      <c r="D1867" t="s">
        <v>63</v>
      </c>
      <c r="E1867" t="s">
        <v>17</v>
      </c>
      <c r="F1867" t="s">
        <v>47</v>
      </c>
      <c r="G1867" t="s">
        <v>101</v>
      </c>
      <c r="H1867" t="s">
        <v>102</v>
      </c>
      <c r="I1867" t="s">
        <v>45</v>
      </c>
      <c r="J1867">
        <v>4999</v>
      </c>
      <c r="K1867">
        <v>2</v>
      </c>
      <c r="L1867">
        <v>5292.17</v>
      </c>
      <c r="M1867">
        <v>1587.65</v>
      </c>
      <c r="N1867">
        <v>10584.34</v>
      </c>
      <c r="O1867">
        <v>8996.69</v>
      </c>
      <c r="P1867" t="s">
        <v>2111</v>
      </c>
      <c r="Q1867" t="s">
        <v>789</v>
      </c>
    </row>
    <row r="1868" spans="1:17" x14ac:dyDescent="0.3">
      <c r="A1868" t="s">
        <v>2305</v>
      </c>
      <c r="B1868" t="s">
        <v>2306</v>
      </c>
      <c r="C1868" s="1">
        <v>46034</v>
      </c>
      <c r="D1868" t="s">
        <v>16</v>
      </c>
      <c r="E1868" t="s">
        <v>50</v>
      </c>
      <c r="F1868" t="s">
        <v>22</v>
      </c>
      <c r="G1868" t="s">
        <v>101</v>
      </c>
      <c r="H1868" t="s">
        <v>102</v>
      </c>
      <c r="I1868" t="s">
        <v>45</v>
      </c>
      <c r="J1868">
        <v>4999</v>
      </c>
      <c r="K1868">
        <v>1</v>
      </c>
      <c r="L1868">
        <v>4649.22</v>
      </c>
      <c r="M1868">
        <v>697.38</v>
      </c>
      <c r="N1868">
        <v>4649.22</v>
      </c>
      <c r="O1868">
        <v>3951.84</v>
      </c>
      <c r="P1868" t="s">
        <v>2111</v>
      </c>
      <c r="Q1868" t="s">
        <v>23</v>
      </c>
    </row>
    <row r="1869" spans="1:17" x14ac:dyDescent="0.3">
      <c r="A1869" t="s">
        <v>468</v>
      </c>
      <c r="B1869" t="s">
        <v>467</v>
      </c>
      <c r="C1869" s="1">
        <v>46051</v>
      </c>
      <c r="D1869" t="s">
        <v>26</v>
      </c>
      <c r="E1869" t="s">
        <v>50</v>
      </c>
      <c r="F1869" t="s">
        <v>31</v>
      </c>
      <c r="G1869" t="s">
        <v>96</v>
      </c>
      <c r="H1869" t="s">
        <v>97</v>
      </c>
      <c r="I1869" t="s">
        <v>58</v>
      </c>
      <c r="J1869">
        <v>7499</v>
      </c>
      <c r="K1869">
        <v>3</v>
      </c>
      <c r="L1869">
        <v>7738.57</v>
      </c>
      <c r="M1869">
        <v>4643.1400000000003</v>
      </c>
      <c r="N1869">
        <v>23215.71</v>
      </c>
      <c r="O1869">
        <v>18572.57</v>
      </c>
      <c r="P1869" t="s">
        <v>2111</v>
      </c>
      <c r="Q1869" t="s">
        <v>23</v>
      </c>
    </row>
    <row r="1870" spans="1:17" x14ac:dyDescent="0.3">
      <c r="A1870" t="s">
        <v>2888</v>
      </c>
      <c r="B1870" t="s">
        <v>2889</v>
      </c>
      <c r="C1870" s="1">
        <v>46109</v>
      </c>
      <c r="D1870" t="s">
        <v>63</v>
      </c>
      <c r="E1870" t="s">
        <v>17</v>
      </c>
      <c r="F1870" t="s">
        <v>47</v>
      </c>
      <c r="G1870" t="s">
        <v>112</v>
      </c>
      <c r="H1870" t="s">
        <v>113</v>
      </c>
      <c r="I1870" t="s">
        <v>37</v>
      </c>
      <c r="J1870">
        <v>1499</v>
      </c>
      <c r="K1870">
        <v>1</v>
      </c>
      <c r="L1870">
        <v>1446.11</v>
      </c>
      <c r="M1870">
        <v>361.53</v>
      </c>
      <c r="N1870">
        <v>1446.11</v>
      </c>
      <c r="O1870">
        <v>1084.58</v>
      </c>
      <c r="P1870" t="s">
        <v>2111</v>
      </c>
      <c r="Q1870" t="s">
        <v>789</v>
      </c>
    </row>
    <row r="1871" spans="1:17" x14ac:dyDescent="0.3">
      <c r="A1871" t="s">
        <v>1205</v>
      </c>
      <c r="B1871" t="s">
        <v>427</v>
      </c>
      <c r="C1871" s="1">
        <v>46117</v>
      </c>
      <c r="D1871" t="s">
        <v>16</v>
      </c>
      <c r="E1871" t="s">
        <v>17</v>
      </c>
      <c r="F1871" t="s">
        <v>47</v>
      </c>
      <c r="G1871" t="s">
        <v>27</v>
      </c>
      <c r="H1871" t="s">
        <v>28</v>
      </c>
      <c r="I1871" t="s">
        <v>29</v>
      </c>
      <c r="J1871">
        <v>1599</v>
      </c>
      <c r="K1871">
        <v>2</v>
      </c>
      <c r="L1871">
        <v>1548.22</v>
      </c>
      <c r="M1871">
        <v>154.82</v>
      </c>
      <c r="N1871">
        <v>3096.44</v>
      </c>
      <c r="O1871">
        <v>2941.62</v>
      </c>
      <c r="P1871" t="s">
        <v>2111</v>
      </c>
      <c r="Q1871" t="s">
        <v>1170</v>
      </c>
    </row>
    <row r="1872" spans="1:17" x14ac:dyDescent="0.3">
      <c r="A1872" t="s">
        <v>2890</v>
      </c>
      <c r="B1872" t="s">
        <v>2876</v>
      </c>
      <c r="C1872" s="1">
        <v>46202</v>
      </c>
      <c r="D1872" t="s">
        <v>16</v>
      </c>
      <c r="E1872" t="s">
        <v>42</v>
      </c>
      <c r="F1872" t="s">
        <v>47</v>
      </c>
      <c r="G1872" t="s">
        <v>43</v>
      </c>
      <c r="H1872" t="s">
        <v>44</v>
      </c>
      <c r="I1872" t="s">
        <v>45</v>
      </c>
      <c r="J1872">
        <v>3299</v>
      </c>
      <c r="K1872">
        <v>1</v>
      </c>
      <c r="L1872">
        <v>3405.83</v>
      </c>
      <c r="M1872">
        <v>510.87</v>
      </c>
      <c r="N1872">
        <v>3405.83</v>
      </c>
      <c r="O1872">
        <v>2894.96</v>
      </c>
      <c r="P1872" t="s">
        <v>2111</v>
      </c>
      <c r="Q1872" t="s">
        <v>1809</v>
      </c>
    </row>
    <row r="1873" spans="1:17" x14ac:dyDescent="0.3">
      <c r="A1873" t="s">
        <v>1529</v>
      </c>
      <c r="B1873" t="s">
        <v>1528</v>
      </c>
      <c r="C1873" s="1">
        <v>46146</v>
      </c>
      <c r="D1873" t="s">
        <v>26</v>
      </c>
      <c r="E1873" t="s">
        <v>17</v>
      </c>
      <c r="F1873" t="s">
        <v>74</v>
      </c>
      <c r="G1873" t="s">
        <v>86</v>
      </c>
      <c r="H1873" t="s">
        <v>87</v>
      </c>
      <c r="I1873" t="s">
        <v>82</v>
      </c>
      <c r="J1873">
        <v>3499</v>
      </c>
      <c r="K1873">
        <v>1</v>
      </c>
      <c r="L1873">
        <v>3475.91</v>
      </c>
      <c r="M1873">
        <v>0</v>
      </c>
      <c r="N1873">
        <v>3475.91</v>
      </c>
      <c r="O1873">
        <v>3475.91</v>
      </c>
      <c r="P1873" t="s">
        <v>2111</v>
      </c>
      <c r="Q1873" t="s">
        <v>1479</v>
      </c>
    </row>
    <row r="1874" spans="1:17" x14ac:dyDescent="0.3">
      <c r="A1874" t="s">
        <v>2774</v>
      </c>
      <c r="B1874" t="s">
        <v>858</v>
      </c>
      <c r="C1874" s="1">
        <v>46065</v>
      </c>
      <c r="D1874" t="s">
        <v>34</v>
      </c>
      <c r="E1874" t="s">
        <v>17</v>
      </c>
      <c r="F1874" t="s">
        <v>31</v>
      </c>
      <c r="G1874" t="s">
        <v>160</v>
      </c>
      <c r="H1874" t="s">
        <v>161</v>
      </c>
      <c r="I1874" t="s">
        <v>82</v>
      </c>
      <c r="J1874">
        <v>799</v>
      </c>
      <c r="K1874">
        <v>1</v>
      </c>
      <c r="L1874">
        <v>848.86</v>
      </c>
      <c r="M1874">
        <v>84.89</v>
      </c>
      <c r="N1874">
        <v>848.86</v>
      </c>
      <c r="O1874">
        <v>763.97</v>
      </c>
      <c r="P1874" t="s">
        <v>2111</v>
      </c>
      <c r="Q1874" t="s">
        <v>498</v>
      </c>
    </row>
    <row r="1875" spans="1:17" x14ac:dyDescent="0.3">
      <c r="A1875" t="s">
        <v>1365</v>
      </c>
      <c r="B1875" t="s">
        <v>1042</v>
      </c>
      <c r="C1875" s="1">
        <v>46133</v>
      </c>
      <c r="D1875" t="s">
        <v>26</v>
      </c>
      <c r="E1875" t="s">
        <v>42</v>
      </c>
      <c r="F1875" t="s">
        <v>31</v>
      </c>
      <c r="G1875" t="s">
        <v>101</v>
      </c>
      <c r="H1875" t="s">
        <v>102</v>
      </c>
      <c r="I1875" t="s">
        <v>45</v>
      </c>
      <c r="J1875">
        <v>4999</v>
      </c>
      <c r="K1875">
        <v>1</v>
      </c>
      <c r="L1875">
        <v>4654.99</v>
      </c>
      <c r="M1875">
        <v>931</v>
      </c>
      <c r="N1875">
        <v>4654.99</v>
      </c>
      <c r="O1875">
        <v>3723.99</v>
      </c>
      <c r="P1875" t="s">
        <v>2111</v>
      </c>
      <c r="Q1875" t="s">
        <v>1170</v>
      </c>
    </row>
    <row r="1876" spans="1:17" x14ac:dyDescent="0.3">
      <c r="A1876" t="s">
        <v>1814</v>
      </c>
      <c r="B1876" t="s">
        <v>1183</v>
      </c>
      <c r="C1876" s="1">
        <v>46174</v>
      </c>
      <c r="D1876" t="s">
        <v>26</v>
      </c>
      <c r="E1876" t="s">
        <v>17</v>
      </c>
      <c r="F1876" t="s">
        <v>22</v>
      </c>
      <c r="G1876" t="s">
        <v>43</v>
      </c>
      <c r="H1876" t="s">
        <v>44</v>
      </c>
      <c r="I1876" t="s">
        <v>45</v>
      </c>
      <c r="J1876">
        <v>3299</v>
      </c>
      <c r="K1876">
        <v>1</v>
      </c>
      <c r="L1876">
        <v>3490.31</v>
      </c>
      <c r="M1876">
        <v>174.52</v>
      </c>
      <c r="N1876">
        <v>3490.31</v>
      </c>
      <c r="O1876">
        <v>3315.79</v>
      </c>
      <c r="P1876" t="s">
        <v>2114</v>
      </c>
      <c r="Q1876" t="s">
        <v>1809</v>
      </c>
    </row>
    <row r="1877" spans="1:17" x14ac:dyDescent="0.3">
      <c r="A1877" t="s">
        <v>726</v>
      </c>
      <c r="B1877" t="s">
        <v>725</v>
      </c>
      <c r="C1877" s="1">
        <v>46075</v>
      </c>
      <c r="D1877" t="s">
        <v>26</v>
      </c>
      <c r="E1877" t="s">
        <v>42</v>
      </c>
      <c r="F1877" t="s">
        <v>22</v>
      </c>
      <c r="G1877" t="s">
        <v>35</v>
      </c>
      <c r="H1877" t="s">
        <v>36</v>
      </c>
      <c r="I1877" t="s">
        <v>37</v>
      </c>
      <c r="J1877">
        <v>799</v>
      </c>
      <c r="K1877">
        <v>2</v>
      </c>
      <c r="L1877">
        <v>729.36</v>
      </c>
      <c r="M1877">
        <v>145.87</v>
      </c>
      <c r="N1877">
        <v>1458.72</v>
      </c>
      <c r="O1877">
        <v>1312.85</v>
      </c>
      <c r="P1877" t="s">
        <v>2111</v>
      </c>
      <c r="Q1877" t="s">
        <v>498</v>
      </c>
    </row>
    <row r="1878" spans="1:17" x14ac:dyDescent="0.3">
      <c r="A1878" t="s">
        <v>1300</v>
      </c>
      <c r="B1878" t="s">
        <v>1299</v>
      </c>
      <c r="C1878" s="1">
        <v>46127</v>
      </c>
      <c r="D1878" t="s">
        <v>16</v>
      </c>
      <c r="E1878" t="s">
        <v>17</v>
      </c>
      <c r="F1878" t="s">
        <v>31</v>
      </c>
      <c r="G1878" t="s">
        <v>250</v>
      </c>
      <c r="H1878" t="s">
        <v>251</v>
      </c>
      <c r="I1878" t="s">
        <v>108</v>
      </c>
      <c r="J1878">
        <v>899</v>
      </c>
      <c r="K1878">
        <v>3</v>
      </c>
      <c r="L1878">
        <v>843.99</v>
      </c>
      <c r="M1878">
        <v>253.2</v>
      </c>
      <c r="N1878">
        <v>2531.9699999999998</v>
      </c>
      <c r="O1878">
        <v>2278.77</v>
      </c>
      <c r="P1878" t="s">
        <v>2111</v>
      </c>
      <c r="Q1878" t="s">
        <v>1170</v>
      </c>
    </row>
    <row r="1879" spans="1:17" x14ac:dyDescent="0.3">
      <c r="A1879" t="s">
        <v>2690</v>
      </c>
      <c r="B1879" t="s">
        <v>2691</v>
      </c>
      <c r="C1879" s="1">
        <v>46060</v>
      </c>
      <c r="D1879" t="s">
        <v>16</v>
      </c>
      <c r="E1879" t="s">
        <v>50</v>
      </c>
      <c r="F1879" t="s">
        <v>74</v>
      </c>
      <c r="G1879" t="s">
        <v>126</v>
      </c>
      <c r="H1879" t="s">
        <v>127</v>
      </c>
      <c r="I1879" t="s">
        <v>45</v>
      </c>
      <c r="J1879">
        <v>2499</v>
      </c>
      <c r="K1879">
        <v>1</v>
      </c>
      <c r="L1879">
        <v>2577.04</v>
      </c>
      <c r="M1879">
        <v>386.56</v>
      </c>
      <c r="N1879">
        <v>2577.04</v>
      </c>
      <c r="O1879">
        <v>2190.48</v>
      </c>
      <c r="P1879" t="s">
        <v>2111</v>
      </c>
      <c r="Q1879" t="s">
        <v>498</v>
      </c>
    </row>
    <row r="1880" spans="1:17" x14ac:dyDescent="0.3">
      <c r="A1880" t="s">
        <v>2727</v>
      </c>
      <c r="B1880" t="s">
        <v>2728</v>
      </c>
      <c r="C1880" s="1">
        <v>46179</v>
      </c>
      <c r="D1880" t="s">
        <v>16</v>
      </c>
      <c r="E1880" t="s">
        <v>17</v>
      </c>
      <c r="F1880" t="s">
        <v>60</v>
      </c>
      <c r="G1880" t="s">
        <v>149</v>
      </c>
      <c r="H1880" t="s">
        <v>150</v>
      </c>
      <c r="I1880" t="s">
        <v>37</v>
      </c>
      <c r="J1880">
        <v>2999</v>
      </c>
      <c r="K1880">
        <v>1</v>
      </c>
      <c r="L1880">
        <v>3211.88</v>
      </c>
      <c r="M1880">
        <v>802.97</v>
      </c>
      <c r="N1880">
        <v>3211.88</v>
      </c>
      <c r="O1880">
        <v>2408.91</v>
      </c>
      <c r="P1880" t="s">
        <v>2111</v>
      </c>
      <c r="Q1880" t="s">
        <v>1809</v>
      </c>
    </row>
    <row r="1881" spans="1:17" x14ac:dyDescent="0.3">
      <c r="A1881" t="s">
        <v>2891</v>
      </c>
      <c r="B1881" t="s">
        <v>198</v>
      </c>
      <c r="C1881" s="1">
        <v>46114</v>
      </c>
      <c r="D1881" t="s">
        <v>41</v>
      </c>
      <c r="E1881" t="s">
        <v>17</v>
      </c>
      <c r="F1881" t="s">
        <v>47</v>
      </c>
      <c r="G1881" t="s">
        <v>250</v>
      </c>
      <c r="H1881" t="s">
        <v>251</v>
      </c>
      <c r="I1881" t="s">
        <v>108</v>
      </c>
      <c r="J1881">
        <v>899</v>
      </c>
      <c r="K1881">
        <v>1</v>
      </c>
      <c r="L1881">
        <v>854.53</v>
      </c>
      <c r="M1881">
        <v>0</v>
      </c>
      <c r="N1881">
        <v>854.53</v>
      </c>
      <c r="O1881">
        <v>854.53</v>
      </c>
      <c r="P1881" t="s">
        <v>2111</v>
      </c>
      <c r="Q1881" t="s">
        <v>1170</v>
      </c>
    </row>
    <row r="1882" spans="1:17" x14ac:dyDescent="0.3">
      <c r="A1882" t="s">
        <v>255</v>
      </c>
      <c r="B1882" t="s">
        <v>254</v>
      </c>
      <c r="C1882" s="1">
        <v>46034</v>
      </c>
      <c r="D1882" t="s">
        <v>41</v>
      </c>
      <c r="E1882" t="s">
        <v>17</v>
      </c>
      <c r="F1882" t="s">
        <v>47</v>
      </c>
      <c r="G1882" t="s">
        <v>112</v>
      </c>
      <c r="H1882" t="s">
        <v>113</v>
      </c>
      <c r="I1882" t="s">
        <v>37</v>
      </c>
      <c r="J1882">
        <v>1499</v>
      </c>
      <c r="K1882">
        <v>1</v>
      </c>
      <c r="L1882">
        <v>1447.19</v>
      </c>
      <c r="M1882">
        <v>144.72</v>
      </c>
      <c r="N1882">
        <v>1447.19</v>
      </c>
      <c r="O1882">
        <v>1302.47</v>
      </c>
      <c r="P1882" t="s">
        <v>2111</v>
      </c>
      <c r="Q1882" t="s">
        <v>23</v>
      </c>
    </row>
    <row r="1883" spans="1:17" x14ac:dyDescent="0.3">
      <c r="A1883" t="s">
        <v>208</v>
      </c>
      <c r="B1883" t="s">
        <v>207</v>
      </c>
      <c r="C1883" s="1">
        <v>46031</v>
      </c>
      <c r="D1883" t="s">
        <v>63</v>
      </c>
      <c r="E1883" t="s">
        <v>50</v>
      </c>
      <c r="F1883" t="s">
        <v>60</v>
      </c>
      <c r="G1883" t="s">
        <v>149</v>
      </c>
      <c r="H1883" t="s">
        <v>150</v>
      </c>
      <c r="I1883" t="s">
        <v>37</v>
      </c>
      <c r="J1883">
        <v>2999</v>
      </c>
      <c r="K1883">
        <v>1</v>
      </c>
      <c r="L1883">
        <v>3021.27</v>
      </c>
      <c r="M1883">
        <v>604.25</v>
      </c>
      <c r="N1883">
        <v>3021.27</v>
      </c>
      <c r="O1883">
        <v>2417.02</v>
      </c>
      <c r="P1883" t="s">
        <v>2111</v>
      </c>
      <c r="Q1883" t="s">
        <v>23</v>
      </c>
    </row>
    <row r="1884" spans="1:17" x14ac:dyDescent="0.3">
      <c r="A1884" t="s">
        <v>831</v>
      </c>
      <c r="B1884" t="s">
        <v>830</v>
      </c>
      <c r="C1884" s="1">
        <v>46084</v>
      </c>
      <c r="D1884" t="s">
        <v>16</v>
      </c>
      <c r="E1884" t="s">
        <v>50</v>
      </c>
      <c r="F1884" t="s">
        <v>60</v>
      </c>
      <c r="G1884" t="s">
        <v>51</v>
      </c>
      <c r="H1884" t="s">
        <v>52</v>
      </c>
      <c r="I1884" t="s">
        <v>20</v>
      </c>
      <c r="J1884">
        <v>999</v>
      </c>
      <c r="K1884">
        <v>2</v>
      </c>
      <c r="L1884">
        <v>941.37</v>
      </c>
      <c r="M1884">
        <v>188.27</v>
      </c>
      <c r="N1884">
        <v>1882.74</v>
      </c>
      <c r="O1884">
        <v>1694.47</v>
      </c>
      <c r="P1884" t="s">
        <v>2111</v>
      </c>
      <c r="Q1884" t="s">
        <v>789</v>
      </c>
    </row>
    <row r="1885" spans="1:17" x14ac:dyDescent="0.3">
      <c r="A1885" t="s">
        <v>548</v>
      </c>
      <c r="B1885" t="s">
        <v>219</v>
      </c>
      <c r="C1885" s="1">
        <v>46058</v>
      </c>
      <c r="D1885" t="s">
        <v>26</v>
      </c>
      <c r="E1885" t="s">
        <v>50</v>
      </c>
      <c r="F1885" t="s">
        <v>74</v>
      </c>
      <c r="G1885" t="s">
        <v>106</v>
      </c>
      <c r="H1885" t="s">
        <v>107</v>
      </c>
      <c r="I1885" t="s">
        <v>108</v>
      </c>
      <c r="J1885">
        <v>599</v>
      </c>
      <c r="K1885">
        <v>4</v>
      </c>
      <c r="L1885">
        <v>636.28</v>
      </c>
      <c r="M1885">
        <v>0</v>
      </c>
      <c r="N1885">
        <v>2545.12</v>
      </c>
      <c r="O1885">
        <v>2545.12</v>
      </c>
      <c r="P1885" t="s">
        <v>2111</v>
      </c>
      <c r="Q1885" t="s">
        <v>498</v>
      </c>
    </row>
    <row r="1886" spans="1:17" x14ac:dyDescent="0.3">
      <c r="A1886" t="s">
        <v>2892</v>
      </c>
      <c r="B1886" t="s">
        <v>2893</v>
      </c>
      <c r="C1886" s="1">
        <v>46051</v>
      </c>
      <c r="D1886" t="s">
        <v>41</v>
      </c>
      <c r="E1886" t="s">
        <v>42</v>
      </c>
      <c r="F1886" t="s">
        <v>22</v>
      </c>
      <c r="G1886" t="s">
        <v>96</v>
      </c>
      <c r="H1886" t="s">
        <v>97</v>
      </c>
      <c r="I1886" t="s">
        <v>58</v>
      </c>
      <c r="J1886">
        <v>7499</v>
      </c>
      <c r="K1886">
        <v>3</v>
      </c>
      <c r="L1886">
        <v>7909.4</v>
      </c>
      <c r="M1886">
        <v>2372.8200000000002</v>
      </c>
      <c r="N1886">
        <v>23728.2</v>
      </c>
      <c r="O1886">
        <v>21355.38</v>
      </c>
      <c r="P1886" t="s">
        <v>2111</v>
      </c>
      <c r="Q1886" t="s">
        <v>23</v>
      </c>
    </row>
    <row r="1887" spans="1:17" x14ac:dyDescent="0.3">
      <c r="A1887" t="s">
        <v>1921</v>
      </c>
      <c r="B1887" t="s">
        <v>1920</v>
      </c>
      <c r="C1887" s="1">
        <v>46184</v>
      </c>
      <c r="D1887" t="s">
        <v>26</v>
      </c>
      <c r="E1887" t="s">
        <v>17</v>
      </c>
      <c r="F1887" t="s">
        <v>22</v>
      </c>
      <c r="G1887" t="s">
        <v>112</v>
      </c>
      <c r="H1887" t="s">
        <v>113</v>
      </c>
      <c r="I1887" t="s">
        <v>37</v>
      </c>
      <c r="J1887">
        <v>1499</v>
      </c>
      <c r="K1887">
        <v>1</v>
      </c>
      <c r="L1887">
        <v>1392.66</v>
      </c>
      <c r="M1887">
        <v>69.63</v>
      </c>
      <c r="N1887">
        <v>1392.66</v>
      </c>
      <c r="O1887">
        <v>1323.03</v>
      </c>
      <c r="P1887" t="s">
        <v>2111</v>
      </c>
      <c r="Q1887" t="s">
        <v>1809</v>
      </c>
    </row>
    <row r="1888" spans="1:17" x14ac:dyDescent="0.3">
      <c r="A1888" t="s">
        <v>2670</v>
      </c>
      <c r="B1888" t="s">
        <v>2384</v>
      </c>
      <c r="C1888" s="1">
        <v>46148</v>
      </c>
      <c r="D1888" t="s">
        <v>41</v>
      </c>
      <c r="E1888" t="s">
        <v>17</v>
      </c>
      <c r="F1888" t="s">
        <v>47</v>
      </c>
      <c r="G1888" t="s">
        <v>191</v>
      </c>
      <c r="H1888" t="s">
        <v>192</v>
      </c>
      <c r="I1888" t="s">
        <v>45</v>
      </c>
      <c r="J1888">
        <v>699</v>
      </c>
      <c r="K1888">
        <v>3</v>
      </c>
      <c r="L1888">
        <v>693.94</v>
      </c>
      <c r="M1888">
        <v>0</v>
      </c>
      <c r="N1888">
        <v>2081.8200000000002</v>
      </c>
      <c r="O1888">
        <v>2081.8200000000002</v>
      </c>
      <c r="P1888" t="s">
        <v>2111</v>
      </c>
      <c r="Q1888" t="s">
        <v>1479</v>
      </c>
    </row>
    <row r="1889" spans="1:17" x14ac:dyDescent="0.3">
      <c r="A1889" t="s">
        <v>955</v>
      </c>
      <c r="B1889" t="s">
        <v>598</v>
      </c>
      <c r="C1889" s="1">
        <v>46093</v>
      </c>
      <c r="D1889" t="s">
        <v>16</v>
      </c>
      <c r="E1889" t="s">
        <v>50</v>
      </c>
      <c r="F1889" t="s">
        <v>22</v>
      </c>
      <c r="G1889" t="s">
        <v>101</v>
      </c>
      <c r="H1889" t="s">
        <v>102</v>
      </c>
      <c r="I1889" t="s">
        <v>45</v>
      </c>
      <c r="J1889">
        <v>4999</v>
      </c>
      <c r="K1889">
        <v>2</v>
      </c>
      <c r="L1889">
        <v>5273.77</v>
      </c>
      <c r="M1889">
        <v>2109.5100000000002</v>
      </c>
      <c r="N1889">
        <v>10547.54</v>
      </c>
      <c r="O1889">
        <v>8438.0300000000007</v>
      </c>
      <c r="P1889" t="s">
        <v>2111</v>
      </c>
      <c r="Q1889" t="s">
        <v>789</v>
      </c>
    </row>
    <row r="1890" spans="1:17" x14ac:dyDescent="0.3">
      <c r="A1890" t="s">
        <v>1617</v>
      </c>
      <c r="B1890" t="s">
        <v>1616</v>
      </c>
      <c r="C1890" s="1">
        <v>46154</v>
      </c>
      <c r="D1890" t="s">
        <v>26</v>
      </c>
      <c r="E1890" t="s">
        <v>42</v>
      </c>
      <c r="F1890" t="s">
        <v>74</v>
      </c>
      <c r="G1890" t="s">
        <v>106</v>
      </c>
      <c r="H1890" t="s">
        <v>107</v>
      </c>
      <c r="I1890" t="s">
        <v>108</v>
      </c>
      <c r="J1890">
        <v>599</v>
      </c>
      <c r="K1890">
        <v>1</v>
      </c>
      <c r="L1890">
        <v>579.51</v>
      </c>
      <c r="M1890">
        <v>57.95</v>
      </c>
      <c r="N1890">
        <v>579.51</v>
      </c>
      <c r="O1890">
        <v>521.55999999999995</v>
      </c>
      <c r="P1890" t="s">
        <v>2111</v>
      </c>
      <c r="Q1890" t="s">
        <v>1479</v>
      </c>
    </row>
    <row r="1891" spans="1:17" x14ac:dyDescent="0.3">
      <c r="A1891" t="s">
        <v>637</v>
      </c>
      <c r="B1891" t="s">
        <v>636</v>
      </c>
      <c r="C1891" s="1">
        <v>46066</v>
      </c>
      <c r="D1891" t="s">
        <v>16</v>
      </c>
      <c r="E1891" t="s">
        <v>17</v>
      </c>
      <c r="F1891" t="s">
        <v>22</v>
      </c>
      <c r="G1891" t="s">
        <v>165</v>
      </c>
      <c r="H1891" t="s">
        <v>166</v>
      </c>
      <c r="I1891" t="s">
        <v>29</v>
      </c>
      <c r="J1891">
        <v>449</v>
      </c>
      <c r="K1891">
        <v>1</v>
      </c>
      <c r="L1891">
        <v>460.95</v>
      </c>
      <c r="M1891">
        <v>92.19</v>
      </c>
      <c r="N1891">
        <v>460.95</v>
      </c>
      <c r="O1891">
        <v>368.76</v>
      </c>
      <c r="P1891" t="s">
        <v>2111</v>
      </c>
      <c r="Q1891" t="s">
        <v>498</v>
      </c>
    </row>
    <row r="1892" spans="1:17" x14ac:dyDescent="0.3">
      <c r="A1892" t="s">
        <v>416</v>
      </c>
      <c r="B1892" t="s">
        <v>415</v>
      </c>
      <c r="C1892" s="1">
        <v>46046</v>
      </c>
      <c r="D1892" t="s">
        <v>26</v>
      </c>
      <c r="E1892" t="s">
        <v>50</v>
      </c>
      <c r="F1892" t="s">
        <v>74</v>
      </c>
      <c r="G1892" t="s">
        <v>18</v>
      </c>
      <c r="H1892" t="s">
        <v>19</v>
      </c>
      <c r="I1892" t="s">
        <v>20</v>
      </c>
      <c r="J1892">
        <v>2799</v>
      </c>
      <c r="K1892">
        <v>2</v>
      </c>
      <c r="L1892">
        <v>2547.21</v>
      </c>
      <c r="M1892">
        <v>764.16</v>
      </c>
      <c r="N1892">
        <v>5094.42</v>
      </c>
      <c r="O1892">
        <v>4330.26</v>
      </c>
      <c r="P1892" t="s">
        <v>2111</v>
      </c>
      <c r="Q1892" t="s">
        <v>23</v>
      </c>
    </row>
    <row r="1893" spans="1:17" x14ac:dyDescent="0.3">
      <c r="A1893" t="s">
        <v>2681</v>
      </c>
      <c r="B1893" t="s">
        <v>2257</v>
      </c>
      <c r="C1893" s="1">
        <v>46067</v>
      </c>
      <c r="D1893" t="s">
        <v>26</v>
      </c>
      <c r="E1893" t="s">
        <v>42</v>
      </c>
      <c r="F1893" t="s">
        <v>74</v>
      </c>
      <c r="G1893" t="s">
        <v>106</v>
      </c>
      <c r="H1893" t="s">
        <v>107</v>
      </c>
      <c r="I1893" t="s">
        <v>108</v>
      </c>
      <c r="J1893">
        <v>599</v>
      </c>
      <c r="K1893">
        <v>1</v>
      </c>
      <c r="L1893">
        <v>612.02</v>
      </c>
      <c r="M1893">
        <v>91.8</v>
      </c>
      <c r="N1893">
        <v>612.02</v>
      </c>
      <c r="O1893">
        <v>520.22</v>
      </c>
      <c r="P1893" t="s">
        <v>2111</v>
      </c>
      <c r="Q1893" t="s">
        <v>498</v>
      </c>
    </row>
    <row r="1894" spans="1:17" x14ac:dyDescent="0.3">
      <c r="A1894" t="s">
        <v>1481</v>
      </c>
      <c r="B1894" t="s">
        <v>1449</v>
      </c>
      <c r="C1894" s="1">
        <v>46143</v>
      </c>
      <c r="D1894" t="s">
        <v>63</v>
      </c>
      <c r="E1894" t="s">
        <v>17</v>
      </c>
      <c r="F1894" t="s">
        <v>31</v>
      </c>
      <c r="G1894" t="s">
        <v>126</v>
      </c>
      <c r="H1894" t="s">
        <v>127</v>
      </c>
      <c r="I1894" t="s">
        <v>45</v>
      </c>
      <c r="J1894">
        <v>2499</v>
      </c>
      <c r="K1894">
        <v>1</v>
      </c>
      <c r="L1894">
        <v>2325.4</v>
      </c>
      <c r="M1894">
        <v>0</v>
      </c>
      <c r="N1894">
        <v>2325.4</v>
      </c>
      <c r="O1894">
        <v>2325.4</v>
      </c>
      <c r="P1894" t="s">
        <v>2111</v>
      </c>
      <c r="Q1894" t="s">
        <v>1479</v>
      </c>
    </row>
    <row r="1895" spans="1:17" x14ac:dyDescent="0.3">
      <c r="A1895" t="s">
        <v>950</v>
      </c>
      <c r="B1895" t="s">
        <v>809</v>
      </c>
      <c r="C1895" s="1">
        <v>46093</v>
      </c>
      <c r="D1895" t="s">
        <v>26</v>
      </c>
      <c r="E1895" t="s">
        <v>17</v>
      </c>
      <c r="F1895" t="s">
        <v>74</v>
      </c>
      <c r="G1895" t="s">
        <v>51</v>
      </c>
      <c r="H1895" t="s">
        <v>52</v>
      </c>
      <c r="I1895" t="s">
        <v>20</v>
      </c>
      <c r="J1895">
        <v>999</v>
      </c>
      <c r="K1895">
        <v>1</v>
      </c>
      <c r="L1895">
        <v>1065.05</v>
      </c>
      <c r="M1895">
        <v>106.5</v>
      </c>
      <c r="N1895">
        <v>1065.05</v>
      </c>
      <c r="O1895">
        <v>958.55</v>
      </c>
      <c r="P1895" t="s">
        <v>2111</v>
      </c>
      <c r="Q1895" t="s">
        <v>789</v>
      </c>
    </row>
    <row r="1896" spans="1:17" x14ac:dyDescent="0.3">
      <c r="A1896" t="s">
        <v>1710</v>
      </c>
      <c r="B1896" t="s">
        <v>1709</v>
      </c>
      <c r="C1896" s="1">
        <v>46163</v>
      </c>
      <c r="D1896" t="s">
        <v>16</v>
      </c>
      <c r="E1896" t="s">
        <v>17</v>
      </c>
      <c r="F1896" t="s">
        <v>60</v>
      </c>
      <c r="G1896" t="s">
        <v>43</v>
      </c>
      <c r="H1896" t="s">
        <v>44</v>
      </c>
      <c r="I1896" t="s">
        <v>45</v>
      </c>
      <c r="J1896">
        <v>3299</v>
      </c>
      <c r="K1896">
        <v>1</v>
      </c>
      <c r="L1896">
        <v>3203.63</v>
      </c>
      <c r="M1896">
        <v>0</v>
      </c>
      <c r="N1896">
        <v>3203.63</v>
      </c>
      <c r="O1896">
        <v>3203.63</v>
      </c>
      <c r="P1896" t="s">
        <v>2111</v>
      </c>
      <c r="Q1896" t="s">
        <v>1479</v>
      </c>
    </row>
    <row r="1897" spans="1:17" x14ac:dyDescent="0.3">
      <c r="A1897" t="s">
        <v>1987</v>
      </c>
      <c r="B1897" t="s">
        <v>1986</v>
      </c>
      <c r="C1897" s="1">
        <v>46193</v>
      </c>
      <c r="D1897" t="s">
        <v>63</v>
      </c>
      <c r="E1897" t="s">
        <v>17</v>
      </c>
      <c r="F1897" t="s">
        <v>47</v>
      </c>
      <c r="G1897" t="s">
        <v>96</v>
      </c>
      <c r="H1897" t="s">
        <v>97</v>
      </c>
      <c r="I1897" t="s">
        <v>58</v>
      </c>
      <c r="J1897">
        <v>7499</v>
      </c>
      <c r="K1897">
        <v>1</v>
      </c>
      <c r="L1897">
        <v>7171.37</v>
      </c>
      <c r="M1897">
        <v>1434.27</v>
      </c>
      <c r="N1897">
        <v>7171.37</v>
      </c>
      <c r="O1897">
        <v>5737.1</v>
      </c>
      <c r="P1897" t="s">
        <v>2111</v>
      </c>
      <c r="Q1897" t="s">
        <v>1809</v>
      </c>
    </row>
    <row r="1898" spans="1:17" x14ac:dyDescent="0.3">
      <c r="A1898" t="s">
        <v>2259</v>
      </c>
      <c r="B1898" t="s">
        <v>2260</v>
      </c>
      <c r="C1898" s="1">
        <v>46200</v>
      </c>
      <c r="D1898" t="s">
        <v>16</v>
      </c>
      <c r="E1898" t="s">
        <v>17</v>
      </c>
      <c r="F1898" t="s">
        <v>47</v>
      </c>
      <c r="G1898" t="s">
        <v>96</v>
      </c>
      <c r="H1898" t="s">
        <v>97</v>
      </c>
      <c r="I1898" t="s">
        <v>58</v>
      </c>
      <c r="J1898">
        <v>7499</v>
      </c>
      <c r="K1898">
        <v>3</v>
      </c>
      <c r="L1898">
        <v>8010.27</v>
      </c>
      <c r="M1898">
        <v>0</v>
      </c>
      <c r="N1898">
        <v>24030.81</v>
      </c>
      <c r="O1898">
        <v>24030.81</v>
      </c>
      <c r="P1898" t="s">
        <v>2111</v>
      </c>
      <c r="Q1898" t="s">
        <v>1809</v>
      </c>
    </row>
    <row r="1899" spans="1:17" x14ac:dyDescent="0.3">
      <c r="A1899" t="s">
        <v>350</v>
      </c>
      <c r="B1899" t="s">
        <v>349</v>
      </c>
      <c r="C1899" s="1">
        <v>46041</v>
      </c>
      <c r="D1899" t="s">
        <v>16</v>
      </c>
      <c r="E1899" t="s">
        <v>17</v>
      </c>
      <c r="F1899" t="s">
        <v>60</v>
      </c>
      <c r="G1899" t="s">
        <v>106</v>
      </c>
      <c r="H1899" t="s">
        <v>107</v>
      </c>
      <c r="I1899" t="s">
        <v>108</v>
      </c>
      <c r="J1899">
        <v>599</v>
      </c>
      <c r="K1899">
        <v>2</v>
      </c>
      <c r="L1899">
        <v>545.11</v>
      </c>
      <c r="M1899">
        <v>54.51</v>
      </c>
      <c r="N1899">
        <v>1090.22</v>
      </c>
      <c r="O1899">
        <v>1035.71</v>
      </c>
      <c r="P1899" t="s">
        <v>2111</v>
      </c>
      <c r="Q1899" t="s">
        <v>23</v>
      </c>
    </row>
    <row r="1900" spans="1:17" x14ac:dyDescent="0.3">
      <c r="A1900" t="s">
        <v>1514</v>
      </c>
      <c r="B1900" t="s">
        <v>1513</v>
      </c>
      <c r="C1900" s="1">
        <v>46145</v>
      </c>
      <c r="D1900" t="s">
        <v>34</v>
      </c>
      <c r="E1900" t="s">
        <v>50</v>
      </c>
      <c r="F1900" t="s">
        <v>22</v>
      </c>
      <c r="G1900" t="s">
        <v>355</v>
      </c>
      <c r="H1900" t="s">
        <v>356</v>
      </c>
      <c r="I1900" t="s">
        <v>82</v>
      </c>
      <c r="J1900">
        <v>499</v>
      </c>
      <c r="K1900">
        <v>2</v>
      </c>
      <c r="L1900">
        <v>488.68</v>
      </c>
      <c r="M1900">
        <v>97.74</v>
      </c>
      <c r="N1900">
        <v>977.36</v>
      </c>
      <c r="O1900">
        <v>879.62</v>
      </c>
      <c r="P1900" t="s">
        <v>2111</v>
      </c>
      <c r="Q1900" t="s">
        <v>1479</v>
      </c>
    </row>
    <row r="1901" spans="1:17" x14ac:dyDescent="0.3">
      <c r="A1901" t="s">
        <v>985</v>
      </c>
      <c r="B1901" t="s">
        <v>984</v>
      </c>
      <c r="C1901" s="1">
        <v>46096</v>
      </c>
      <c r="D1901" t="s">
        <v>16</v>
      </c>
      <c r="E1901" t="s">
        <v>17</v>
      </c>
      <c r="F1901" t="s">
        <v>74</v>
      </c>
      <c r="G1901" t="s">
        <v>355</v>
      </c>
      <c r="H1901" t="s">
        <v>356</v>
      </c>
      <c r="I1901" t="s">
        <v>82</v>
      </c>
      <c r="J1901">
        <v>499</v>
      </c>
      <c r="K1901">
        <v>1</v>
      </c>
      <c r="L1901">
        <v>486.03</v>
      </c>
      <c r="M1901">
        <v>24.3</v>
      </c>
      <c r="N1901">
        <v>486.03</v>
      </c>
      <c r="O1901">
        <v>461.73</v>
      </c>
      <c r="P1901" t="s">
        <v>2111</v>
      </c>
      <c r="Q1901" t="s">
        <v>789</v>
      </c>
    </row>
    <row r="1902" spans="1:17" x14ac:dyDescent="0.3">
      <c r="A1902" t="s">
        <v>279</v>
      </c>
      <c r="B1902" t="s">
        <v>278</v>
      </c>
      <c r="C1902" s="1">
        <v>46035</v>
      </c>
      <c r="D1902" t="s">
        <v>34</v>
      </c>
      <c r="E1902" t="s">
        <v>17</v>
      </c>
      <c r="F1902" t="s">
        <v>22</v>
      </c>
      <c r="G1902" t="s">
        <v>27</v>
      </c>
      <c r="H1902" t="s">
        <v>28</v>
      </c>
      <c r="I1902" t="s">
        <v>29</v>
      </c>
      <c r="J1902">
        <v>1599</v>
      </c>
      <c r="K1902">
        <v>1</v>
      </c>
      <c r="L1902">
        <v>1530.18</v>
      </c>
      <c r="M1902">
        <v>76.510000000000005</v>
      </c>
      <c r="N1902">
        <v>1530.18</v>
      </c>
      <c r="O1902">
        <v>1453.67</v>
      </c>
      <c r="P1902" t="s">
        <v>2111</v>
      </c>
      <c r="Q1902" t="s">
        <v>23</v>
      </c>
    </row>
    <row r="1903" spans="1:17" x14ac:dyDescent="0.3">
      <c r="A1903" t="s">
        <v>2869</v>
      </c>
      <c r="B1903" t="s">
        <v>2002</v>
      </c>
      <c r="C1903" s="1">
        <v>46125</v>
      </c>
      <c r="D1903" t="s">
        <v>34</v>
      </c>
      <c r="E1903" t="s">
        <v>17</v>
      </c>
      <c r="F1903" t="s">
        <v>47</v>
      </c>
      <c r="G1903" t="s">
        <v>160</v>
      </c>
      <c r="H1903" t="s">
        <v>161</v>
      </c>
      <c r="I1903" t="s">
        <v>82</v>
      </c>
      <c r="J1903">
        <v>799</v>
      </c>
      <c r="K1903">
        <v>1</v>
      </c>
      <c r="L1903">
        <v>864.8</v>
      </c>
      <c r="M1903">
        <v>86.48</v>
      </c>
      <c r="N1903">
        <v>864.8</v>
      </c>
      <c r="O1903">
        <v>778.32</v>
      </c>
      <c r="P1903" t="s">
        <v>2111</v>
      </c>
      <c r="Q1903" t="s">
        <v>1170</v>
      </c>
    </row>
    <row r="1904" spans="1:17" x14ac:dyDescent="0.3">
      <c r="A1904" t="s">
        <v>419</v>
      </c>
      <c r="B1904" t="s">
        <v>418</v>
      </c>
      <c r="C1904" s="1">
        <v>46047</v>
      </c>
      <c r="D1904" t="s">
        <v>41</v>
      </c>
      <c r="E1904" t="s">
        <v>17</v>
      </c>
      <c r="F1904" t="s">
        <v>74</v>
      </c>
      <c r="G1904" t="s">
        <v>51</v>
      </c>
      <c r="H1904" t="s">
        <v>52</v>
      </c>
      <c r="I1904" t="s">
        <v>20</v>
      </c>
      <c r="J1904">
        <v>999</v>
      </c>
      <c r="K1904">
        <v>1</v>
      </c>
      <c r="L1904">
        <v>1049.1400000000001</v>
      </c>
      <c r="M1904">
        <v>0</v>
      </c>
      <c r="N1904">
        <v>1049.1400000000001</v>
      </c>
      <c r="O1904">
        <v>1049.1400000000001</v>
      </c>
      <c r="P1904" t="s">
        <v>2111</v>
      </c>
      <c r="Q1904" t="s">
        <v>23</v>
      </c>
    </row>
    <row r="1905" spans="1:17" x14ac:dyDescent="0.3">
      <c r="A1905" t="s">
        <v>2851</v>
      </c>
      <c r="B1905" t="s">
        <v>1186</v>
      </c>
      <c r="C1905" s="1">
        <v>46127</v>
      </c>
      <c r="D1905" t="s">
        <v>16</v>
      </c>
      <c r="E1905" t="s">
        <v>17</v>
      </c>
      <c r="F1905" t="s">
        <v>74</v>
      </c>
      <c r="G1905" t="s">
        <v>18</v>
      </c>
      <c r="H1905" t="s">
        <v>19</v>
      </c>
      <c r="I1905" t="s">
        <v>20</v>
      </c>
      <c r="J1905">
        <v>2799</v>
      </c>
      <c r="K1905">
        <v>1</v>
      </c>
      <c r="L1905">
        <v>2554.88</v>
      </c>
      <c r="M1905">
        <v>0</v>
      </c>
      <c r="N1905">
        <v>2554.88</v>
      </c>
      <c r="O1905">
        <v>2554.88</v>
      </c>
      <c r="P1905" t="s">
        <v>2111</v>
      </c>
      <c r="Q1905" t="s">
        <v>1170</v>
      </c>
    </row>
    <row r="1906" spans="1:17" x14ac:dyDescent="0.3">
      <c r="A1906" t="s">
        <v>2162</v>
      </c>
      <c r="B1906" t="s">
        <v>2163</v>
      </c>
      <c r="C1906" s="1">
        <v>46194</v>
      </c>
      <c r="D1906" t="s">
        <v>26</v>
      </c>
      <c r="E1906" t="s">
        <v>50</v>
      </c>
      <c r="F1906" t="s">
        <v>22</v>
      </c>
      <c r="G1906" t="s">
        <v>18</v>
      </c>
      <c r="H1906" t="s">
        <v>19</v>
      </c>
      <c r="I1906" t="s">
        <v>20</v>
      </c>
      <c r="J1906">
        <v>2799</v>
      </c>
      <c r="K1906">
        <v>1</v>
      </c>
      <c r="L1906">
        <v>2919.18</v>
      </c>
      <c r="M1906">
        <v>145.96</v>
      </c>
      <c r="N1906">
        <v>2919.18</v>
      </c>
      <c r="O1906">
        <v>2773.22</v>
      </c>
      <c r="P1906" t="s">
        <v>2111</v>
      </c>
      <c r="Q1906" t="s">
        <v>1809</v>
      </c>
    </row>
    <row r="1907" spans="1:17" x14ac:dyDescent="0.3">
      <c r="A1907" t="s">
        <v>2652</v>
      </c>
      <c r="B1907" t="s">
        <v>809</v>
      </c>
      <c r="C1907" s="1">
        <v>46116</v>
      </c>
      <c r="D1907" t="s">
        <v>16</v>
      </c>
      <c r="E1907" t="s">
        <v>50</v>
      </c>
      <c r="F1907" t="s">
        <v>74</v>
      </c>
      <c r="G1907" t="s">
        <v>86</v>
      </c>
      <c r="H1907" t="s">
        <v>87</v>
      </c>
      <c r="I1907" t="s">
        <v>82</v>
      </c>
      <c r="J1907">
        <v>3499</v>
      </c>
      <c r="K1907">
        <v>1</v>
      </c>
      <c r="L1907">
        <v>3518.1</v>
      </c>
      <c r="M1907">
        <v>527.71</v>
      </c>
      <c r="N1907">
        <v>3518.1</v>
      </c>
      <c r="O1907">
        <v>2990.39</v>
      </c>
      <c r="P1907" t="s">
        <v>2111</v>
      </c>
      <c r="Q1907" t="s">
        <v>1170</v>
      </c>
    </row>
    <row r="1908" spans="1:17" x14ac:dyDescent="0.3">
      <c r="A1908" t="s">
        <v>617</v>
      </c>
      <c r="B1908" t="s">
        <v>616</v>
      </c>
      <c r="C1908" s="1">
        <v>46064</v>
      </c>
      <c r="D1908" t="s">
        <v>63</v>
      </c>
      <c r="E1908" t="s">
        <v>17</v>
      </c>
      <c r="F1908" t="s">
        <v>47</v>
      </c>
      <c r="G1908" t="s">
        <v>165</v>
      </c>
      <c r="H1908" t="s">
        <v>166</v>
      </c>
      <c r="I1908" t="s">
        <v>29</v>
      </c>
      <c r="J1908">
        <v>449</v>
      </c>
      <c r="K1908">
        <v>1</v>
      </c>
      <c r="L1908">
        <v>485</v>
      </c>
      <c r="M1908">
        <v>48.5</v>
      </c>
      <c r="N1908">
        <v>485</v>
      </c>
      <c r="O1908">
        <v>436.5</v>
      </c>
      <c r="P1908" t="s">
        <v>2111</v>
      </c>
      <c r="Q1908" t="s">
        <v>498</v>
      </c>
    </row>
    <row r="1909" spans="1:17" x14ac:dyDescent="0.3">
      <c r="A1909" t="s">
        <v>2715</v>
      </c>
      <c r="B1909" t="s">
        <v>243</v>
      </c>
      <c r="C1909" s="1">
        <v>46197</v>
      </c>
      <c r="D1909" t="s">
        <v>26</v>
      </c>
      <c r="E1909" t="s">
        <v>17</v>
      </c>
      <c r="F1909" t="s">
        <v>47</v>
      </c>
      <c r="G1909" t="s">
        <v>165</v>
      </c>
      <c r="H1909" t="s">
        <v>166</v>
      </c>
      <c r="I1909" t="s">
        <v>29</v>
      </c>
      <c r="J1909">
        <v>449</v>
      </c>
      <c r="K1909">
        <v>1</v>
      </c>
      <c r="L1909">
        <v>432.2</v>
      </c>
      <c r="M1909">
        <v>43.22</v>
      </c>
      <c r="N1909">
        <v>432.2</v>
      </c>
      <c r="O1909">
        <v>388.98</v>
      </c>
      <c r="P1909" t="s">
        <v>2111</v>
      </c>
      <c r="Q1909" t="s">
        <v>1809</v>
      </c>
    </row>
    <row r="1910" spans="1:17" x14ac:dyDescent="0.3">
      <c r="A1910" t="s">
        <v>2687</v>
      </c>
      <c r="B1910" t="s">
        <v>2645</v>
      </c>
      <c r="C1910" s="1">
        <v>46147</v>
      </c>
      <c r="D1910" t="s">
        <v>16</v>
      </c>
      <c r="E1910" t="s">
        <v>50</v>
      </c>
      <c r="F1910" t="s">
        <v>47</v>
      </c>
      <c r="G1910" t="s">
        <v>191</v>
      </c>
      <c r="H1910" t="s">
        <v>192</v>
      </c>
      <c r="I1910" t="s">
        <v>45</v>
      </c>
      <c r="J1910">
        <v>699</v>
      </c>
      <c r="K1910">
        <v>1</v>
      </c>
      <c r="L1910">
        <v>709.37</v>
      </c>
      <c r="M1910">
        <v>70.94</v>
      </c>
      <c r="N1910">
        <v>709.37</v>
      </c>
      <c r="O1910">
        <v>638.42999999999995</v>
      </c>
      <c r="P1910" t="s">
        <v>2111</v>
      </c>
      <c r="Q1910" t="s">
        <v>1479</v>
      </c>
    </row>
    <row r="1911" spans="1:17" x14ac:dyDescent="0.3">
      <c r="A1911" t="s">
        <v>2378</v>
      </c>
      <c r="B1911" t="s">
        <v>365</v>
      </c>
      <c r="C1911" s="1">
        <v>46082</v>
      </c>
      <c r="D1911" t="s">
        <v>26</v>
      </c>
      <c r="E1911" t="s">
        <v>17</v>
      </c>
      <c r="F1911" t="s">
        <v>74</v>
      </c>
      <c r="G1911" t="s">
        <v>250</v>
      </c>
      <c r="H1911" t="s">
        <v>251</v>
      </c>
      <c r="I1911" t="s">
        <v>108</v>
      </c>
      <c r="J1911">
        <v>899</v>
      </c>
      <c r="K1911">
        <v>4</v>
      </c>
      <c r="L1911">
        <v>899.14</v>
      </c>
      <c r="M1911">
        <v>179.83</v>
      </c>
      <c r="N1911">
        <v>3596.56</v>
      </c>
      <c r="O1911">
        <v>3416.73</v>
      </c>
      <c r="P1911" t="s">
        <v>2111</v>
      </c>
      <c r="Q1911" t="s">
        <v>789</v>
      </c>
    </row>
    <row r="1912" spans="1:17" x14ac:dyDescent="0.3">
      <c r="A1912" t="s">
        <v>2531</v>
      </c>
      <c r="B1912" t="s">
        <v>2532</v>
      </c>
      <c r="C1912" s="1">
        <v>46182</v>
      </c>
      <c r="D1912" t="s">
        <v>63</v>
      </c>
      <c r="E1912" t="s">
        <v>17</v>
      </c>
      <c r="F1912" t="s">
        <v>22</v>
      </c>
      <c r="G1912" t="s">
        <v>106</v>
      </c>
      <c r="H1912" t="s">
        <v>107</v>
      </c>
      <c r="I1912" t="s">
        <v>108</v>
      </c>
      <c r="J1912">
        <v>599</v>
      </c>
      <c r="K1912">
        <v>1</v>
      </c>
      <c r="L1912">
        <v>597.75</v>
      </c>
      <c r="M1912">
        <v>119.55</v>
      </c>
      <c r="N1912">
        <v>597.75</v>
      </c>
      <c r="O1912">
        <v>478.2</v>
      </c>
      <c r="P1912" t="s">
        <v>2111</v>
      </c>
      <c r="Q1912" t="s">
        <v>1809</v>
      </c>
    </row>
    <row r="1913" spans="1:17" x14ac:dyDescent="0.3">
      <c r="A1913" t="s">
        <v>2066</v>
      </c>
      <c r="B1913" t="s">
        <v>371</v>
      </c>
      <c r="C1913" s="1">
        <v>46200</v>
      </c>
      <c r="D1913" t="s">
        <v>26</v>
      </c>
      <c r="E1913" t="s">
        <v>17</v>
      </c>
      <c r="F1913" t="s">
        <v>60</v>
      </c>
      <c r="G1913" t="s">
        <v>160</v>
      </c>
      <c r="H1913" t="s">
        <v>161</v>
      </c>
      <c r="I1913" t="s">
        <v>82</v>
      </c>
      <c r="J1913">
        <v>799</v>
      </c>
      <c r="K1913">
        <v>2</v>
      </c>
      <c r="L1913">
        <v>791.99</v>
      </c>
      <c r="M1913">
        <v>0</v>
      </c>
      <c r="N1913">
        <v>1583.98</v>
      </c>
      <c r="O1913">
        <v>1583.98</v>
      </c>
      <c r="P1913" t="s">
        <v>2111</v>
      </c>
      <c r="Q1913" t="s">
        <v>1809</v>
      </c>
    </row>
    <row r="1914" spans="1:17" x14ac:dyDescent="0.3">
      <c r="A1914" t="s">
        <v>2618</v>
      </c>
      <c r="B1914" t="s">
        <v>2619</v>
      </c>
      <c r="C1914" s="1">
        <v>46037</v>
      </c>
      <c r="D1914" t="s">
        <v>26</v>
      </c>
      <c r="E1914" t="s">
        <v>17</v>
      </c>
      <c r="F1914" t="s">
        <v>60</v>
      </c>
      <c r="G1914" t="s">
        <v>86</v>
      </c>
      <c r="H1914" t="s">
        <v>87</v>
      </c>
      <c r="I1914" t="s">
        <v>82</v>
      </c>
      <c r="J1914">
        <v>3499</v>
      </c>
      <c r="K1914">
        <v>1</v>
      </c>
      <c r="L1914">
        <v>3293</v>
      </c>
      <c r="M1914">
        <v>493.95</v>
      </c>
      <c r="N1914">
        <v>3293</v>
      </c>
      <c r="O1914">
        <v>2799.05</v>
      </c>
      <c r="P1914" t="s">
        <v>2111</v>
      </c>
      <c r="Q1914" t="s">
        <v>23</v>
      </c>
    </row>
    <row r="1915" spans="1:17" x14ac:dyDescent="0.3">
      <c r="A1915" t="s">
        <v>1584</v>
      </c>
      <c r="B1915" t="s">
        <v>571</v>
      </c>
      <c r="C1915" s="1">
        <v>46152</v>
      </c>
      <c r="D1915" t="s">
        <v>16</v>
      </c>
      <c r="E1915" t="s">
        <v>42</v>
      </c>
      <c r="F1915" t="s">
        <v>47</v>
      </c>
      <c r="G1915" t="s">
        <v>51</v>
      </c>
      <c r="H1915" t="s">
        <v>52</v>
      </c>
      <c r="I1915" t="s">
        <v>20</v>
      </c>
      <c r="J1915">
        <v>999</v>
      </c>
      <c r="K1915">
        <v>1</v>
      </c>
      <c r="L1915">
        <v>1050.0899999999999</v>
      </c>
      <c r="M1915">
        <v>210.02</v>
      </c>
      <c r="N1915">
        <v>1050.0899999999999</v>
      </c>
      <c r="O1915">
        <v>840.07</v>
      </c>
      <c r="P1915" t="s">
        <v>2111</v>
      </c>
      <c r="Q1915" t="s">
        <v>1479</v>
      </c>
    </row>
    <row r="1916" spans="1:17" x14ac:dyDescent="0.3">
      <c r="A1916" t="s">
        <v>2086</v>
      </c>
      <c r="B1916" t="s">
        <v>2085</v>
      </c>
      <c r="C1916" s="1">
        <v>46202</v>
      </c>
      <c r="D1916" t="s">
        <v>34</v>
      </c>
      <c r="E1916" t="s">
        <v>17</v>
      </c>
      <c r="F1916" t="s">
        <v>47</v>
      </c>
      <c r="G1916" t="s">
        <v>355</v>
      </c>
      <c r="H1916" t="s">
        <v>356</v>
      </c>
      <c r="I1916" t="s">
        <v>82</v>
      </c>
      <c r="J1916">
        <v>499</v>
      </c>
      <c r="K1916">
        <v>4</v>
      </c>
      <c r="L1916">
        <v>494.14</v>
      </c>
      <c r="M1916">
        <v>296.48</v>
      </c>
      <c r="N1916">
        <v>1976.56</v>
      </c>
      <c r="O1916">
        <v>1680.08</v>
      </c>
      <c r="P1916" t="s">
        <v>2111</v>
      </c>
      <c r="Q1916" t="s">
        <v>1809</v>
      </c>
    </row>
    <row r="1917" spans="1:17" x14ac:dyDescent="0.3">
      <c r="A1917" t="s">
        <v>241</v>
      </c>
      <c r="B1917" t="s">
        <v>240</v>
      </c>
      <c r="C1917" s="1">
        <v>46034</v>
      </c>
      <c r="D1917" t="s">
        <v>26</v>
      </c>
      <c r="E1917" t="s">
        <v>17</v>
      </c>
      <c r="F1917" t="s">
        <v>22</v>
      </c>
      <c r="G1917" t="s">
        <v>43</v>
      </c>
      <c r="H1917" t="s">
        <v>44</v>
      </c>
      <c r="I1917" t="s">
        <v>45</v>
      </c>
      <c r="J1917">
        <v>3299</v>
      </c>
      <c r="K1917">
        <v>1</v>
      </c>
      <c r="L1917">
        <v>3601.53</v>
      </c>
      <c r="M1917">
        <v>0</v>
      </c>
      <c r="N1917">
        <v>3601.53</v>
      </c>
      <c r="O1917">
        <v>3601.53</v>
      </c>
      <c r="P1917" t="s">
        <v>2114</v>
      </c>
      <c r="Q1917" t="s">
        <v>23</v>
      </c>
    </row>
    <row r="1918" spans="1:17" x14ac:dyDescent="0.3">
      <c r="A1918" t="s">
        <v>993</v>
      </c>
      <c r="B1918" t="s">
        <v>992</v>
      </c>
      <c r="C1918" s="1">
        <v>46097</v>
      </c>
      <c r="D1918" t="s">
        <v>34</v>
      </c>
      <c r="E1918" t="s">
        <v>17</v>
      </c>
      <c r="F1918" t="s">
        <v>31</v>
      </c>
      <c r="G1918" t="s">
        <v>18</v>
      </c>
      <c r="H1918" t="s">
        <v>19</v>
      </c>
      <c r="I1918" t="s">
        <v>20</v>
      </c>
      <c r="J1918">
        <v>2799</v>
      </c>
      <c r="K1918">
        <v>1</v>
      </c>
      <c r="L1918">
        <v>2665.1</v>
      </c>
      <c r="M1918">
        <v>133.26</v>
      </c>
      <c r="N1918">
        <v>2665.1</v>
      </c>
      <c r="O1918">
        <v>2531.84</v>
      </c>
      <c r="P1918" t="s">
        <v>2111</v>
      </c>
      <c r="Q1918" t="s">
        <v>789</v>
      </c>
    </row>
    <row r="1919" spans="1:17" x14ac:dyDescent="0.3">
      <c r="A1919" t="s">
        <v>2134</v>
      </c>
      <c r="B1919" t="s">
        <v>2135</v>
      </c>
      <c r="C1919" s="1">
        <v>46170</v>
      </c>
      <c r="D1919" t="s">
        <v>16</v>
      </c>
      <c r="E1919" t="s">
        <v>17</v>
      </c>
      <c r="F1919" t="s">
        <v>22</v>
      </c>
      <c r="G1919" t="s">
        <v>96</v>
      </c>
      <c r="H1919" t="s">
        <v>97</v>
      </c>
      <c r="I1919" t="s">
        <v>58</v>
      </c>
      <c r="J1919">
        <v>7499</v>
      </c>
      <c r="K1919">
        <v>2</v>
      </c>
      <c r="L1919">
        <v>7773.08</v>
      </c>
      <c r="M1919">
        <v>2331.92</v>
      </c>
      <c r="N1919">
        <v>15546.16</v>
      </c>
      <c r="O1919">
        <v>13214.24</v>
      </c>
      <c r="P1919" t="s">
        <v>2111</v>
      </c>
      <c r="Q1919" t="s">
        <v>1479</v>
      </c>
    </row>
    <row r="1920" spans="1:17" x14ac:dyDescent="0.3">
      <c r="A1920" t="s">
        <v>1091</v>
      </c>
      <c r="B1920" t="s">
        <v>995</v>
      </c>
      <c r="C1920" s="1">
        <v>46105</v>
      </c>
      <c r="D1920" t="s">
        <v>63</v>
      </c>
      <c r="E1920" t="s">
        <v>17</v>
      </c>
      <c r="F1920" t="s">
        <v>47</v>
      </c>
      <c r="G1920" t="s">
        <v>86</v>
      </c>
      <c r="H1920" t="s">
        <v>87</v>
      </c>
      <c r="I1920" t="s">
        <v>82</v>
      </c>
      <c r="J1920">
        <v>3499</v>
      </c>
      <c r="K1920">
        <v>1</v>
      </c>
      <c r="L1920">
        <v>3807.41</v>
      </c>
      <c r="M1920">
        <v>0</v>
      </c>
      <c r="N1920">
        <v>3807.41</v>
      </c>
      <c r="O1920">
        <v>3807.41</v>
      </c>
      <c r="P1920" t="s">
        <v>2111</v>
      </c>
      <c r="Q1920" t="s">
        <v>789</v>
      </c>
    </row>
    <row r="1921" spans="1:17" x14ac:dyDescent="0.3">
      <c r="A1921" t="s">
        <v>2571</v>
      </c>
      <c r="B1921" t="s">
        <v>337</v>
      </c>
      <c r="C1921" s="1">
        <v>46160</v>
      </c>
      <c r="D1921" t="s">
        <v>63</v>
      </c>
      <c r="E1921" t="s">
        <v>17</v>
      </c>
      <c r="F1921" t="s">
        <v>31</v>
      </c>
      <c r="G1921" t="s">
        <v>112</v>
      </c>
      <c r="H1921" t="s">
        <v>113</v>
      </c>
      <c r="I1921" t="s">
        <v>37</v>
      </c>
      <c r="J1921">
        <v>1499</v>
      </c>
      <c r="K1921">
        <v>2</v>
      </c>
      <c r="L1921">
        <v>1548</v>
      </c>
      <c r="M1921">
        <v>464.4</v>
      </c>
      <c r="N1921">
        <v>3096</v>
      </c>
      <c r="O1921">
        <v>2631.6</v>
      </c>
      <c r="P1921" t="s">
        <v>2111</v>
      </c>
      <c r="Q1921" t="s">
        <v>1479</v>
      </c>
    </row>
    <row r="1922" spans="1:17" x14ac:dyDescent="0.3">
      <c r="A1922" t="s">
        <v>503</v>
      </c>
      <c r="B1922" t="s">
        <v>308</v>
      </c>
      <c r="C1922" s="1">
        <v>46054</v>
      </c>
      <c r="D1922" t="s">
        <v>63</v>
      </c>
      <c r="E1922" t="s">
        <v>17</v>
      </c>
      <c r="F1922" t="s">
        <v>47</v>
      </c>
      <c r="G1922" t="s">
        <v>18</v>
      </c>
      <c r="H1922" t="s">
        <v>19</v>
      </c>
      <c r="I1922" t="s">
        <v>20</v>
      </c>
      <c r="J1922">
        <v>2799</v>
      </c>
      <c r="K1922">
        <v>1</v>
      </c>
      <c r="L1922">
        <v>3006.84</v>
      </c>
      <c r="M1922">
        <v>451.03</v>
      </c>
      <c r="N1922">
        <v>3006.84</v>
      </c>
      <c r="O1922">
        <v>2555.81</v>
      </c>
      <c r="P1922" t="s">
        <v>2111</v>
      </c>
      <c r="Q1922" t="s">
        <v>498</v>
      </c>
    </row>
    <row r="1923" spans="1:17" x14ac:dyDescent="0.3">
      <c r="A1923" t="s">
        <v>2894</v>
      </c>
      <c r="B1923" t="s">
        <v>2895</v>
      </c>
      <c r="C1923" s="1">
        <v>46099</v>
      </c>
      <c r="D1923" t="s">
        <v>16</v>
      </c>
      <c r="E1923" t="s">
        <v>17</v>
      </c>
      <c r="F1923" t="s">
        <v>31</v>
      </c>
      <c r="G1923" t="s">
        <v>191</v>
      </c>
      <c r="H1923" t="s">
        <v>192</v>
      </c>
      <c r="I1923" t="s">
        <v>45</v>
      </c>
      <c r="J1923">
        <v>699</v>
      </c>
      <c r="K1923">
        <v>1</v>
      </c>
      <c r="L1923">
        <v>744.78</v>
      </c>
      <c r="M1923">
        <v>111.72</v>
      </c>
      <c r="N1923">
        <v>744.78</v>
      </c>
      <c r="O1923">
        <v>633.05999999999995</v>
      </c>
      <c r="P1923" t="s">
        <v>2111</v>
      </c>
      <c r="Q1923" t="s">
        <v>789</v>
      </c>
    </row>
    <row r="1924" spans="1:17" x14ac:dyDescent="0.3">
      <c r="A1924" t="s">
        <v>2896</v>
      </c>
      <c r="B1924" t="s">
        <v>730</v>
      </c>
      <c r="C1924" s="1">
        <v>46159</v>
      </c>
      <c r="D1924" t="s">
        <v>63</v>
      </c>
      <c r="E1924" t="s">
        <v>17</v>
      </c>
      <c r="F1924" t="s">
        <v>31</v>
      </c>
      <c r="G1924" t="s">
        <v>191</v>
      </c>
      <c r="H1924" t="s">
        <v>192</v>
      </c>
      <c r="I1924" t="s">
        <v>45</v>
      </c>
      <c r="J1924">
        <v>699</v>
      </c>
      <c r="K1924">
        <v>1</v>
      </c>
      <c r="L1924">
        <v>679.44</v>
      </c>
      <c r="M1924">
        <v>0</v>
      </c>
      <c r="N1924">
        <v>679.44</v>
      </c>
      <c r="O1924">
        <v>679.44</v>
      </c>
      <c r="P1924" t="s">
        <v>2111</v>
      </c>
      <c r="Q1924" t="s">
        <v>1479</v>
      </c>
    </row>
    <row r="1925" spans="1:17" x14ac:dyDescent="0.3">
      <c r="A1925" t="s">
        <v>1097</v>
      </c>
      <c r="B1925" t="s">
        <v>1096</v>
      </c>
      <c r="C1925" s="1">
        <v>46105</v>
      </c>
      <c r="D1925" t="s">
        <v>63</v>
      </c>
      <c r="E1925" t="s">
        <v>50</v>
      </c>
      <c r="F1925" t="s">
        <v>22</v>
      </c>
      <c r="G1925" t="s">
        <v>112</v>
      </c>
      <c r="H1925" t="s">
        <v>113</v>
      </c>
      <c r="I1925" t="s">
        <v>37</v>
      </c>
      <c r="J1925">
        <v>1499</v>
      </c>
      <c r="K1925">
        <v>1</v>
      </c>
      <c r="L1925">
        <v>1529.02</v>
      </c>
      <c r="M1925">
        <v>229.35</v>
      </c>
      <c r="N1925">
        <v>1529.02</v>
      </c>
      <c r="O1925">
        <v>1299.67</v>
      </c>
      <c r="P1925" t="s">
        <v>2111</v>
      </c>
      <c r="Q1925" t="s">
        <v>789</v>
      </c>
    </row>
    <row r="1926" spans="1:17" x14ac:dyDescent="0.3">
      <c r="A1926" t="s">
        <v>2181</v>
      </c>
      <c r="B1926" t="s">
        <v>2182</v>
      </c>
      <c r="C1926" s="1">
        <v>46080</v>
      </c>
      <c r="D1926" t="s">
        <v>63</v>
      </c>
      <c r="E1926" t="s">
        <v>17</v>
      </c>
      <c r="F1926" t="s">
        <v>60</v>
      </c>
      <c r="G1926" t="s">
        <v>27</v>
      </c>
      <c r="H1926" t="s">
        <v>28</v>
      </c>
      <c r="I1926" t="s">
        <v>29</v>
      </c>
      <c r="J1926">
        <v>1599</v>
      </c>
      <c r="K1926">
        <v>3</v>
      </c>
      <c r="L1926">
        <v>1489.07</v>
      </c>
      <c r="M1926">
        <v>670.08</v>
      </c>
      <c r="N1926">
        <v>4467.21</v>
      </c>
      <c r="O1926">
        <v>3797.13</v>
      </c>
      <c r="P1926" t="s">
        <v>2111</v>
      </c>
      <c r="Q1926" t="s">
        <v>498</v>
      </c>
    </row>
    <row r="1927" spans="1:17" x14ac:dyDescent="0.3">
      <c r="A1927" t="s">
        <v>679</v>
      </c>
      <c r="B1927" t="s">
        <v>678</v>
      </c>
      <c r="C1927" s="1">
        <v>46072</v>
      </c>
      <c r="D1927" t="s">
        <v>63</v>
      </c>
      <c r="E1927" t="s">
        <v>17</v>
      </c>
      <c r="F1927" t="s">
        <v>22</v>
      </c>
      <c r="G1927" t="s">
        <v>250</v>
      </c>
      <c r="H1927" t="s">
        <v>251</v>
      </c>
      <c r="I1927" t="s">
        <v>108</v>
      </c>
      <c r="J1927">
        <v>899</v>
      </c>
      <c r="K1927">
        <v>2</v>
      </c>
      <c r="L1927">
        <v>905.39</v>
      </c>
      <c r="M1927">
        <v>362.16</v>
      </c>
      <c r="N1927">
        <v>1810.78</v>
      </c>
      <c r="O1927">
        <v>1448.62</v>
      </c>
      <c r="P1927" t="s">
        <v>2111</v>
      </c>
      <c r="Q1927" t="s">
        <v>498</v>
      </c>
    </row>
    <row r="1928" spans="1:17" x14ac:dyDescent="0.3">
      <c r="A1928" t="s">
        <v>1309</v>
      </c>
      <c r="B1928" t="s">
        <v>1308</v>
      </c>
      <c r="C1928" s="1">
        <v>46128</v>
      </c>
      <c r="D1928" t="s">
        <v>34</v>
      </c>
      <c r="E1928" t="s">
        <v>50</v>
      </c>
      <c r="F1928" t="s">
        <v>47</v>
      </c>
      <c r="G1928" t="s">
        <v>149</v>
      </c>
      <c r="H1928" t="s">
        <v>150</v>
      </c>
      <c r="I1928" t="s">
        <v>37</v>
      </c>
      <c r="J1928">
        <v>2999</v>
      </c>
      <c r="K1928">
        <v>1</v>
      </c>
      <c r="L1928">
        <v>2837.31</v>
      </c>
      <c r="M1928">
        <v>0</v>
      </c>
      <c r="N1928">
        <v>2837.31</v>
      </c>
      <c r="O1928">
        <v>2837.31</v>
      </c>
      <c r="P1928" t="s">
        <v>2111</v>
      </c>
      <c r="Q1928" t="s">
        <v>1170</v>
      </c>
    </row>
    <row r="1929" spans="1:17" x14ac:dyDescent="0.3">
      <c r="A1929" t="s">
        <v>822</v>
      </c>
      <c r="B1929" t="s">
        <v>821</v>
      </c>
      <c r="C1929" s="1">
        <v>46084</v>
      </c>
      <c r="D1929" t="s">
        <v>16</v>
      </c>
      <c r="E1929" t="s">
        <v>17</v>
      </c>
      <c r="F1929" t="s">
        <v>60</v>
      </c>
      <c r="G1929" t="s">
        <v>91</v>
      </c>
      <c r="H1929" t="s">
        <v>92</v>
      </c>
      <c r="I1929" t="s">
        <v>37</v>
      </c>
      <c r="J1929">
        <v>1899</v>
      </c>
      <c r="K1929">
        <v>1</v>
      </c>
      <c r="L1929">
        <v>1991.57</v>
      </c>
      <c r="M1929">
        <v>0</v>
      </c>
      <c r="N1929">
        <v>1991.57</v>
      </c>
      <c r="O1929">
        <v>1991.57</v>
      </c>
      <c r="P1929" t="s">
        <v>2111</v>
      </c>
      <c r="Q1929" t="s">
        <v>789</v>
      </c>
    </row>
    <row r="1930" spans="1:17" x14ac:dyDescent="0.3">
      <c r="A1930" t="s">
        <v>2503</v>
      </c>
      <c r="B1930" t="s">
        <v>2504</v>
      </c>
      <c r="C1930" s="1">
        <v>46185</v>
      </c>
      <c r="D1930" t="s">
        <v>41</v>
      </c>
      <c r="E1930" t="s">
        <v>17</v>
      </c>
      <c r="F1930" t="s">
        <v>60</v>
      </c>
      <c r="G1930" t="s">
        <v>51</v>
      </c>
      <c r="H1930" t="s">
        <v>52</v>
      </c>
      <c r="I1930" t="s">
        <v>20</v>
      </c>
      <c r="J1930">
        <v>999</v>
      </c>
      <c r="K1930">
        <v>2</v>
      </c>
      <c r="L1930">
        <v>1004.61</v>
      </c>
      <c r="M1930">
        <v>100.46</v>
      </c>
      <c r="N1930">
        <v>2009.22</v>
      </c>
      <c r="O1930">
        <v>1908.76</v>
      </c>
      <c r="P1930" t="s">
        <v>2111</v>
      </c>
      <c r="Q1930" t="s">
        <v>1809</v>
      </c>
    </row>
    <row r="1931" spans="1:17" x14ac:dyDescent="0.3">
      <c r="A1931" t="s">
        <v>2612</v>
      </c>
      <c r="B1931" t="s">
        <v>2613</v>
      </c>
      <c r="C1931" s="1">
        <v>46194</v>
      </c>
      <c r="D1931" t="s">
        <v>26</v>
      </c>
      <c r="E1931" t="s">
        <v>50</v>
      </c>
      <c r="F1931" t="s">
        <v>60</v>
      </c>
      <c r="G1931" t="s">
        <v>86</v>
      </c>
      <c r="H1931" t="s">
        <v>87</v>
      </c>
      <c r="I1931" t="s">
        <v>82</v>
      </c>
      <c r="J1931">
        <v>3499</v>
      </c>
      <c r="K1931">
        <v>1</v>
      </c>
      <c r="L1931">
        <v>3436.88</v>
      </c>
      <c r="M1931">
        <v>0</v>
      </c>
      <c r="N1931">
        <v>3436.88</v>
      </c>
      <c r="O1931">
        <v>3436.88</v>
      </c>
      <c r="P1931" t="s">
        <v>2111</v>
      </c>
      <c r="Q1931" t="s">
        <v>1809</v>
      </c>
    </row>
    <row r="1932" spans="1:17" x14ac:dyDescent="0.3">
      <c r="A1932" t="s">
        <v>335</v>
      </c>
      <c r="B1932" t="s">
        <v>334</v>
      </c>
      <c r="C1932" s="1">
        <v>46040</v>
      </c>
      <c r="D1932" t="s">
        <v>34</v>
      </c>
      <c r="E1932" t="s">
        <v>17</v>
      </c>
      <c r="F1932" t="s">
        <v>60</v>
      </c>
      <c r="G1932" t="s">
        <v>355</v>
      </c>
      <c r="H1932" t="s">
        <v>356</v>
      </c>
      <c r="I1932" t="s">
        <v>82</v>
      </c>
      <c r="J1932">
        <v>499</v>
      </c>
      <c r="K1932">
        <v>1</v>
      </c>
      <c r="L1932">
        <v>475.93</v>
      </c>
      <c r="M1932">
        <v>47.59</v>
      </c>
      <c r="N1932">
        <v>475.93</v>
      </c>
      <c r="O1932">
        <v>428.34</v>
      </c>
      <c r="P1932" t="s">
        <v>2111</v>
      </c>
      <c r="Q1932" t="s">
        <v>23</v>
      </c>
    </row>
    <row r="1933" spans="1:17" x14ac:dyDescent="0.3">
      <c r="A1933" t="s">
        <v>515</v>
      </c>
      <c r="B1933" t="s">
        <v>514</v>
      </c>
      <c r="C1933" s="1">
        <v>46056</v>
      </c>
      <c r="D1933" t="s">
        <v>34</v>
      </c>
      <c r="E1933" t="s">
        <v>17</v>
      </c>
      <c r="F1933" t="s">
        <v>47</v>
      </c>
      <c r="G1933" t="s">
        <v>112</v>
      </c>
      <c r="H1933" t="s">
        <v>113</v>
      </c>
      <c r="I1933" t="s">
        <v>37</v>
      </c>
      <c r="J1933">
        <v>1499</v>
      </c>
      <c r="K1933">
        <v>1</v>
      </c>
      <c r="L1933">
        <v>1648.51</v>
      </c>
      <c r="M1933">
        <v>329.7</v>
      </c>
      <c r="N1933">
        <v>1648.51</v>
      </c>
      <c r="O1933">
        <v>1318.81</v>
      </c>
      <c r="P1933" t="s">
        <v>2111</v>
      </c>
      <c r="Q1933" t="s">
        <v>498</v>
      </c>
    </row>
    <row r="1934" spans="1:17" x14ac:dyDescent="0.3">
      <c r="A1934" t="s">
        <v>1250</v>
      </c>
      <c r="B1934" t="s">
        <v>1249</v>
      </c>
      <c r="C1934" s="1">
        <v>46121</v>
      </c>
      <c r="D1934" t="s">
        <v>34</v>
      </c>
      <c r="E1934" t="s">
        <v>17</v>
      </c>
      <c r="F1934" t="s">
        <v>74</v>
      </c>
      <c r="G1934" t="s">
        <v>126</v>
      </c>
      <c r="H1934" t="s">
        <v>127</v>
      </c>
      <c r="I1934" t="s">
        <v>45</v>
      </c>
      <c r="J1934">
        <v>2499</v>
      </c>
      <c r="K1934">
        <v>1</v>
      </c>
      <c r="L1934">
        <v>2284.94</v>
      </c>
      <c r="M1934">
        <v>228.49</v>
      </c>
      <c r="N1934">
        <v>2284.94</v>
      </c>
      <c r="O1934">
        <v>2056.4499999999998</v>
      </c>
      <c r="P1934" t="s">
        <v>2111</v>
      </c>
      <c r="Q1934" t="s">
        <v>1170</v>
      </c>
    </row>
    <row r="1935" spans="1:17" x14ac:dyDescent="0.3">
      <c r="A1935" t="s">
        <v>1314</v>
      </c>
      <c r="B1935" t="s">
        <v>1313</v>
      </c>
      <c r="C1935" s="1">
        <v>46129</v>
      </c>
      <c r="D1935" t="s">
        <v>16</v>
      </c>
      <c r="E1935" t="s">
        <v>50</v>
      </c>
      <c r="F1935" t="s">
        <v>60</v>
      </c>
      <c r="G1935" t="s">
        <v>80</v>
      </c>
      <c r="H1935" t="s">
        <v>81</v>
      </c>
      <c r="I1935" t="s">
        <v>82</v>
      </c>
      <c r="J1935">
        <v>4299</v>
      </c>
      <c r="K1935">
        <v>2</v>
      </c>
      <c r="L1935">
        <v>3906.55</v>
      </c>
      <c r="M1935">
        <v>1562.62</v>
      </c>
      <c r="N1935">
        <v>7813.1</v>
      </c>
      <c r="O1935">
        <v>6250.48</v>
      </c>
      <c r="P1935" t="s">
        <v>2111</v>
      </c>
      <c r="Q1935" t="s">
        <v>1170</v>
      </c>
    </row>
    <row r="1936" spans="1:17" x14ac:dyDescent="0.3">
      <c r="A1936" t="s">
        <v>1927</v>
      </c>
      <c r="B1936" t="s">
        <v>1926</v>
      </c>
      <c r="C1936" s="1">
        <v>46185</v>
      </c>
      <c r="D1936" t="s">
        <v>16</v>
      </c>
      <c r="E1936" t="s">
        <v>42</v>
      </c>
      <c r="F1936" t="s">
        <v>60</v>
      </c>
      <c r="G1936" t="s">
        <v>56</v>
      </c>
      <c r="H1936" t="s">
        <v>57</v>
      </c>
      <c r="I1936" t="s">
        <v>58</v>
      </c>
      <c r="J1936">
        <v>8999</v>
      </c>
      <c r="K1936">
        <v>4</v>
      </c>
      <c r="L1936">
        <v>8490.1200000000008</v>
      </c>
      <c r="M1936">
        <v>0</v>
      </c>
      <c r="N1936">
        <v>33960.480000000003</v>
      </c>
      <c r="O1936">
        <v>33960.480000000003</v>
      </c>
      <c r="P1936" t="s">
        <v>2111</v>
      </c>
      <c r="Q1936" t="s">
        <v>1809</v>
      </c>
    </row>
    <row r="1937" spans="1:17" x14ac:dyDescent="0.3">
      <c r="A1937" t="s">
        <v>2897</v>
      </c>
      <c r="B1937" t="s">
        <v>2898</v>
      </c>
      <c r="C1937" s="1">
        <v>46154</v>
      </c>
      <c r="D1937" t="s">
        <v>16</v>
      </c>
      <c r="E1937" t="s">
        <v>17</v>
      </c>
      <c r="F1937" t="s">
        <v>74</v>
      </c>
      <c r="G1937" t="s">
        <v>160</v>
      </c>
      <c r="H1937" t="s">
        <v>161</v>
      </c>
      <c r="I1937" t="s">
        <v>82</v>
      </c>
      <c r="J1937">
        <v>799</v>
      </c>
      <c r="K1937">
        <v>1</v>
      </c>
      <c r="L1937">
        <v>874.28</v>
      </c>
      <c r="M1937">
        <v>0</v>
      </c>
      <c r="N1937">
        <v>874.28</v>
      </c>
      <c r="O1937">
        <v>874.28</v>
      </c>
      <c r="P1937" t="s">
        <v>2111</v>
      </c>
      <c r="Q1937" t="s">
        <v>1479</v>
      </c>
    </row>
    <row r="1938" spans="1:17" x14ac:dyDescent="0.3">
      <c r="A1938" t="s">
        <v>2518</v>
      </c>
      <c r="B1938" t="s">
        <v>2519</v>
      </c>
      <c r="C1938" s="1">
        <v>46171</v>
      </c>
      <c r="D1938" t="s">
        <v>16</v>
      </c>
      <c r="E1938" t="s">
        <v>17</v>
      </c>
      <c r="F1938" t="s">
        <v>31</v>
      </c>
      <c r="G1938" t="s">
        <v>250</v>
      </c>
      <c r="H1938" t="s">
        <v>251</v>
      </c>
      <c r="I1938" t="s">
        <v>108</v>
      </c>
      <c r="J1938">
        <v>899</v>
      </c>
      <c r="K1938">
        <v>1</v>
      </c>
      <c r="L1938">
        <v>985.17</v>
      </c>
      <c r="M1938">
        <v>0</v>
      </c>
      <c r="N1938">
        <v>985.17</v>
      </c>
      <c r="O1938">
        <v>985.17</v>
      </c>
      <c r="P1938" t="s">
        <v>2111</v>
      </c>
      <c r="Q1938" t="s">
        <v>1479</v>
      </c>
    </row>
    <row r="1939" spans="1:17" x14ac:dyDescent="0.3">
      <c r="A1939" t="s">
        <v>2899</v>
      </c>
      <c r="B1939" t="s">
        <v>2900</v>
      </c>
      <c r="C1939" s="1">
        <v>46102</v>
      </c>
      <c r="D1939" t="s">
        <v>41</v>
      </c>
      <c r="E1939" t="s">
        <v>17</v>
      </c>
      <c r="F1939" t="s">
        <v>60</v>
      </c>
      <c r="G1939" t="s">
        <v>18</v>
      </c>
      <c r="H1939" t="s">
        <v>19</v>
      </c>
      <c r="I1939" t="s">
        <v>20</v>
      </c>
      <c r="J1939">
        <v>2799</v>
      </c>
      <c r="K1939">
        <v>1</v>
      </c>
      <c r="L1939">
        <v>2885.73</v>
      </c>
      <c r="M1939">
        <v>144.29</v>
      </c>
      <c r="N1939">
        <v>2885.73</v>
      </c>
      <c r="O1939">
        <v>2741.44</v>
      </c>
      <c r="P1939" t="s">
        <v>2111</v>
      </c>
      <c r="Q1939" t="s">
        <v>789</v>
      </c>
    </row>
    <row r="1940" spans="1:17" x14ac:dyDescent="0.3">
      <c r="A1940" t="s">
        <v>1532</v>
      </c>
      <c r="B1940" t="s">
        <v>1531</v>
      </c>
      <c r="C1940" s="1">
        <v>46146</v>
      </c>
      <c r="D1940" t="s">
        <v>63</v>
      </c>
      <c r="E1940" t="s">
        <v>17</v>
      </c>
      <c r="F1940" t="s">
        <v>47</v>
      </c>
      <c r="G1940" t="s">
        <v>56</v>
      </c>
      <c r="H1940" t="s">
        <v>57</v>
      </c>
      <c r="I1940" t="s">
        <v>58</v>
      </c>
      <c r="J1940">
        <v>8999</v>
      </c>
      <c r="K1940">
        <v>1</v>
      </c>
      <c r="L1940">
        <v>9683.1200000000008</v>
      </c>
      <c r="M1940">
        <v>1936.62</v>
      </c>
      <c r="N1940">
        <v>9683.1200000000008</v>
      </c>
      <c r="O1940">
        <v>7746.5</v>
      </c>
      <c r="P1940" t="s">
        <v>2111</v>
      </c>
      <c r="Q1940" t="s">
        <v>1479</v>
      </c>
    </row>
    <row r="1941" spans="1:17" x14ac:dyDescent="0.3">
      <c r="A1941" t="s">
        <v>2115</v>
      </c>
      <c r="B1941" t="s">
        <v>2116</v>
      </c>
      <c r="C1941" s="1">
        <v>46121</v>
      </c>
      <c r="D1941" t="s">
        <v>34</v>
      </c>
      <c r="E1941" t="s">
        <v>17</v>
      </c>
      <c r="F1941" t="s">
        <v>47</v>
      </c>
      <c r="G1941" t="s">
        <v>96</v>
      </c>
      <c r="H1941" t="s">
        <v>97</v>
      </c>
      <c r="I1941" t="s">
        <v>58</v>
      </c>
      <c r="J1941">
        <v>7499</v>
      </c>
      <c r="K1941">
        <v>1</v>
      </c>
      <c r="L1941">
        <v>7070</v>
      </c>
      <c r="M1941">
        <v>0</v>
      </c>
      <c r="N1941">
        <v>7070</v>
      </c>
      <c r="O1941">
        <v>7070</v>
      </c>
      <c r="P1941" t="s">
        <v>2111</v>
      </c>
      <c r="Q1941" t="s">
        <v>1170</v>
      </c>
    </row>
    <row r="1942" spans="1:17" x14ac:dyDescent="0.3">
      <c r="A1942" t="s">
        <v>2148</v>
      </c>
      <c r="B1942" t="s">
        <v>2149</v>
      </c>
      <c r="C1942" s="1">
        <v>46174</v>
      </c>
      <c r="D1942" t="s">
        <v>26</v>
      </c>
      <c r="E1942" t="s">
        <v>17</v>
      </c>
      <c r="F1942" t="s">
        <v>22</v>
      </c>
      <c r="G1942" t="s">
        <v>91</v>
      </c>
      <c r="H1942" t="s">
        <v>92</v>
      </c>
      <c r="I1942" t="s">
        <v>37</v>
      </c>
      <c r="J1942">
        <v>1899</v>
      </c>
      <c r="K1942">
        <v>2</v>
      </c>
      <c r="L1942">
        <v>2078.2800000000002</v>
      </c>
      <c r="M1942">
        <v>415.66</v>
      </c>
      <c r="N1942">
        <v>4156.5600000000004</v>
      </c>
      <c r="O1942">
        <v>3740.9</v>
      </c>
      <c r="P1942" t="s">
        <v>2111</v>
      </c>
      <c r="Q1942" t="s">
        <v>1809</v>
      </c>
    </row>
    <row r="1943" spans="1:17" x14ac:dyDescent="0.3">
      <c r="A1943" t="s">
        <v>1325</v>
      </c>
      <c r="B1943" t="s">
        <v>1324</v>
      </c>
      <c r="C1943" s="1">
        <v>46130</v>
      </c>
      <c r="D1943" t="s">
        <v>34</v>
      </c>
      <c r="E1943" t="s">
        <v>17</v>
      </c>
      <c r="F1943" t="s">
        <v>22</v>
      </c>
      <c r="G1943" t="s">
        <v>112</v>
      </c>
      <c r="H1943" t="s">
        <v>113</v>
      </c>
      <c r="I1943" t="s">
        <v>37</v>
      </c>
      <c r="J1943">
        <v>1499</v>
      </c>
      <c r="K1943">
        <v>1</v>
      </c>
      <c r="L1943">
        <v>1391.91</v>
      </c>
      <c r="M1943">
        <v>139.19</v>
      </c>
      <c r="N1943">
        <v>1391.91</v>
      </c>
      <c r="O1943">
        <v>1252.72</v>
      </c>
      <c r="P1943" t="s">
        <v>2111</v>
      </c>
      <c r="Q1943" t="s">
        <v>1170</v>
      </c>
    </row>
    <row r="1944" spans="1:17" x14ac:dyDescent="0.3">
      <c r="A1944" t="s">
        <v>425</v>
      </c>
      <c r="B1944" t="s">
        <v>424</v>
      </c>
      <c r="C1944" s="1">
        <v>46047</v>
      </c>
      <c r="D1944" t="s">
        <v>16</v>
      </c>
      <c r="E1944" t="s">
        <v>50</v>
      </c>
      <c r="F1944" t="s">
        <v>31</v>
      </c>
      <c r="G1944" t="s">
        <v>80</v>
      </c>
      <c r="H1944" t="s">
        <v>81</v>
      </c>
      <c r="I1944" t="s">
        <v>82</v>
      </c>
      <c r="J1944">
        <v>4299</v>
      </c>
      <c r="K1944">
        <v>1</v>
      </c>
      <c r="L1944">
        <v>3956.05</v>
      </c>
      <c r="M1944">
        <v>791.21</v>
      </c>
      <c r="N1944">
        <v>3956.05</v>
      </c>
      <c r="O1944">
        <v>3164.84</v>
      </c>
      <c r="P1944" t="s">
        <v>2111</v>
      </c>
      <c r="Q1944" t="s">
        <v>23</v>
      </c>
    </row>
    <row r="1945" spans="1:17" x14ac:dyDescent="0.3">
      <c r="A1945" t="s">
        <v>1970</v>
      </c>
      <c r="B1945" t="s">
        <v>1969</v>
      </c>
      <c r="C1945" s="1">
        <v>46191</v>
      </c>
      <c r="D1945" t="s">
        <v>16</v>
      </c>
      <c r="E1945" t="s">
        <v>42</v>
      </c>
      <c r="F1945" t="s">
        <v>31</v>
      </c>
      <c r="G1945" t="s">
        <v>355</v>
      </c>
      <c r="H1945" t="s">
        <v>356</v>
      </c>
      <c r="I1945" t="s">
        <v>82</v>
      </c>
      <c r="J1945">
        <v>499</v>
      </c>
      <c r="K1945">
        <v>1</v>
      </c>
      <c r="L1945">
        <v>460.3</v>
      </c>
      <c r="M1945">
        <v>0</v>
      </c>
      <c r="N1945">
        <v>460.3</v>
      </c>
      <c r="O1945">
        <v>460.3</v>
      </c>
      <c r="P1945" t="s">
        <v>2111</v>
      </c>
      <c r="Q1945" t="s">
        <v>1809</v>
      </c>
    </row>
    <row r="1946" spans="1:17" x14ac:dyDescent="0.3">
      <c r="A1946" t="s">
        <v>2094</v>
      </c>
      <c r="B1946" t="s">
        <v>2093</v>
      </c>
      <c r="C1946" s="1">
        <v>46203</v>
      </c>
      <c r="D1946" t="s">
        <v>16</v>
      </c>
      <c r="E1946" t="s">
        <v>50</v>
      </c>
      <c r="F1946" t="s">
        <v>22</v>
      </c>
      <c r="G1946" t="s">
        <v>43</v>
      </c>
      <c r="H1946" t="s">
        <v>44</v>
      </c>
      <c r="I1946" t="s">
        <v>45</v>
      </c>
      <c r="J1946">
        <v>3299</v>
      </c>
      <c r="K1946">
        <v>1</v>
      </c>
      <c r="L1946">
        <v>3347.25</v>
      </c>
      <c r="M1946">
        <v>167.36</v>
      </c>
      <c r="N1946">
        <v>3347.25</v>
      </c>
      <c r="O1946">
        <v>3179.89</v>
      </c>
      <c r="P1946" t="s">
        <v>2111</v>
      </c>
      <c r="Q1946" t="s">
        <v>1809</v>
      </c>
    </row>
    <row r="1947" spans="1:17" x14ac:dyDescent="0.3">
      <c r="A1947" t="s">
        <v>2170</v>
      </c>
      <c r="B1947" t="s">
        <v>266</v>
      </c>
      <c r="C1947" s="1">
        <v>46052</v>
      </c>
      <c r="D1947" t="s">
        <v>26</v>
      </c>
      <c r="E1947" t="s">
        <v>50</v>
      </c>
      <c r="F1947" t="s">
        <v>47</v>
      </c>
      <c r="G1947" t="s">
        <v>56</v>
      </c>
      <c r="H1947" t="s">
        <v>57</v>
      </c>
      <c r="I1947" t="s">
        <v>58</v>
      </c>
      <c r="J1947">
        <v>8999</v>
      </c>
      <c r="K1947">
        <v>1</v>
      </c>
      <c r="L1947">
        <v>9504.7000000000007</v>
      </c>
      <c r="M1947">
        <v>0</v>
      </c>
      <c r="N1947">
        <v>9504.7000000000007</v>
      </c>
      <c r="O1947">
        <v>9504.7000000000007</v>
      </c>
      <c r="P1947" t="s">
        <v>2111</v>
      </c>
      <c r="Q1947" t="s">
        <v>23</v>
      </c>
    </row>
    <row r="1948" spans="1:17" x14ac:dyDescent="0.3">
      <c r="A1948" t="s">
        <v>437</v>
      </c>
      <c r="B1948" t="s">
        <v>436</v>
      </c>
      <c r="C1948" s="1">
        <v>46048</v>
      </c>
      <c r="D1948" t="s">
        <v>16</v>
      </c>
      <c r="E1948" t="s">
        <v>50</v>
      </c>
      <c r="F1948" t="s">
        <v>31</v>
      </c>
      <c r="G1948" t="s">
        <v>126</v>
      </c>
      <c r="H1948" t="s">
        <v>127</v>
      </c>
      <c r="I1948" t="s">
        <v>45</v>
      </c>
      <c r="J1948">
        <v>2499</v>
      </c>
      <c r="K1948">
        <v>2</v>
      </c>
      <c r="L1948">
        <v>2432.36</v>
      </c>
      <c r="M1948">
        <v>486.47</v>
      </c>
      <c r="N1948">
        <v>4864.72</v>
      </c>
      <c r="O1948">
        <v>4378.25</v>
      </c>
      <c r="P1948" t="s">
        <v>2111</v>
      </c>
      <c r="Q1948" t="s">
        <v>23</v>
      </c>
    </row>
    <row r="1949" spans="1:17" x14ac:dyDescent="0.3">
      <c r="A1949" t="s">
        <v>2543</v>
      </c>
      <c r="B1949" t="s">
        <v>2088</v>
      </c>
      <c r="C1949" s="1">
        <v>46126</v>
      </c>
      <c r="D1949" t="s">
        <v>41</v>
      </c>
      <c r="E1949" t="s">
        <v>17</v>
      </c>
      <c r="F1949" t="s">
        <v>74</v>
      </c>
      <c r="G1949" t="s">
        <v>43</v>
      </c>
      <c r="H1949" t="s">
        <v>44</v>
      </c>
      <c r="I1949" t="s">
        <v>45</v>
      </c>
      <c r="J1949">
        <v>3299</v>
      </c>
      <c r="K1949">
        <v>1</v>
      </c>
      <c r="L1949">
        <v>3614.32</v>
      </c>
      <c r="M1949">
        <v>180.72</v>
      </c>
      <c r="N1949">
        <v>3614.32</v>
      </c>
      <c r="O1949">
        <v>3433.6</v>
      </c>
      <c r="P1949" t="s">
        <v>2111</v>
      </c>
      <c r="Q1949" t="s">
        <v>1170</v>
      </c>
    </row>
    <row r="1950" spans="1:17" x14ac:dyDescent="0.3">
      <c r="A1950" t="s">
        <v>2317</v>
      </c>
      <c r="B1950" t="s">
        <v>830</v>
      </c>
      <c r="C1950" s="1">
        <v>46161</v>
      </c>
      <c r="D1950" t="s">
        <v>16</v>
      </c>
      <c r="E1950" t="s">
        <v>17</v>
      </c>
      <c r="F1950" t="s">
        <v>31</v>
      </c>
      <c r="G1950" t="s">
        <v>106</v>
      </c>
      <c r="H1950" t="s">
        <v>107</v>
      </c>
      <c r="I1950" t="s">
        <v>108</v>
      </c>
      <c r="J1950">
        <v>599</v>
      </c>
      <c r="K1950">
        <v>2</v>
      </c>
      <c r="L1950">
        <v>591.14</v>
      </c>
      <c r="M1950">
        <v>236.46</v>
      </c>
      <c r="N1950">
        <v>1182.28</v>
      </c>
      <c r="O1950">
        <v>945.82</v>
      </c>
      <c r="P1950" t="s">
        <v>2111</v>
      </c>
      <c r="Q1950" t="s">
        <v>1479</v>
      </c>
    </row>
    <row r="1951" spans="1:17" x14ac:dyDescent="0.3">
      <c r="A1951" t="s">
        <v>1987</v>
      </c>
      <c r="B1951" t="s">
        <v>1986</v>
      </c>
      <c r="C1951" s="1">
        <v>46193</v>
      </c>
      <c r="D1951" t="s">
        <v>63</v>
      </c>
      <c r="E1951" t="s">
        <v>17</v>
      </c>
      <c r="F1951" t="s">
        <v>47</v>
      </c>
      <c r="G1951" t="s">
        <v>101</v>
      </c>
      <c r="H1951" t="s">
        <v>102</v>
      </c>
      <c r="I1951" t="s">
        <v>45</v>
      </c>
      <c r="J1951">
        <v>4999</v>
      </c>
      <c r="K1951">
        <v>1</v>
      </c>
      <c r="L1951">
        <v>4649.5200000000004</v>
      </c>
      <c r="M1951">
        <v>464.95</v>
      </c>
      <c r="N1951">
        <v>4649.5200000000004</v>
      </c>
      <c r="O1951">
        <v>4184.57</v>
      </c>
      <c r="P1951" t="s">
        <v>2114</v>
      </c>
      <c r="Q1951" t="s">
        <v>1809</v>
      </c>
    </row>
    <row r="1952" spans="1:17" x14ac:dyDescent="0.3">
      <c r="A1952" t="s">
        <v>1129</v>
      </c>
      <c r="B1952" t="s">
        <v>1128</v>
      </c>
      <c r="C1952" s="1">
        <v>46109</v>
      </c>
      <c r="D1952" t="s">
        <v>63</v>
      </c>
      <c r="E1952" t="s">
        <v>50</v>
      </c>
      <c r="F1952" t="s">
        <v>74</v>
      </c>
      <c r="G1952" t="s">
        <v>160</v>
      </c>
      <c r="H1952" t="s">
        <v>161</v>
      </c>
      <c r="I1952" t="s">
        <v>82</v>
      </c>
      <c r="J1952">
        <v>799</v>
      </c>
      <c r="K1952">
        <v>1</v>
      </c>
      <c r="L1952">
        <v>793.56</v>
      </c>
      <c r="M1952">
        <v>79.36</v>
      </c>
      <c r="N1952">
        <v>793.56</v>
      </c>
      <c r="O1952">
        <v>714.2</v>
      </c>
      <c r="P1952" t="s">
        <v>2111</v>
      </c>
      <c r="Q1952" t="s">
        <v>789</v>
      </c>
    </row>
    <row r="1953" spans="1:17" x14ac:dyDescent="0.3">
      <c r="A1953" t="s">
        <v>2141</v>
      </c>
      <c r="B1953" t="s">
        <v>2142</v>
      </c>
      <c r="C1953" s="1">
        <v>46098</v>
      </c>
      <c r="D1953" t="s">
        <v>16</v>
      </c>
      <c r="E1953" t="s">
        <v>17</v>
      </c>
      <c r="F1953" t="s">
        <v>31</v>
      </c>
      <c r="G1953" t="s">
        <v>112</v>
      </c>
      <c r="H1953" t="s">
        <v>113</v>
      </c>
      <c r="I1953" t="s">
        <v>37</v>
      </c>
      <c r="J1953">
        <v>1499</v>
      </c>
      <c r="K1953">
        <v>1</v>
      </c>
      <c r="L1953">
        <v>1552.68</v>
      </c>
      <c r="M1953">
        <v>155.27000000000001</v>
      </c>
      <c r="N1953">
        <v>1552.68</v>
      </c>
      <c r="O1953">
        <v>1397.41</v>
      </c>
      <c r="P1953" t="s">
        <v>2111</v>
      </c>
      <c r="Q1953" t="s">
        <v>789</v>
      </c>
    </row>
    <row r="1954" spans="1:17" x14ac:dyDescent="0.3">
      <c r="A1954" t="s">
        <v>1214</v>
      </c>
      <c r="B1954" t="s">
        <v>1213</v>
      </c>
      <c r="C1954" s="1">
        <v>46118</v>
      </c>
      <c r="D1954" t="s">
        <v>26</v>
      </c>
      <c r="E1954" t="s">
        <v>17</v>
      </c>
      <c r="F1954" t="s">
        <v>74</v>
      </c>
      <c r="G1954" t="s">
        <v>165</v>
      </c>
      <c r="H1954" t="s">
        <v>166</v>
      </c>
      <c r="I1954" t="s">
        <v>29</v>
      </c>
      <c r="J1954">
        <v>449</v>
      </c>
      <c r="K1954">
        <v>1</v>
      </c>
      <c r="L1954">
        <v>478.83</v>
      </c>
      <c r="M1954">
        <v>0</v>
      </c>
      <c r="N1954">
        <v>478.83</v>
      </c>
      <c r="O1954">
        <v>478.83</v>
      </c>
      <c r="P1954" t="s">
        <v>2111</v>
      </c>
      <c r="Q1954" t="s">
        <v>1170</v>
      </c>
    </row>
    <row r="1955" spans="1:17" x14ac:dyDescent="0.3">
      <c r="A1955" t="s">
        <v>2821</v>
      </c>
      <c r="B1955" t="s">
        <v>2822</v>
      </c>
      <c r="C1955" s="1">
        <v>46154</v>
      </c>
      <c r="D1955" t="s">
        <v>34</v>
      </c>
      <c r="E1955" t="s">
        <v>50</v>
      </c>
      <c r="F1955" t="s">
        <v>47</v>
      </c>
      <c r="G1955" t="s">
        <v>112</v>
      </c>
      <c r="H1955" t="s">
        <v>113</v>
      </c>
      <c r="I1955" t="s">
        <v>37</v>
      </c>
      <c r="J1955">
        <v>1499</v>
      </c>
      <c r="K1955">
        <v>1</v>
      </c>
      <c r="L1955">
        <v>1486.64</v>
      </c>
      <c r="M1955">
        <v>148.66</v>
      </c>
      <c r="N1955">
        <v>1486.64</v>
      </c>
      <c r="O1955">
        <v>1337.98</v>
      </c>
      <c r="P1955" t="s">
        <v>2114</v>
      </c>
      <c r="Q1955" t="s">
        <v>1479</v>
      </c>
    </row>
    <row r="1956" spans="1:17" x14ac:dyDescent="0.3">
      <c r="A1956" t="s">
        <v>2901</v>
      </c>
      <c r="B1956" t="s">
        <v>888</v>
      </c>
      <c r="C1956" s="1">
        <v>46057</v>
      </c>
      <c r="D1956" t="s">
        <v>16</v>
      </c>
      <c r="E1956" t="s">
        <v>17</v>
      </c>
      <c r="F1956" t="s">
        <v>22</v>
      </c>
      <c r="G1956" t="s">
        <v>56</v>
      </c>
      <c r="H1956" t="s">
        <v>57</v>
      </c>
      <c r="I1956" t="s">
        <v>58</v>
      </c>
      <c r="J1956">
        <v>8999</v>
      </c>
      <c r="K1956">
        <v>1</v>
      </c>
      <c r="L1956">
        <v>9167.4699999999993</v>
      </c>
      <c r="M1956">
        <v>2291.87</v>
      </c>
      <c r="N1956">
        <v>9167.4699999999993</v>
      </c>
      <c r="O1956">
        <v>6875.6</v>
      </c>
      <c r="P1956" t="s">
        <v>2111</v>
      </c>
      <c r="Q1956" t="s">
        <v>498</v>
      </c>
    </row>
    <row r="1957" spans="1:17" x14ac:dyDescent="0.3">
      <c r="A1957" t="s">
        <v>2585</v>
      </c>
      <c r="B1957" t="s">
        <v>464</v>
      </c>
      <c r="C1957" s="1">
        <v>46155</v>
      </c>
      <c r="D1957" t="s">
        <v>34</v>
      </c>
      <c r="E1957" t="s">
        <v>50</v>
      </c>
      <c r="F1957" t="s">
        <v>22</v>
      </c>
      <c r="G1957" t="s">
        <v>126</v>
      </c>
      <c r="H1957" t="s">
        <v>127</v>
      </c>
      <c r="I1957" t="s">
        <v>45</v>
      </c>
      <c r="J1957">
        <v>2499</v>
      </c>
      <c r="K1957">
        <v>2</v>
      </c>
      <c r="L1957">
        <v>2382.7199999999998</v>
      </c>
      <c r="M1957">
        <v>953.09</v>
      </c>
      <c r="N1957">
        <v>4765.4399999999996</v>
      </c>
      <c r="O1957">
        <v>3812.35</v>
      </c>
      <c r="P1957" t="s">
        <v>2111</v>
      </c>
      <c r="Q1957" t="s">
        <v>1479</v>
      </c>
    </row>
    <row r="1958" spans="1:17" x14ac:dyDescent="0.3">
      <c r="A1958" t="s">
        <v>1918</v>
      </c>
      <c r="B1958" t="s">
        <v>1233</v>
      </c>
      <c r="C1958" s="1">
        <v>46184</v>
      </c>
      <c r="D1958" t="s">
        <v>41</v>
      </c>
      <c r="E1958" t="s">
        <v>17</v>
      </c>
      <c r="F1958" t="s">
        <v>74</v>
      </c>
      <c r="G1958" t="s">
        <v>165</v>
      </c>
      <c r="H1958" t="s">
        <v>166</v>
      </c>
      <c r="I1958" t="s">
        <v>29</v>
      </c>
      <c r="J1958">
        <v>449</v>
      </c>
      <c r="K1958">
        <v>2</v>
      </c>
      <c r="L1958">
        <v>462.1</v>
      </c>
      <c r="M1958">
        <v>184.84</v>
      </c>
      <c r="N1958">
        <v>924.2</v>
      </c>
      <c r="O1958">
        <v>739.36</v>
      </c>
      <c r="P1958" t="s">
        <v>2111</v>
      </c>
      <c r="Q1958" t="s">
        <v>1809</v>
      </c>
    </row>
    <row r="1959" spans="1:17" x14ac:dyDescent="0.3">
      <c r="A1959" t="s">
        <v>2902</v>
      </c>
      <c r="B1959" t="s">
        <v>2903</v>
      </c>
      <c r="C1959" s="1">
        <v>46043</v>
      </c>
      <c r="D1959" t="s">
        <v>26</v>
      </c>
      <c r="E1959" t="s">
        <v>17</v>
      </c>
      <c r="F1959" t="s">
        <v>74</v>
      </c>
      <c r="G1959" t="s">
        <v>160</v>
      </c>
      <c r="H1959" t="s">
        <v>161</v>
      </c>
      <c r="I1959" t="s">
        <v>82</v>
      </c>
      <c r="J1959">
        <v>799</v>
      </c>
      <c r="K1959">
        <v>1</v>
      </c>
      <c r="L1959">
        <v>876.66</v>
      </c>
      <c r="M1959">
        <v>131.5</v>
      </c>
      <c r="N1959">
        <v>876.66</v>
      </c>
      <c r="O1959">
        <v>745.16</v>
      </c>
      <c r="P1959" t="s">
        <v>2111</v>
      </c>
      <c r="Q1959" t="s">
        <v>23</v>
      </c>
    </row>
    <row r="1960" spans="1:17" x14ac:dyDescent="0.3">
      <c r="A1960" t="s">
        <v>480</v>
      </c>
      <c r="B1960" t="s">
        <v>479</v>
      </c>
      <c r="C1960" s="1">
        <v>46052</v>
      </c>
      <c r="D1960" t="s">
        <v>34</v>
      </c>
      <c r="E1960" t="s">
        <v>17</v>
      </c>
      <c r="F1960" t="s">
        <v>47</v>
      </c>
      <c r="G1960" t="s">
        <v>27</v>
      </c>
      <c r="H1960" t="s">
        <v>28</v>
      </c>
      <c r="I1960" t="s">
        <v>29</v>
      </c>
      <c r="J1960">
        <v>1599</v>
      </c>
      <c r="K1960">
        <v>1</v>
      </c>
      <c r="L1960">
        <v>1454.79</v>
      </c>
      <c r="M1960">
        <v>0</v>
      </c>
      <c r="N1960">
        <v>1454.79</v>
      </c>
      <c r="O1960">
        <v>1454.79</v>
      </c>
      <c r="P1960" t="s">
        <v>2111</v>
      </c>
      <c r="Q1960" t="s">
        <v>23</v>
      </c>
    </row>
    <row r="1961" spans="1:17" x14ac:dyDescent="0.3">
      <c r="A1961" t="s">
        <v>1593</v>
      </c>
      <c r="B1961" t="s">
        <v>1592</v>
      </c>
      <c r="C1961" s="1">
        <v>46152</v>
      </c>
      <c r="D1961" t="s">
        <v>41</v>
      </c>
      <c r="E1961" t="s">
        <v>50</v>
      </c>
      <c r="F1961" t="s">
        <v>60</v>
      </c>
      <c r="G1961" t="s">
        <v>56</v>
      </c>
      <c r="H1961" t="s">
        <v>57</v>
      </c>
      <c r="I1961" t="s">
        <v>58</v>
      </c>
      <c r="J1961">
        <v>8999</v>
      </c>
      <c r="K1961">
        <v>1</v>
      </c>
      <c r="L1961">
        <v>9694.68</v>
      </c>
      <c r="M1961">
        <v>484.73</v>
      </c>
      <c r="N1961">
        <v>9694.68</v>
      </c>
      <c r="O1961">
        <v>9209.9500000000007</v>
      </c>
      <c r="P1961" t="s">
        <v>2111</v>
      </c>
      <c r="Q1961" t="s">
        <v>1479</v>
      </c>
    </row>
    <row r="1962" spans="1:17" x14ac:dyDescent="0.3">
      <c r="A1962" t="s">
        <v>2232</v>
      </c>
      <c r="B1962" t="s">
        <v>2233</v>
      </c>
      <c r="C1962" s="1">
        <v>46058</v>
      </c>
      <c r="D1962" t="s">
        <v>63</v>
      </c>
      <c r="E1962" t="s">
        <v>50</v>
      </c>
      <c r="F1962" t="s">
        <v>31</v>
      </c>
      <c r="G1962" t="s">
        <v>250</v>
      </c>
      <c r="H1962" t="s">
        <v>251</v>
      </c>
      <c r="I1962" t="s">
        <v>108</v>
      </c>
      <c r="J1962">
        <v>899</v>
      </c>
      <c r="K1962">
        <v>1</v>
      </c>
      <c r="L1962">
        <v>910.2</v>
      </c>
      <c r="M1962">
        <v>0</v>
      </c>
      <c r="N1962">
        <v>910.2</v>
      </c>
      <c r="O1962">
        <v>910.2</v>
      </c>
      <c r="P1962" t="s">
        <v>2111</v>
      </c>
      <c r="Q1962" t="s">
        <v>498</v>
      </c>
    </row>
    <row r="1963" spans="1:17" x14ac:dyDescent="0.3">
      <c r="A1963" t="s">
        <v>392</v>
      </c>
      <c r="B1963" t="s">
        <v>391</v>
      </c>
      <c r="C1963" s="1">
        <v>46044</v>
      </c>
      <c r="D1963" t="s">
        <v>34</v>
      </c>
      <c r="E1963" t="s">
        <v>42</v>
      </c>
      <c r="F1963" t="s">
        <v>22</v>
      </c>
      <c r="G1963" t="s">
        <v>160</v>
      </c>
      <c r="H1963" t="s">
        <v>161</v>
      </c>
      <c r="I1963" t="s">
        <v>82</v>
      </c>
      <c r="J1963">
        <v>799</v>
      </c>
      <c r="K1963">
        <v>1</v>
      </c>
      <c r="L1963">
        <v>759.39</v>
      </c>
      <c r="M1963">
        <v>37.97</v>
      </c>
      <c r="N1963">
        <v>759.39</v>
      </c>
      <c r="O1963">
        <v>721.42</v>
      </c>
      <c r="P1963" t="s">
        <v>2111</v>
      </c>
      <c r="Q1963" t="s">
        <v>23</v>
      </c>
    </row>
    <row r="1964" spans="1:17" x14ac:dyDescent="0.3">
      <c r="A1964" t="s">
        <v>985</v>
      </c>
      <c r="B1964" t="s">
        <v>984</v>
      </c>
      <c r="C1964" s="1">
        <v>46096</v>
      </c>
      <c r="D1964" t="s">
        <v>16</v>
      </c>
      <c r="E1964" t="s">
        <v>17</v>
      </c>
      <c r="F1964" t="s">
        <v>74</v>
      </c>
      <c r="G1964" t="s">
        <v>149</v>
      </c>
      <c r="H1964" t="s">
        <v>150</v>
      </c>
      <c r="I1964" t="s">
        <v>37</v>
      </c>
      <c r="J1964">
        <v>2999</v>
      </c>
      <c r="K1964">
        <v>3</v>
      </c>
      <c r="L1964">
        <v>3271.84</v>
      </c>
      <c r="M1964">
        <v>0</v>
      </c>
      <c r="N1964">
        <v>9815.52</v>
      </c>
      <c r="O1964">
        <v>9815.52</v>
      </c>
      <c r="P1964" t="s">
        <v>2114</v>
      </c>
      <c r="Q1964" t="s">
        <v>789</v>
      </c>
    </row>
    <row r="1965" spans="1:17" x14ac:dyDescent="0.3">
      <c r="A1965" t="s">
        <v>303</v>
      </c>
      <c r="B1965" t="s">
        <v>302</v>
      </c>
      <c r="C1965" s="1">
        <v>46037</v>
      </c>
      <c r="D1965" t="s">
        <v>63</v>
      </c>
      <c r="E1965" t="s">
        <v>17</v>
      </c>
      <c r="F1965" t="s">
        <v>22</v>
      </c>
      <c r="G1965" t="s">
        <v>250</v>
      </c>
      <c r="H1965" t="s">
        <v>251</v>
      </c>
      <c r="I1965" t="s">
        <v>108</v>
      </c>
      <c r="J1965">
        <v>899</v>
      </c>
      <c r="K1965">
        <v>1</v>
      </c>
      <c r="L1965">
        <v>896.01</v>
      </c>
      <c r="M1965">
        <v>89.6</v>
      </c>
      <c r="N1965">
        <v>896.01</v>
      </c>
      <c r="O1965">
        <v>806.41</v>
      </c>
      <c r="P1965" t="s">
        <v>2111</v>
      </c>
      <c r="Q1965" t="s">
        <v>23</v>
      </c>
    </row>
    <row r="1966" spans="1:17" x14ac:dyDescent="0.3">
      <c r="A1966" t="s">
        <v>550</v>
      </c>
      <c r="B1966" t="s">
        <v>536</v>
      </c>
      <c r="C1966" s="1">
        <v>46058</v>
      </c>
      <c r="D1966" t="s">
        <v>34</v>
      </c>
      <c r="E1966" t="s">
        <v>42</v>
      </c>
      <c r="F1966" t="s">
        <v>22</v>
      </c>
      <c r="G1966" t="s">
        <v>51</v>
      </c>
      <c r="H1966" t="s">
        <v>52</v>
      </c>
      <c r="I1966" t="s">
        <v>20</v>
      </c>
      <c r="J1966">
        <v>999</v>
      </c>
      <c r="K1966">
        <v>1</v>
      </c>
      <c r="L1966">
        <v>965.37</v>
      </c>
      <c r="M1966">
        <v>144.81</v>
      </c>
      <c r="N1966">
        <v>965.37</v>
      </c>
      <c r="O1966">
        <v>820.56</v>
      </c>
      <c r="P1966" t="s">
        <v>2111</v>
      </c>
      <c r="Q1966" t="s">
        <v>498</v>
      </c>
    </row>
    <row r="1967" spans="1:17" x14ac:dyDescent="0.3">
      <c r="A1967" t="s">
        <v>2427</v>
      </c>
      <c r="B1967" t="s">
        <v>2393</v>
      </c>
      <c r="C1967" s="1">
        <v>46049</v>
      </c>
      <c r="D1967" t="s">
        <v>41</v>
      </c>
      <c r="E1967" t="s">
        <v>42</v>
      </c>
      <c r="F1967" t="s">
        <v>47</v>
      </c>
      <c r="G1967" t="s">
        <v>250</v>
      </c>
      <c r="H1967" t="s">
        <v>251</v>
      </c>
      <c r="I1967" t="s">
        <v>108</v>
      </c>
      <c r="J1967">
        <v>899</v>
      </c>
      <c r="K1967">
        <v>1</v>
      </c>
      <c r="L1967">
        <v>841.73</v>
      </c>
      <c r="M1967">
        <v>168.35</v>
      </c>
      <c r="N1967">
        <v>841.73</v>
      </c>
      <c r="O1967">
        <v>673.38</v>
      </c>
      <c r="P1967" t="s">
        <v>2111</v>
      </c>
      <c r="Q1967" t="s">
        <v>23</v>
      </c>
    </row>
    <row r="1968" spans="1:17" x14ac:dyDescent="0.3">
      <c r="A1968" t="s">
        <v>1363</v>
      </c>
      <c r="B1968" t="s">
        <v>343</v>
      </c>
      <c r="C1968" s="1">
        <v>46133</v>
      </c>
      <c r="D1968" t="s">
        <v>26</v>
      </c>
      <c r="E1968" t="s">
        <v>17</v>
      </c>
      <c r="F1968" t="s">
        <v>47</v>
      </c>
      <c r="G1968" t="s">
        <v>191</v>
      </c>
      <c r="H1968" t="s">
        <v>192</v>
      </c>
      <c r="I1968" t="s">
        <v>45</v>
      </c>
      <c r="J1968">
        <v>699</v>
      </c>
      <c r="K1968">
        <v>1</v>
      </c>
      <c r="L1968">
        <v>663.27</v>
      </c>
      <c r="M1968">
        <v>99.49</v>
      </c>
      <c r="N1968">
        <v>663.27</v>
      </c>
      <c r="O1968">
        <v>563.78</v>
      </c>
      <c r="P1968" t="s">
        <v>2111</v>
      </c>
      <c r="Q1968" t="s">
        <v>1170</v>
      </c>
    </row>
    <row r="1969" spans="1:17" x14ac:dyDescent="0.3">
      <c r="A1969" t="s">
        <v>151</v>
      </c>
      <c r="B1969" t="s">
        <v>148</v>
      </c>
      <c r="C1969" s="1">
        <v>46028</v>
      </c>
      <c r="D1969" t="s">
        <v>41</v>
      </c>
      <c r="E1969" t="s">
        <v>17</v>
      </c>
      <c r="F1969" t="s">
        <v>31</v>
      </c>
      <c r="G1969" t="s">
        <v>35</v>
      </c>
      <c r="H1969" t="s">
        <v>36</v>
      </c>
      <c r="I1969" t="s">
        <v>37</v>
      </c>
      <c r="J1969">
        <v>799</v>
      </c>
      <c r="K1969">
        <v>2</v>
      </c>
      <c r="L1969">
        <v>852.19</v>
      </c>
      <c r="M1969">
        <v>340.88</v>
      </c>
      <c r="N1969">
        <v>1704.38</v>
      </c>
      <c r="O1969">
        <v>1363.5</v>
      </c>
      <c r="P1969" t="s">
        <v>2111</v>
      </c>
      <c r="Q1969" t="s">
        <v>23</v>
      </c>
    </row>
    <row r="1970" spans="1:17" x14ac:dyDescent="0.3">
      <c r="A1970" t="s">
        <v>1118</v>
      </c>
      <c r="B1970" t="s">
        <v>1117</v>
      </c>
      <c r="C1970" s="1">
        <v>46108</v>
      </c>
      <c r="D1970" t="s">
        <v>26</v>
      </c>
      <c r="E1970" t="s">
        <v>17</v>
      </c>
      <c r="F1970" t="s">
        <v>22</v>
      </c>
      <c r="G1970" t="s">
        <v>355</v>
      </c>
      <c r="H1970" t="s">
        <v>356</v>
      </c>
      <c r="I1970" t="s">
        <v>82</v>
      </c>
      <c r="J1970">
        <v>499</v>
      </c>
      <c r="K1970">
        <v>1</v>
      </c>
      <c r="L1970">
        <v>510.42</v>
      </c>
      <c r="M1970">
        <v>0</v>
      </c>
      <c r="N1970">
        <v>510.42</v>
      </c>
      <c r="O1970">
        <v>510.42</v>
      </c>
      <c r="P1970" t="s">
        <v>2111</v>
      </c>
      <c r="Q1970" t="s">
        <v>789</v>
      </c>
    </row>
    <row r="1971" spans="1:17" x14ac:dyDescent="0.3">
      <c r="A1971" t="s">
        <v>2904</v>
      </c>
      <c r="B1971" t="s">
        <v>2905</v>
      </c>
      <c r="C1971" s="1">
        <v>46109</v>
      </c>
      <c r="D1971" t="s">
        <v>63</v>
      </c>
      <c r="E1971" t="s">
        <v>50</v>
      </c>
      <c r="F1971" t="s">
        <v>22</v>
      </c>
      <c r="G1971" t="s">
        <v>35</v>
      </c>
      <c r="H1971" t="s">
        <v>36</v>
      </c>
      <c r="I1971" t="s">
        <v>37</v>
      </c>
      <c r="J1971">
        <v>799</v>
      </c>
      <c r="K1971">
        <v>1</v>
      </c>
      <c r="L1971">
        <v>865.04</v>
      </c>
      <c r="M1971">
        <v>0</v>
      </c>
      <c r="N1971">
        <v>865.04</v>
      </c>
      <c r="O1971">
        <v>865.04</v>
      </c>
      <c r="P1971" t="s">
        <v>2111</v>
      </c>
      <c r="Q1971" t="s">
        <v>789</v>
      </c>
    </row>
    <row r="1972" spans="1:17" x14ac:dyDescent="0.3">
      <c r="A1972" t="s">
        <v>1871</v>
      </c>
      <c r="B1972" t="s">
        <v>442</v>
      </c>
      <c r="C1972" s="1">
        <v>46178</v>
      </c>
      <c r="D1972" t="s">
        <v>26</v>
      </c>
      <c r="E1972" t="s">
        <v>50</v>
      </c>
      <c r="F1972" t="s">
        <v>22</v>
      </c>
      <c r="G1972" t="s">
        <v>56</v>
      </c>
      <c r="H1972" t="s">
        <v>57</v>
      </c>
      <c r="I1972" t="s">
        <v>58</v>
      </c>
      <c r="J1972">
        <v>8999</v>
      </c>
      <c r="K1972">
        <v>2</v>
      </c>
      <c r="L1972">
        <v>8516.6</v>
      </c>
      <c r="M1972">
        <v>2554.98</v>
      </c>
      <c r="N1972">
        <v>17033.2</v>
      </c>
      <c r="O1972">
        <v>14478.22</v>
      </c>
      <c r="P1972" t="s">
        <v>2111</v>
      </c>
      <c r="Q1972" t="s">
        <v>1809</v>
      </c>
    </row>
    <row r="1973" spans="1:17" x14ac:dyDescent="0.3">
      <c r="A1973" t="s">
        <v>2164</v>
      </c>
      <c r="B1973" t="s">
        <v>2165</v>
      </c>
      <c r="C1973" s="1">
        <v>46090</v>
      </c>
      <c r="D1973" t="s">
        <v>16</v>
      </c>
      <c r="E1973" t="s">
        <v>17</v>
      </c>
      <c r="F1973" t="s">
        <v>31</v>
      </c>
      <c r="G1973" t="s">
        <v>165</v>
      </c>
      <c r="H1973" t="s">
        <v>166</v>
      </c>
      <c r="I1973" t="s">
        <v>29</v>
      </c>
      <c r="J1973">
        <v>449</v>
      </c>
      <c r="K1973">
        <v>1</v>
      </c>
      <c r="L1973">
        <v>414.98</v>
      </c>
      <c r="M1973">
        <v>20.75</v>
      </c>
      <c r="N1973">
        <v>414.98</v>
      </c>
      <c r="O1973">
        <v>394.23</v>
      </c>
      <c r="P1973" t="s">
        <v>2111</v>
      </c>
      <c r="Q1973" t="s">
        <v>789</v>
      </c>
    </row>
    <row r="1974" spans="1:17" x14ac:dyDescent="0.3">
      <c r="A1974" t="s">
        <v>459</v>
      </c>
      <c r="B1974" t="s">
        <v>314</v>
      </c>
      <c r="C1974" s="1">
        <v>46049</v>
      </c>
      <c r="D1974" t="s">
        <v>26</v>
      </c>
      <c r="E1974" t="s">
        <v>17</v>
      </c>
      <c r="F1974" t="s">
        <v>47</v>
      </c>
      <c r="G1974" t="s">
        <v>18</v>
      </c>
      <c r="H1974" t="s">
        <v>19</v>
      </c>
      <c r="I1974" t="s">
        <v>20</v>
      </c>
      <c r="J1974">
        <v>2799</v>
      </c>
      <c r="K1974">
        <v>2</v>
      </c>
      <c r="L1974">
        <v>2522.5100000000002</v>
      </c>
      <c r="M1974">
        <v>252.25</v>
      </c>
      <c r="N1974">
        <v>5045.0200000000004</v>
      </c>
      <c r="O1974">
        <v>4792.7700000000004</v>
      </c>
      <c r="P1974" t="s">
        <v>2114</v>
      </c>
      <c r="Q1974" t="s">
        <v>23</v>
      </c>
    </row>
    <row r="1975" spans="1:17" x14ac:dyDescent="0.3">
      <c r="A1975" t="s">
        <v>2543</v>
      </c>
      <c r="B1975" t="s">
        <v>2088</v>
      </c>
      <c r="C1975" s="1">
        <v>46126</v>
      </c>
      <c r="D1975" t="s">
        <v>41</v>
      </c>
      <c r="E1975" t="s">
        <v>17</v>
      </c>
      <c r="F1975" t="s">
        <v>74</v>
      </c>
      <c r="G1975" t="s">
        <v>165</v>
      </c>
      <c r="H1975" t="s">
        <v>166</v>
      </c>
      <c r="I1975" t="s">
        <v>29</v>
      </c>
      <c r="J1975">
        <v>449</v>
      </c>
      <c r="K1975">
        <v>1</v>
      </c>
      <c r="L1975">
        <v>449.71</v>
      </c>
      <c r="M1975">
        <v>22.49</v>
      </c>
      <c r="N1975">
        <v>449.71</v>
      </c>
      <c r="O1975">
        <v>427.22</v>
      </c>
      <c r="P1975" t="s">
        <v>2111</v>
      </c>
      <c r="Q1975" t="s">
        <v>1170</v>
      </c>
    </row>
    <row r="1976" spans="1:17" x14ac:dyDescent="0.3">
      <c r="A1976" t="s">
        <v>945</v>
      </c>
      <c r="B1976" t="s">
        <v>944</v>
      </c>
      <c r="C1976" s="1">
        <v>46093</v>
      </c>
      <c r="D1976" t="s">
        <v>16</v>
      </c>
      <c r="E1976" t="s">
        <v>17</v>
      </c>
      <c r="F1976" t="s">
        <v>74</v>
      </c>
      <c r="G1976" t="s">
        <v>43</v>
      </c>
      <c r="H1976" t="s">
        <v>44</v>
      </c>
      <c r="I1976" t="s">
        <v>45</v>
      </c>
      <c r="J1976">
        <v>3299</v>
      </c>
      <c r="K1976">
        <v>1</v>
      </c>
      <c r="L1976">
        <v>3627.78</v>
      </c>
      <c r="M1976">
        <v>181.39</v>
      </c>
      <c r="N1976">
        <v>3627.78</v>
      </c>
      <c r="O1976">
        <v>3446.39</v>
      </c>
      <c r="P1976" t="s">
        <v>2111</v>
      </c>
      <c r="Q1976" t="s">
        <v>789</v>
      </c>
    </row>
    <row r="1977" spans="1:17" x14ac:dyDescent="0.3">
      <c r="A1977" t="s">
        <v>93</v>
      </c>
      <c r="B1977" t="s">
        <v>90</v>
      </c>
      <c r="C1977" s="1">
        <v>46024</v>
      </c>
      <c r="D1977" t="s">
        <v>16</v>
      </c>
      <c r="E1977" t="s">
        <v>17</v>
      </c>
      <c r="F1977" t="s">
        <v>22</v>
      </c>
      <c r="G1977" t="s">
        <v>112</v>
      </c>
      <c r="H1977" t="s">
        <v>113</v>
      </c>
      <c r="I1977" t="s">
        <v>37</v>
      </c>
      <c r="J1977">
        <v>1499</v>
      </c>
      <c r="K1977">
        <v>2</v>
      </c>
      <c r="L1977">
        <v>1557.45</v>
      </c>
      <c r="M1977">
        <v>311.49</v>
      </c>
      <c r="N1977">
        <v>3114.9</v>
      </c>
      <c r="O1977">
        <v>2803.41</v>
      </c>
      <c r="P1977" t="s">
        <v>2111</v>
      </c>
      <c r="Q1977" t="s">
        <v>23</v>
      </c>
    </row>
    <row r="1978" spans="1:17" x14ac:dyDescent="0.3">
      <c r="A1978" t="s">
        <v>813</v>
      </c>
      <c r="B1978" t="s">
        <v>812</v>
      </c>
      <c r="C1978" s="1">
        <v>46083</v>
      </c>
      <c r="D1978" t="s">
        <v>16</v>
      </c>
      <c r="E1978" t="s">
        <v>17</v>
      </c>
      <c r="F1978" t="s">
        <v>74</v>
      </c>
      <c r="G1978" t="s">
        <v>355</v>
      </c>
      <c r="H1978" t="s">
        <v>356</v>
      </c>
      <c r="I1978" t="s">
        <v>82</v>
      </c>
      <c r="J1978">
        <v>499</v>
      </c>
      <c r="K1978">
        <v>1</v>
      </c>
      <c r="L1978">
        <v>479.88</v>
      </c>
      <c r="M1978">
        <v>47.99</v>
      </c>
      <c r="N1978">
        <v>479.88</v>
      </c>
      <c r="O1978">
        <v>431.89</v>
      </c>
      <c r="P1978" t="s">
        <v>2111</v>
      </c>
      <c r="Q1978" t="s">
        <v>789</v>
      </c>
    </row>
    <row r="1979" spans="1:17" x14ac:dyDescent="0.3">
      <c r="A1979" t="s">
        <v>676</v>
      </c>
      <c r="B1979" t="s">
        <v>675</v>
      </c>
      <c r="C1979" s="1">
        <v>46071</v>
      </c>
      <c r="D1979" t="s">
        <v>16</v>
      </c>
      <c r="E1979" t="s">
        <v>50</v>
      </c>
      <c r="F1979" t="s">
        <v>47</v>
      </c>
      <c r="G1979" t="s">
        <v>355</v>
      </c>
      <c r="H1979" t="s">
        <v>356</v>
      </c>
      <c r="I1979" t="s">
        <v>82</v>
      </c>
      <c r="J1979">
        <v>499</v>
      </c>
      <c r="K1979">
        <v>1</v>
      </c>
      <c r="L1979">
        <v>536.61</v>
      </c>
      <c r="M1979">
        <v>53.66</v>
      </c>
      <c r="N1979">
        <v>536.61</v>
      </c>
      <c r="O1979">
        <v>482.95</v>
      </c>
      <c r="P1979" t="s">
        <v>2111</v>
      </c>
      <c r="Q1979" t="s">
        <v>498</v>
      </c>
    </row>
    <row r="1980" spans="1:17" x14ac:dyDescent="0.3">
      <c r="A1980" t="s">
        <v>1475</v>
      </c>
      <c r="B1980" t="s">
        <v>1474</v>
      </c>
      <c r="C1980" s="1">
        <v>46142</v>
      </c>
      <c r="D1980" t="s">
        <v>26</v>
      </c>
      <c r="E1980" t="s">
        <v>17</v>
      </c>
      <c r="F1980" t="s">
        <v>22</v>
      </c>
      <c r="G1980" t="s">
        <v>56</v>
      </c>
      <c r="H1980" t="s">
        <v>57</v>
      </c>
      <c r="I1980" t="s">
        <v>58</v>
      </c>
      <c r="J1980">
        <v>8999</v>
      </c>
      <c r="K1980">
        <v>1</v>
      </c>
      <c r="L1980">
        <v>9506.0400000000009</v>
      </c>
      <c r="M1980">
        <v>1425.91</v>
      </c>
      <c r="N1980">
        <v>9506.0400000000009</v>
      </c>
      <c r="O1980">
        <v>8080.13</v>
      </c>
      <c r="P1980" t="s">
        <v>2111</v>
      </c>
      <c r="Q1980" t="s">
        <v>1170</v>
      </c>
    </row>
    <row r="1981" spans="1:17" x14ac:dyDescent="0.3">
      <c r="A1981" t="s">
        <v>1383</v>
      </c>
      <c r="B1981" t="s">
        <v>1382</v>
      </c>
      <c r="C1981" s="1">
        <v>46134</v>
      </c>
      <c r="D1981" t="s">
        <v>16</v>
      </c>
      <c r="E1981" t="s">
        <v>50</v>
      </c>
      <c r="F1981" t="s">
        <v>22</v>
      </c>
      <c r="G1981" t="s">
        <v>51</v>
      </c>
      <c r="H1981" t="s">
        <v>52</v>
      </c>
      <c r="I1981" t="s">
        <v>20</v>
      </c>
      <c r="J1981">
        <v>999</v>
      </c>
      <c r="K1981">
        <v>1</v>
      </c>
      <c r="L1981">
        <v>902.18</v>
      </c>
      <c r="M1981">
        <v>90.22</v>
      </c>
      <c r="N1981">
        <v>902.18</v>
      </c>
      <c r="O1981">
        <v>811.96</v>
      </c>
      <c r="P1981" t="s">
        <v>2111</v>
      </c>
      <c r="Q1981" t="s">
        <v>1170</v>
      </c>
    </row>
    <row r="1982" spans="1:17" x14ac:dyDescent="0.3">
      <c r="A1982" t="s">
        <v>1798</v>
      </c>
      <c r="B1982" t="s">
        <v>1797</v>
      </c>
      <c r="C1982" s="1">
        <v>46173</v>
      </c>
      <c r="D1982" t="s">
        <v>34</v>
      </c>
      <c r="E1982" t="s">
        <v>50</v>
      </c>
      <c r="F1982" t="s">
        <v>47</v>
      </c>
      <c r="G1982" t="s">
        <v>43</v>
      </c>
      <c r="H1982" t="s">
        <v>44</v>
      </c>
      <c r="I1982" t="s">
        <v>45</v>
      </c>
      <c r="J1982">
        <v>3299</v>
      </c>
      <c r="K1982">
        <v>1</v>
      </c>
      <c r="L1982">
        <v>3508.06</v>
      </c>
      <c r="M1982">
        <v>175.4</v>
      </c>
      <c r="N1982">
        <v>3508.06</v>
      </c>
      <c r="O1982">
        <v>3332.66</v>
      </c>
      <c r="P1982" t="s">
        <v>2111</v>
      </c>
      <c r="Q1982" t="s">
        <v>1479</v>
      </c>
    </row>
    <row r="1983" spans="1:17" x14ac:dyDescent="0.3">
      <c r="A1983" t="s">
        <v>2906</v>
      </c>
      <c r="B1983" t="s">
        <v>871</v>
      </c>
      <c r="C1983" s="1">
        <v>46035</v>
      </c>
      <c r="D1983" t="s">
        <v>16</v>
      </c>
      <c r="E1983" t="s">
        <v>17</v>
      </c>
      <c r="F1983" t="s">
        <v>31</v>
      </c>
      <c r="G1983" t="s">
        <v>191</v>
      </c>
      <c r="H1983" t="s">
        <v>192</v>
      </c>
      <c r="I1983" t="s">
        <v>45</v>
      </c>
      <c r="J1983">
        <v>699</v>
      </c>
      <c r="K1983">
        <v>3</v>
      </c>
      <c r="L1983">
        <v>671.11</v>
      </c>
      <c r="M1983">
        <v>0</v>
      </c>
      <c r="N1983">
        <v>2013.33</v>
      </c>
      <c r="O1983">
        <v>2013.33</v>
      </c>
      <c r="P1983" t="s">
        <v>2111</v>
      </c>
      <c r="Q1983" t="s">
        <v>23</v>
      </c>
    </row>
    <row r="1984" spans="1:17" x14ac:dyDescent="0.3">
      <c r="A1984" t="s">
        <v>2907</v>
      </c>
      <c r="B1984" t="s">
        <v>2908</v>
      </c>
      <c r="C1984" s="1">
        <v>46112</v>
      </c>
      <c r="D1984" t="s">
        <v>16</v>
      </c>
      <c r="E1984" t="s">
        <v>17</v>
      </c>
      <c r="F1984" t="s">
        <v>74</v>
      </c>
      <c r="G1984" t="s">
        <v>126</v>
      </c>
      <c r="H1984" t="s">
        <v>127</v>
      </c>
      <c r="I1984" t="s">
        <v>45</v>
      </c>
      <c r="J1984">
        <v>2499</v>
      </c>
      <c r="K1984">
        <v>4</v>
      </c>
      <c r="L1984">
        <v>2323.91</v>
      </c>
      <c r="M1984">
        <v>464.78</v>
      </c>
      <c r="N1984">
        <v>9295.64</v>
      </c>
      <c r="O1984">
        <v>8830.86</v>
      </c>
      <c r="P1984" t="s">
        <v>2111</v>
      </c>
      <c r="Q1984" t="s">
        <v>789</v>
      </c>
    </row>
    <row r="1985" spans="1:17" x14ac:dyDescent="0.3">
      <c r="A1985" t="s">
        <v>886</v>
      </c>
      <c r="B1985" t="s">
        <v>885</v>
      </c>
      <c r="C1985" s="1">
        <v>46088</v>
      </c>
      <c r="D1985" t="s">
        <v>16</v>
      </c>
      <c r="E1985" t="s">
        <v>50</v>
      </c>
      <c r="F1985" t="s">
        <v>22</v>
      </c>
      <c r="G1985" t="s">
        <v>96</v>
      </c>
      <c r="H1985" t="s">
        <v>97</v>
      </c>
      <c r="I1985" t="s">
        <v>58</v>
      </c>
      <c r="J1985">
        <v>7499</v>
      </c>
      <c r="K1985">
        <v>1</v>
      </c>
      <c r="L1985">
        <v>7088.55</v>
      </c>
      <c r="M1985">
        <v>1063.28</v>
      </c>
      <c r="N1985">
        <v>7088.55</v>
      </c>
      <c r="O1985">
        <v>6025.27</v>
      </c>
      <c r="P1985" t="s">
        <v>2111</v>
      </c>
      <c r="Q1985" t="s">
        <v>789</v>
      </c>
    </row>
    <row r="1986" spans="1:17" x14ac:dyDescent="0.3">
      <c r="A1986" t="s">
        <v>2571</v>
      </c>
      <c r="B1986" t="s">
        <v>337</v>
      </c>
      <c r="C1986" s="1">
        <v>46160</v>
      </c>
      <c r="D1986" t="s">
        <v>63</v>
      </c>
      <c r="E1986" t="s">
        <v>17</v>
      </c>
      <c r="F1986" t="s">
        <v>31</v>
      </c>
      <c r="G1986" t="s">
        <v>27</v>
      </c>
      <c r="H1986" t="s">
        <v>28</v>
      </c>
      <c r="I1986" t="s">
        <v>29</v>
      </c>
      <c r="J1986">
        <v>1599</v>
      </c>
      <c r="K1986">
        <v>1</v>
      </c>
      <c r="L1986">
        <v>1588.95</v>
      </c>
      <c r="M1986">
        <v>238.34</v>
      </c>
      <c r="N1986">
        <v>1588.95</v>
      </c>
      <c r="O1986">
        <v>1350.61</v>
      </c>
      <c r="P1986" t="s">
        <v>2111</v>
      </c>
      <c r="Q1986" t="s">
        <v>1479</v>
      </c>
    </row>
    <row r="1987" spans="1:17" x14ac:dyDescent="0.3">
      <c r="A1987" t="s">
        <v>553</v>
      </c>
      <c r="B1987" t="s">
        <v>552</v>
      </c>
      <c r="C1987" s="1">
        <v>46059</v>
      </c>
      <c r="D1987" t="s">
        <v>26</v>
      </c>
      <c r="E1987" t="s">
        <v>17</v>
      </c>
      <c r="F1987" t="s">
        <v>74</v>
      </c>
      <c r="G1987" t="s">
        <v>56</v>
      </c>
      <c r="H1987" t="s">
        <v>57</v>
      </c>
      <c r="I1987" t="s">
        <v>58</v>
      </c>
      <c r="J1987">
        <v>8999</v>
      </c>
      <c r="K1987">
        <v>1</v>
      </c>
      <c r="L1987">
        <v>8863.7800000000007</v>
      </c>
      <c r="M1987">
        <v>1329.57</v>
      </c>
      <c r="N1987">
        <v>8863.7800000000007</v>
      </c>
      <c r="O1987">
        <v>7534.21</v>
      </c>
      <c r="P1987" t="s">
        <v>2111</v>
      </c>
      <c r="Q1987" t="s">
        <v>498</v>
      </c>
    </row>
    <row r="1988" spans="1:17" x14ac:dyDescent="0.3">
      <c r="A1988" t="s">
        <v>2288</v>
      </c>
      <c r="B1988" t="s">
        <v>2289</v>
      </c>
      <c r="C1988" s="1">
        <v>46132</v>
      </c>
      <c r="D1988" t="s">
        <v>41</v>
      </c>
      <c r="E1988" t="s">
        <v>17</v>
      </c>
      <c r="F1988" t="s">
        <v>60</v>
      </c>
      <c r="G1988" t="s">
        <v>80</v>
      </c>
      <c r="H1988" t="s">
        <v>81</v>
      </c>
      <c r="I1988" t="s">
        <v>82</v>
      </c>
      <c r="J1988">
        <v>4299</v>
      </c>
      <c r="K1988">
        <v>1</v>
      </c>
      <c r="L1988">
        <v>4117.49</v>
      </c>
      <c r="M1988">
        <v>205.87</v>
      </c>
      <c r="N1988">
        <v>4117.49</v>
      </c>
      <c r="O1988">
        <v>3911.62</v>
      </c>
      <c r="P1988" t="s">
        <v>2111</v>
      </c>
      <c r="Q1988" t="s">
        <v>1170</v>
      </c>
    </row>
    <row r="1989" spans="1:17" x14ac:dyDescent="0.3">
      <c r="A1989" t="s">
        <v>226</v>
      </c>
      <c r="B1989" t="s">
        <v>225</v>
      </c>
      <c r="C1989" s="1">
        <v>46032</v>
      </c>
      <c r="D1989" t="s">
        <v>16</v>
      </c>
      <c r="E1989" t="s">
        <v>50</v>
      </c>
      <c r="F1989" t="s">
        <v>60</v>
      </c>
      <c r="G1989" t="s">
        <v>165</v>
      </c>
      <c r="H1989" t="s">
        <v>166</v>
      </c>
      <c r="I1989" t="s">
        <v>29</v>
      </c>
      <c r="J1989">
        <v>449</v>
      </c>
      <c r="K1989">
        <v>1</v>
      </c>
      <c r="L1989">
        <v>419.57</v>
      </c>
      <c r="M1989">
        <v>41.96</v>
      </c>
      <c r="N1989">
        <v>419.57</v>
      </c>
      <c r="O1989">
        <v>377.61</v>
      </c>
      <c r="P1989" t="s">
        <v>2111</v>
      </c>
      <c r="Q1989" t="s">
        <v>23</v>
      </c>
    </row>
    <row r="1990" spans="1:17" x14ac:dyDescent="0.3">
      <c r="A1990" t="s">
        <v>372</v>
      </c>
      <c r="B1990" t="s">
        <v>371</v>
      </c>
      <c r="C1990" s="1">
        <v>46042</v>
      </c>
      <c r="D1990" t="s">
        <v>16</v>
      </c>
      <c r="E1990" t="s">
        <v>17</v>
      </c>
      <c r="F1990" t="s">
        <v>60</v>
      </c>
      <c r="G1990" t="s">
        <v>191</v>
      </c>
      <c r="H1990" t="s">
        <v>192</v>
      </c>
      <c r="I1990" t="s">
        <v>45</v>
      </c>
      <c r="J1990">
        <v>699</v>
      </c>
      <c r="K1990">
        <v>1</v>
      </c>
      <c r="L1990">
        <v>735.66</v>
      </c>
      <c r="M1990">
        <v>73.569999999999993</v>
      </c>
      <c r="N1990">
        <v>735.66</v>
      </c>
      <c r="O1990">
        <v>662.09</v>
      </c>
      <c r="P1990" t="s">
        <v>2111</v>
      </c>
      <c r="Q1990" t="s">
        <v>23</v>
      </c>
    </row>
    <row r="1991" spans="1:17" x14ac:dyDescent="0.3">
      <c r="A1991" t="s">
        <v>1699</v>
      </c>
      <c r="B1991" t="s">
        <v>891</v>
      </c>
      <c r="C1991" s="1">
        <v>46162</v>
      </c>
      <c r="D1991" t="s">
        <v>16</v>
      </c>
      <c r="E1991" t="s">
        <v>17</v>
      </c>
      <c r="F1991" t="s">
        <v>60</v>
      </c>
      <c r="G1991" t="s">
        <v>27</v>
      </c>
      <c r="H1991" t="s">
        <v>28</v>
      </c>
      <c r="I1991" t="s">
        <v>29</v>
      </c>
      <c r="J1991">
        <v>1599</v>
      </c>
      <c r="K1991">
        <v>3</v>
      </c>
      <c r="L1991">
        <v>1755.74</v>
      </c>
      <c r="M1991">
        <v>526.72</v>
      </c>
      <c r="N1991">
        <v>5267.22</v>
      </c>
      <c r="O1991">
        <v>4740.5</v>
      </c>
      <c r="P1991" t="s">
        <v>2111</v>
      </c>
      <c r="Q1991" t="s">
        <v>1479</v>
      </c>
    </row>
    <row r="1992" spans="1:17" x14ac:dyDescent="0.3">
      <c r="A1992" t="s">
        <v>2746</v>
      </c>
      <c r="B1992" t="s">
        <v>439</v>
      </c>
      <c r="C1992" s="1">
        <v>46054</v>
      </c>
      <c r="D1992" t="s">
        <v>63</v>
      </c>
      <c r="E1992" t="s">
        <v>17</v>
      </c>
      <c r="F1992" t="s">
        <v>31</v>
      </c>
      <c r="G1992" t="s">
        <v>43</v>
      </c>
      <c r="H1992" t="s">
        <v>44</v>
      </c>
      <c r="I1992" t="s">
        <v>45</v>
      </c>
      <c r="J1992">
        <v>3299</v>
      </c>
      <c r="K1992">
        <v>1</v>
      </c>
      <c r="L1992">
        <v>3482.29</v>
      </c>
      <c r="M1992">
        <v>348.23</v>
      </c>
      <c r="N1992">
        <v>3482.29</v>
      </c>
      <c r="O1992">
        <v>3134.06</v>
      </c>
      <c r="P1992" t="s">
        <v>2111</v>
      </c>
      <c r="Q1992" t="s">
        <v>498</v>
      </c>
    </row>
    <row r="1993" spans="1:17" x14ac:dyDescent="0.3">
      <c r="A1993" t="s">
        <v>1333</v>
      </c>
      <c r="B1993" t="s">
        <v>1332</v>
      </c>
      <c r="C1993" s="1">
        <v>46130</v>
      </c>
      <c r="D1993" t="s">
        <v>34</v>
      </c>
      <c r="E1993" t="s">
        <v>50</v>
      </c>
      <c r="F1993" t="s">
        <v>31</v>
      </c>
      <c r="G1993" t="s">
        <v>160</v>
      </c>
      <c r="H1993" t="s">
        <v>161</v>
      </c>
      <c r="I1993" t="s">
        <v>82</v>
      </c>
      <c r="J1993">
        <v>799</v>
      </c>
      <c r="K1993">
        <v>1</v>
      </c>
      <c r="L1993">
        <v>766.39</v>
      </c>
      <c r="M1993">
        <v>76.64</v>
      </c>
      <c r="N1993">
        <v>766.39</v>
      </c>
      <c r="O1993">
        <v>689.75</v>
      </c>
      <c r="P1993" t="s">
        <v>2111</v>
      </c>
      <c r="Q1993" t="s">
        <v>1170</v>
      </c>
    </row>
    <row r="1994" spans="1:17" x14ac:dyDescent="0.3">
      <c r="A1994" t="s">
        <v>350</v>
      </c>
      <c r="B1994" t="s">
        <v>349</v>
      </c>
      <c r="C1994" s="1">
        <v>46041</v>
      </c>
      <c r="D1994" t="s">
        <v>16</v>
      </c>
      <c r="E1994" t="s">
        <v>17</v>
      </c>
      <c r="F1994" t="s">
        <v>60</v>
      </c>
      <c r="G1994" t="s">
        <v>355</v>
      </c>
      <c r="H1994" t="s">
        <v>356</v>
      </c>
      <c r="I1994" t="s">
        <v>82</v>
      </c>
      <c r="J1994">
        <v>499</v>
      </c>
      <c r="K1994">
        <v>1</v>
      </c>
      <c r="L1994">
        <v>473.53</v>
      </c>
      <c r="M1994">
        <v>47.35</v>
      </c>
      <c r="N1994">
        <v>473.53</v>
      </c>
      <c r="O1994">
        <v>426.18</v>
      </c>
      <c r="P1994" t="s">
        <v>2111</v>
      </c>
      <c r="Q1994" t="s">
        <v>23</v>
      </c>
    </row>
    <row r="1995" spans="1:17" x14ac:dyDescent="0.3">
      <c r="A1995" t="s">
        <v>1502</v>
      </c>
      <c r="B1995" t="s">
        <v>317</v>
      </c>
      <c r="C1995" s="1">
        <v>46145</v>
      </c>
      <c r="D1995" t="s">
        <v>16</v>
      </c>
      <c r="E1995" t="s">
        <v>17</v>
      </c>
      <c r="F1995" t="s">
        <v>22</v>
      </c>
      <c r="G1995" t="s">
        <v>106</v>
      </c>
      <c r="H1995" t="s">
        <v>107</v>
      </c>
      <c r="I1995" t="s">
        <v>108</v>
      </c>
      <c r="J1995">
        <v>599</v>
      </c>
      <c r="K1995">
        <v>2</v>
      </c>
      <c r="L1995">
        <v>565.17999999999995</v>
      </c>
      <c r="M1995">
        <v>169.55</v>
      </c>
      <c r="N1995">
        <v>1130.3599999999999</v>
      </c>
      <c r="O1995">
        <v>960.81</v>
      </c>
      <c r="P1995" t="s">
        <v>2111</v>
      </c>
      <c r="Q1995" t="s">
        <v>1479</v>
      </c>
    </row>
    <row r="1996" spans="1:17" x14ac:dyDescent="0.3">
      <c r="A1996" t="s">
        <v>2042</v>
      </c>
      <c r="B1996" t="s">
        <v>122</v>
      </c>
      <c r="C1996" s="1">
        <v>46198</v>
      </c>
      <c r="D1996" t="s">
        <v>26</v>
      </c>
      <c r="E1996" t="s">
        <v>42</v>
      </c>
      <c r="F1996" t="s">
        <v>74</v>
      </c>
      <c r="G1996" t="s">
        <v>96</v>
      </c>
      <c r="H1996" t="s">
        <v>97</v>
      </c>
      <c r="I1996" t="s">
        <v>58</v>
      </c>
      <c r="J1996">
        <v>7499</v>
      </c>
      <c r="K1996">
        <v>2</v>
      </c>
      <c r="L1996">
        <v>6954.12</v>
      </c>
      <c r="M1996">
        <v>0</v>
      </c>
      <c r="N1996">
        <v>13908.24</v>
      </c>
      <c r="O1996">
        <v>13908.24</v>
      </c>
      <c r="P1996" t="s">
        <v>2111</v>
      </c>
      <c r="Q1996" t="s">
        <v>1809</v>
      </c>
    </row>
    <row r="1997" spans="1:17" x14ac:dyDescent="0.3">
      <c r="A1997" t="s">
        <v>2909</v>
      </c>
      <c r="B1997" t="s">
        <v>234</v>
      </c>
      <c r="C1997" s="1">
        <v>46023</v>
      </c>
      <c r="D1997" t="s">
        <v>16</v>
      </c>
      <c r="E1997" t="s">
        <v>17</v>
      </c>
      <c r="F1997" t="s">
        <v>22</v>
      </c>
      <c r="G1997" t="s">
        <v>101</v>
      </c>
      <c r="H1997" t="s">
        <v>102</v>
      </c>
      <c r="I1997" t="s">
        <v>45</v>
      </c>
      <c r="J1997">
        <v>4999</v>
      </c>
      <c r="K1997">
        <v>1</v>
      </c>
      <c r="L1997">
        <v>5050.32</v>
      </c>
      <c r="M1997">
        <v>757.55</v>
      </c>
      <c r="N1997">
        <v>5050.32</v>
      </c>
      <c r="O1997">
        <v>4292.7700000000004</v>
      </c>
      <c r="P1997" t="s">
        <v>2111</v>
      </c>
      <c r="Q1997" t="s">
        <v>23</v>
      </c>
    </row>
    <row r="1998" spans="1:17" x14ac:dyDescent="0.3">
      <c r="A1998" t="s">
        <v>83</v>
      </c>
      <c r="B1998" t="s">
        <v>79</v>
      </c>
      <c r="C1998" s="1">
        <v>46024</v>
      </c>
      <c r="D1998" t="s">
        <v>34</v>
      </c>
      <c r="E1998" t="s">
        <v>42</v>
      </c>
      <c r="F1998" t="s">
        <v>22</v>
      </c>
      <c r="G1998" t="s">
        <v>165</v>
      </c>
      <c r="H1998" t="s">
        <v>166</v>
      </c>
      <c r="I1998" t="s">
        <v>29</v>
      </c>
      <c r="J1998">
        <v>449</v>
      </c>
      <c r="K1998">
        <v>1</v>
      </c>
      <c r="L1998">
        <v>458.46</v>
      </c>
      <c r="M1998">
        <v>0</v>
      </c>
      <c r="N1998">
        <v>458.46</v>
      </c>
      <c r="O1998">
        <v>458.46</v>
      </c>
      <c r="P1998" t="s">
        <v>2111</v>
      </c>
      <c r="Q1998" t="s">
        <v>23</v>
      </c>
    </row>
    <row r="1999" spans="1:17" x14ac:dyDescent="0.3">
      <c r="A1999" t="s">
        <v>2081</v>
      </c>
      <c r="B1999" t="s">
        <v>2080</v>
      </c>
      <c r="C1999" s="1">
        <v>46201</v>
      </c>
      <c r="D1999" t="s">
        <v>34</v>
      </c>
      <c r="E1999" t="s">
        <v>17</v>
      </c>
      <c r="F1999" t="s">
        <v>47</v>
      </c>
      <c r="G1999" t="s">
        <v>191</v>
      </c>
      <c r="H1999" t="s">
        <v>192</v>
      </c>
      <c r="I1999" t="s">
        <v>45</v>
      </c>
      <c r="J1999">
        <v>699</v>
      </c>
      <c r="K1999">
        <v>2</v>
      </c>
      <c r="L1999">
        <v>727.73</v>
      </c>
      <c r="M1999">
        <v>0</v>
      </c>
      <c r="N1999">
        <v>1455.46</v>
      </c>
      <c r="O1999">
        <v>1455.46</v>
      </c>
      <c r="P1999" t="s">
        <v>2114</v>
      </c>
      <c r="Q1999" t="s">
        <v>1809</v>
      </c>
    </row>
    <row r="2000" spans="1:17" x14ac:dyDescent="0.3">
      <c r="A2000" t="s">
        <v>2881</v>
      </c>
      <c r="B2000" t="s">
        <v>2882</v>
      </c>
      <c r="C2000" s="1">
        <v>46119</v>
      </c>
      <c r="D2000" t="s">
        <v>26</v>
      </c>
      <c r="E2000" t="s">
        <v>50</v>
      </c>
      <c r="F2000" t="s">
        <v>31</v>
      </c>
      <c r="G2000" t="s">
        <v>355</v>
      </c>
      <c r="H2000" t="s">
        <v>356</v>
      </c>
      <c r="I2000" t="s">
        <v>82</v>
      </c>
      <c r="J2000">
        <v>499</v>
      </c>
      <c r="K2000">
        <v>1</v>
      </c>
      <c r="L2000">
        <v>516.99</v>
      </c>
      <c r="M2000">
        <v>129.25</v>
      </c>
      <c r="N2000">
        <v>516.99</v>
      </c>
      <c r="O2000">
        <v>387.74</v>
      </c>
      <c r="P2000" t="s">
        <v>2111</v>
      </c>
      <c r="Q2000" t="s">
        <v>1170</v>
      </c>
    </row>
    <row r="2001" spans="1:17" x14ac:dyDescent="0.3">
      <c r="A2001" t="s">
        <v>1012</v>
      </c>
      <c r="B2001" t="s">
        <v>69</v>
      </c>
      <c r="C2001" s="1">
        <v>46098</v>
      </c>
      <c r="D2001" t="s">
        <v>16</v>
      </c>
      <c r="E2001" t="s">
        <v>17</v>
      </c>
      <c r="F2001" t="s">
        <v>74</v>
      </c>
      <c r="G2001" t="s">
        <v>56</v>
      </c>
      <c r="H2001" t="s">
        <v>57</v>
      </c>
      <c r="I2001" t="s">
        <v>58</v>
      </c>
      <c r="J2001">
        <v>8999</v>
      </c>
      <c r="K2001">
        <v>3</v>
      </c>
      <c r="L2001">
        <v>8625.24</v>
      </c>
      <c r="M2001">
        <v>6468.93</v>
      </c>
      <c r="N2001">
        <v>25875.72</v>
      </c>
      <c r="O2001">
        <v>19406.79</v>
      </c>
      <c r="P2001" t="s">
        <v>2111</v>
      </c>
      <c r="Q2001" t="s">
        <v>789</v>
      </c>
    </row>
    <row r="2002" spans="1:17" x14ac:dyDescent="0.3">
      <c r="A2002" t="s">
        <v>2683</v>
      </c>
      <c r="B2002" t="s">
        <v>2684</v>
      </c>
      <c r="C2002" s="1">
        <v>46086</v>
      </c>
      <c r="D2002" t="s">
        <v>26</v>
      </c>
      <c r="E2002" t="s">
        <v>17</v>
      </c>
      <c r="F2002" t="s">
        <v>60</v>
      </c>
      <c r="G2002" t="s">
        <v>86</v>
      </c>
      <c r="H2002" t="s">
        <v>87</v>
      </c>
      <c r="I2002" t="s">
        <v>82</v>
      </c>
      <c r="J2002">
        <v>3499</v>
      </c>
      <c r="K2002">
        <v>1</v>
      </c>
      <c r="L2002">
        <v>3380.25</v>
      </c>
      <c r="M2002">
        <v>0</v>
      </c>
      <c r="N2002">
        <v>3380.25</v>
      </c>
      <c r="O2002">
        <v>3380.25</v>
      </c>
      <c r="P2002" t="s">
        <v>2111</v>
      </c>
      <c r="Q2002" t="s">
        <v>789</v>
      </c>
    </row>
    <row r="2003" spans="1:17" x14ac:dyDescent="0.3">
      <c r="A2003" t="s">
        <v>1863</v>
      </c>
      <c r="B2003" t="s">
        <v>1862</v>
      </c>
      <c r="C2003" s="1">
        <v>46177</v>
      </c>
      <c r="D2003" t="s">
        <v>26</v>
      </c>
      <c r="E2003" t="s">
        <v>17</v>
      </c>
      <c r="F2003" t="s">
        <v>74</v>
      </c>
      <c r="G2003" t="s">
        <v>91</v>
      </c>
      <c r="H2003" t="s">
        <v>92</v>
      </c>
      <c r="I2003" t="s">
        <v>37</v>
      </c>
      <c r="J2003">
        <v>1899</v>
      </c>
      <c r="K2003">
        <v>1</v>
      </c>
      <c r="L2003">
        <v>1967.94</v>
      </c>
      <c r="M2003">
        <v>196.79</v>
      </c>
      <c r="N2003">
        <v>1967.94</v>
      </c>
      <c r="O2003">
        <v>1771.15</v>
      </c>
      <c r="P2003" t="s">
        <v>2111</v>
      </c>
      <c r="Q2003" t="s">
        <v>1809</v>
      </c>
    </row>
    <row r="2004" spans="1:17" x14ac:dyDescent="0.3">
      <c r="A2004" t="s">
        <v>1563</v>
      </c>
      <c r="B2004" t="s">
        <v>1562</v>
      </c>
      <c r="C2004" s="1">
        <v>46150</v>
      </c>
      <c r="D2004" t="s">
        <v>63</v>
      </c>
      <c r="E2004" t="s">
        <v>50</v>
      </c>
      <c r="F2004" t="s">
        <v>74</v>
      </c>
      <c r="G2004" t="s">
        <v>18</v>
      </c>
      <c r="H2004" t="s">
        <v>19</v>
      </c>
      <c r="I2004" t="s">
        <v>20</v>
      </c>
      <c r="J2004">
        <v>2799</v>
      </c>
      <c r="K2004">
        <v>1</v>
      </c>
      <c r="L2004">
        <v>2714.72</v>
      </c>
      <c r="M2004">
        <v>0</v>
      </c>
      <c r="N2004">
        <v>2714.72</v>
      </c>
      <c r="O2004">
        <v>2714.72</v>
      </c>
      <c r="P2004" t="s">
        <v>2111</v>
      </c>
      <c r="Q2004" t="s">
        <v>1479</v>
      </c>
    </row>
    <row r="2005" spans="1:17" x14ac:dyDescent="0.3">
      <c r="A2005" t="s">
        <v>1234</v>
      </c>
      <c r="B2005" t="s">
        <v>1233</v>
      </c>
      <c r="C2005" s="1">
        <v>46121</v>
      </c>
      <c r="D2005" t="s">
        <v>26</v>
      </c>
      <c r="E2005" t="s">
        <v>17</v>
      </c>
      <c r="F2005" t="s">
        <v>47</v>
      </c>
      <c r="G2005" t="s">
        <v>43</v>
      </c>
      <c r="H2005" t="s">
        <v>44</v>
      </c>
      <c r="I2005" t="s">
        <v>45</v>
      </c>
      <c r="J2005">
        <v>3299</v>
      </c>
      <c r="K2005">
        <v>2</v>
      </c>
      <c r="L2005">
        <v>3109.39</v>
      </c>
      <c r="M2005">
        <v>621.88</v>
      </c>
      <c r="N2005">
        <v>6218.78</v>
      </c>
      <c r="O2005">
        <v>5596.9</v>
      </c>
      <c r="P2005" t="s">
        <v>2111</v>
      </c>
      <c r="Q2005" t="s">
        <v>1170</v>
      </c>
    </row>
    <row r="2006" spans="1:17" x14ac:dyDescent="0.3">
      <c r="A2006" t="s">
        <v>2798</v>
      </c>
      <c r="B2006" t="s">
        <v>2799</v>
      </c>
      <c r="C2006" s="1">
        <v>46045</v>
      </c>
      <c r="D2006" t="s">
        <v>34</v>
      </c>
      <c r="E2006" t="s">
        <v>50</v>
      </c>
      <c r="F2006" t="s">
        <v>74</v>
      </c>
      <c r="G2006" t="s">
        <v>126</v>
      </c>
      <c r="H2006" t="s">
        <v>127</v>
      </c>
      <c r="I2006" t="s">
        <v>45</v>
      </c>
      <c r="J2006">
        <v>2499</v>
      </c>
      <c r="K2006">
        <v>1</v>
      </c>
      <c r="L2006">
        <v>2436.19</v>
      </c>
      <c r="M2006">
        <v>487.24</v>
      </c>
      <c r="N2006">
        <v>2436.19</v>
      </c>
      <c r="O2006">
        <v>1948.95</v>
      </c>
      <c r="P2006" t="s">
        <v>2111</v>
      </c>
      <c r="Q2006" t="s">
        <v>23</v>
      </c>
    </row>
    <row r="2007" spans="1:17" x14ac:dyDescent="0.3">
      <c r="A2007" t="s">
        <v>1747</v>
      </c>
      <c r="B2007" t="s">
        <v>1746</v>
      </c>
      <c r="C2007" s="1">
        <v>46167</v>
      </c>
      <c r="D2007" t="s">
        <v>16</v>
      </c>
      <c r="E2007" t="s">
        <v>17</v>
      </c>
      <c r="F2007" t="s">
        <v>22</v>
      </c>
      <c r="G2007" t="s">
        <v>191</v>
      </c>
      <c r="H2007" t="s">
        <v>192</v>
      </c>
      <c r="I2007" t="s">
        <v>45</v>
      </c>
      <c r="J2007">
        <v>699</v>
      </c>
      <c r="K2007">
        <v>3</v>
      </c>
      <c r="L2007">
        <v>667.14</v>
      </c>
      <c r="M2007">
        <v>500.36</v>
      </c>
      <c r="N2007">
        <v>2001.42</v>
      </c>
      <c r="O2007">
        <v>1501.06</v>
      </c>
      <c r="P2007" t="s">
        <v>2111</v>
      </c>
      <c r="Q2007" t="s">
        <v>1479</v>
      </c>
    </row>
    <row r="2008" spans="1:17" x14ac:dyDescent="0.3">
      <c r="A2008" t="s">
        <v>2224</v>
      </c>
      <c r="B2008" t="s">
        <v>1706</v>
      </c>
      <c r="C2008" s="1">
        <v>46170</v>
      </c>
      <c r="D2008" t="s">
        <v>63</v>
      </c>
      <c r="E2008" t="s">
        <v>50</v>
      </c>
      <c r="F2008" t="s">
        <v>60</v>
      </c>
      <c r="G2008" t="s">
        <v>91</v>
      </c>
      <c r="H2008" t="s">
        <v>92</v>
      </c>
      <c r="I2008" t="s">
        <v>37</v>
      </c>
      <c r="J2008">
        <v>1899</v>
      </c>
      <c r="K2008">
        <v>1</v>
      </c>
      <c r="L2008">
        <v>1742.64</v>
      </c>
      <c r="M2008">
        <v>261.39999999999998</v>
      </c>
      <c r="N2008">
        <v>1742.64</v>
      </c>
      <c r="O2008">
        <v>1481.24</v>
      </c>
      <c r="P2008" t="s">
        <v>2111</v>
      </c>
      <c r="Q2008" t="s">
        <v>1479</v>
      </c>
    </row>
    <row r="2009" spans="1:17" x14ac:dyDescent="0.3">
      <c r="A2009" t="s">
        <v>2907</v>
      </c>
      <c r="B2009" t="s">
        <v>2908</v>
      </c>
      <c r="C2009" s="1">
        <v>46112</v>
      </c>
      <c r="D2009" t="s">
        <v>16</v>
      </c>
      <c r="E2009" t="s">
        <v>17</v>
      </c>
      <c r="F2009" t="s">
        <v>74</v>
      </c>
      <c r="G2009" t="s">
        <v>18</v>
      </c>
      <c r="H2009" t="s">
        <v>19</v>
      </c>
      <c r="I2009" t="s">
        <v>20</v>
      </c>
      <c r="J2009">
        <v>2799</v>
      </c>
      <c r="K2009">
        <v>1</v>
      </c>
      <c r="L2009">
        <v>2983.81</v>
      </c>
      <c r="M2009">
        <v>149.19</v>
      </c>
      <c r="N2009">
        <v>2983.81</v>
      </c>
      <c r="O2009">
        <v>2834.62</v>
      </c>
      <c r="P2009" t="s">
        <v>2111</v>
      </c>
      <c r="Q2009" t="s">
        <v>789</v>
      </c>
    </row>
    <row r="2010" spans="1:17" x14ac:dyDescent="0.3">
      <c r="A2010" t="s">
        <v>2729</v>
      </c>
      <c r="B2010" t="s">
        <v>2578</v>
      </c>
      <c r="C2010" s="1">
        <v>46113</v>
      </c>
      <c r="D2010" t="s">
        <v>41</v>
      </c>
      <c r="E2010" t="s">
        <v>17</v>
      </c>
      <c r="F2010" t="s">
        <v>47</v>
      </c>
      <c r="G2010" t="s">
        <v>106</v>
      </c>
      <c r="H2010" t="s">
        <v>107</v>
      </c>
      <c r="I2010" t="s">
        <v>108</v>
      </c>
      <c r="J2010">
        <v>599</v>
      </c>
      <c r="K2010">
        <v>1</v>
      </c>
      <c r="L2010">
        <v>641.29999999999995</v>
      </c>
      <c r="M2010">
        <v>64.13</v>
      </c>
      <c r="N2010">
        <v>641.29999999999995</v>
      </c>
      <c r="O2010">
        <v>577.16999999999996</v>
      </c>
      <c r="P2010" t="s">
        <v>2111</v>
      </c>
      <c r="Q2010" t="s">
        <v>1170</v>
      </c>
    </row>
    <row r="2011" spans="1:17" x14ac:dyDescent="0.3">
      <c r="A2011" t="s">
        <v>2531</v>
      </c>
      <c r="B2011" t="s">
        <v>2532</v>
      </c>
      <c r="C2011" s="1">
        <v>46182</v>
      </c>
      <c r="D2011" t="s">
        <v>63</v>
      </c>
      <c r="E2011" t="s">
        <v>17</v>
      </c>
      <c r="F2011" t="s">
        <v>22</v>
      </c>
      <c r="G2011" t="s">
        <v>91</v>
      </c>
      <c r="H2011" t="s">
        <v>92</v>
      </c>
      <c r="I2011" t="s">
        <v>37</v>
      </c>
      <c r="J2011">
        <v>1899</v>
      </c>
      <c r="K2011">
        <v>1</v>
      </c>
      <c r="L2011">
        <v>1792.56</v>
      </c>
      <c r="M2011">
        <v>89.63</v>
      </c>
      <c r="N2011">
        <v>1792.56</v>
      </c>
      <c r="O2011">
        <v>1702.93</v>
      </c>
      <c r="P2011" t="s">
        <v>2114</v>
      </c>
      <c r="Q2011" t="s">
        <v>1809</v>
      </c>
    </row>
    <row r="2012" spans="1:17" x14ac:dyDescent="0.3">
      <c r="A2012" t="s">
        <v>477</v>
      </c>
      <c r="B2012" t="s">
        <v>476</v>
      </c>
      <c r="C2012" s="1">
        <v>46052</v>
      </c>
      <c r="D2012" t="s">
        <v>26</v>
      </c>
      <c r="E2012" t="s">
        <v>50</v>
      </c>
      <c r="F2012" t="s">
        <v>31</v>
      </c>
      <c r="G2012" t="s">
        <v>91</v>
      </c>
      <c r="H2012" t="s">
        <v>92</v>
      </c>
      <c r="I2012" t="s">
        <v>37</v>
      </c>
      <c r="J2012">
        <v>1899</v>
      </c>
      <c r="K2012">
        <v>1</v>
      </c>
      <c r="L2012">
        <v>1733.7</v>
      </c>
      <c r="M2012">
        <v>346.74</v>
      </c>
      <c r="N2012">
        <v>1733.7</v>
      </c>
      <c r="O2012">
        <v>1386.96</v>
      </c>
      <c r="P2012" t="s">
        <v>2111</v>
      </c>
      <c r="Q2012" t="s">
        <v>23</v>
      </c>
    </row>
    <row r="2013" spans="1:17" x14ac:dyDescent="0.3">
      <c r="A2013" t="s">
        <v>640</v>
      </c>
      <c r="B2013" t="s">
        <v>639</v>
      </c>
      <c r="C2013" s="1">
        <v>46066</v>
      </c>
      <c r="D2013" t="s">
        <v>34</v>
      </c>
      <c r="E2013" t="s">
        <v>17</v>
      </c>
      <c r="F2013" t="s">
        <v>47</v>
      </c>
      <c r="G2013" t="s">
        <v>160</v>
      </c>
      <c r="H2013" t="s">
        <v>161</v>
      </c>
      <c r="I2013" t="s">
        <v>82</v>
      </c>
      <c r="J2013">
        <v>799</v>
      </c>
      <c r="K2013">
        <v>1</v>
      </c>
      <c r="L2013">
        <v>837.16</v>
      </c>
      <c r="M2013">
        <v>167.43</v>
      </c>
      <c r="N2013">
        <v>837.16</v>
      </c>
      <c r="O2013">
        <v>669.73</v>
      </c>
      <c r="P2013" t="s">
        <v>2111</v>
      </c>
      <c r="Q2013" t="s">
        <v>498</v>
      </c>
    </row>
    <row r="2014" spans="1:17" x14ac:dyDescent="0.3">
      <c r="A2014" t="s">
        <v>2473</v>
      </c>
      <c r="B2014" t="s">
        <v>2474</v>
      </c>
      <c r="C2014" s="1">
        <v>46159</v>
      </c>
      <c r="D2014" t="s">
        <v>26</v>
      </c>
      <c r="E2014" t="s">
        <v>17</v>
      </c>
      <c r="F2014" t="s">
        <v>22</v>
      </c>
      <c r="G2014" t="s">
        <v>106</v>
      </c>
      <c r="H2014" t="s">
        <v>107</v>
      </c>
      <c r="I2014" t="s">
        <v>108</v>
      </c>
      <c r="J2014">
        <v>599</v>
      </c>
      <c r="K2014">
        <v>2</v>
      </c>
      <c r="L2014">
        <v>564.44000000000005</v>
      </c>
      <c r="M2014">
        <v>112.89</v>
      </c>
      <c r="N2014">
        <v>1128.8800000000001</v>
      </c>
      <c r="O2014">
        <v>1015.99</v>
      </c>
      <c r="P2014" t="s">
        <v>2111</v>
      </c>
      <c r="Q2014" t="s">
        <v>1479</v>
      </c>
    </row>
    <row r="2015" spans="1:17" x14ac:dyDescent="0.3">
      <c r="A2015" t="s">
        <v>306</v>
      </c>
      <c r="B2015" t="s">
        <v>305</v>
      </c>
      <c r="C2015" s="1">
        <v>46038</v>
      </c>
      <c r="D2015" t="s">
        <v>34</v>
      </c>
      <c r="E2015" t="s">
        <v>50</v>
      </c>
      <c r="F2015" t="s">
        <v>22</v>
      </c>
      <c r="G2015" t="s">
        <v>27</v>
      </c>
      <c r="H2015" t="s">
        <v>28</v>
      </c>
      <c r="I2015" t="s">
        <v>29</v>
      </c>
      <c r="J2015">
        <v>1599</v>
      </c>
      <c r="K2015">
        <v>1</v>
      </c>
      <c r="L2015">
        <v>1564.92</v>
      </c>
      <c r="M2015">
        <v>78.25</v>
      </c>
      <c r="N2015">
        <v>1564.92</v>
      </c>
      <c r="O2015">
        <v>1486.67</v>
      </c>
      <c r="P2015" t="s">
        <v>2111</v>
      </c>
      <c r="Q2015" t="s">
        <v>23</v>
      </c>
    </row>
    <row r="2016" spans="1:17" x14ac:dyDescent="0.3">
      <c r="A2016" t="s">
        <v>1707</v>
      </c>
      <c r="B2016" t="s">
        <v>1706</v>
      </c>
      <c r="C2016" s="1">
        <v>46163</v>
      </c>
      <c r="D2016" t="s">
        <v>26</v>
      </c>
      <c r="E2016" t="s">
        <v>50</v>
      </c>
      <c r="F2016" t="s">
        <v>47</v>
      </c>
      <c r="G2016" t="s">
        <v>18</v>
      </c>
      <c r="H2016" t="s">
        <v>19</v>
      </c>
      <c r="I2016" t="s">
        <v>20</v>
      </c>
      <c r="J2016">
        <v>2799</v>
      </c>
      <c r="K2016">
        <v>4</v>
      </c>
      <c r="L2016">
        <v>2555</v>
      </c>
      <c r="M2016">
        <v>511</v>
      </c>
      <c r="N2016">
        <v>10220</v>
      </c>
      <c r="O2016">
        <v>9709</v>
      </c>
      <c r="P2016" t="s">
        <v>2111</v>
      </c>
      <c r="Q2016" t="s">
        <v>1479</v>
      </c>
    </row>
    <row r="2017" spans="1:17" x14ac:dyDescent="0.3">
      <c r="A2017" t="s">
        <v>2708</v>
      </c>
      <c r="B2017" t="s">
        <v>436</v>
      </c>
      <c r="C2017" s="1">
        <v>46099</v>
      </c>
      <c r="D2017" t="s">
        <v>26</v>
      </c>
      <c r="E2017" t="s">
        <v>17</v>
      </c>
      <c r="F2017" t="s">
        <v>60</v>
      </c>
      <c r="G2017" t="s">
        <v>165</v>
      </c>
      <c r="H2017" t="s">
        <v>166</v>
      </c>
      <c r="I2017" t="s">
        <v>29</v>
      </c>
      <c r="J2017">
        <v>449</v>
      </c>
      <c r="K2017">
        <v>1</v>
      </c>
      <c r="L2017">
        <v>424.42</v>
      </c>
      <c r="M2017">
        <v>0</v>
      </c>
      <c r="N2017">
        <v>424.42</v>
      </c>
      <c r="O2017">
        <v>424.42</v>
      </c>
      <c r="P2017" t="s">
        <v>2111</v>
      </c>
      <c r="Q2017" t="s">
        <v>789</v>
      </c>
    </row>
    <row r="2018" spans="1:17" x14ac:dyDescent="0.3">
      <c r="A2018" t="s">
        <v>1657</v>
      </c>
      <c r="B2018" t="s">
        <v>1656</v>
      </c>
      <c r="C2018" s="1">
        <v>46157</v>
      </c>
      <c r="D2018" t="s">
        <v>34</v>
      </c>
      <c r="E2018" t="s">
        <v>17</v>
      </c>
      <c r="F2018" t="s">
        <v>60</v>
      </c>
      <c r="G2018" t="s">
        <v>112</v>
      </c>
      <c r="H2018" t="s">
        <v>113</v>
      </c>
      <c r="I2018" t="s">
        <v>37</v>
      </c>
      <c r="J2018">
        <v>1499</v>
      </c>
      <c r="K2018">
        <v>2</v>
      </c>
      <c r="L2018">
        <v>1586.81</v>
      </c>
      <c r="M2018">
        <v>476.04</v>
      </c>
      <c r="N2018">
        <v>3173.62</v>
      </c>
      <c r="O2018">
        <v>2697.58</v>
      </c>
      <c r="P2018" t="s">
        <v>2111</v>
      </c>
      <c r="Q2018" t="s">
        <v>1479</v>
      </c>
    </row>
    <row r="2019" spans="1:17" x14ac:dyDescent="0.3">
      <c r="A2019" t="s">
        <v>1918</v>
      </c>
      <c r="B2019" t="s">
        <v>1233</v>
      </c>
      <c r="C2019" s="1">
        <v>46184</v>
      </c>
      <c r="D2019" t="s">
        <v>41</v>
      </c>
      <c r="E2019" t="s">
        <v>17</v>
      </c>
      <c r="F2019" t="s">
        <v>74</v>
      </c>
      <c r="G2019" t="s">
        <v>112</v>
      </c>
      <c r="H2019" t="s">
        <v>113</v>
      </c>
      <c r="I2019" t="s">
        <v>37</v>
      </c>
      <c r="J2019">
        <v>1499</v>
      </c>
      <c r="K2019">
        <v>1</v>
      </c>
      <c r="L2019">
        <v>1590.26</v>
      </c>
      <c r="M2019">
        <v>159.03</v>
      </c>
      <c r="N2019">
        <v>1590.26</v>
      </c>
      <c r="O2019">
        <v>1431.23</v>
      </c>
      <c r="P2019" t="s">
        <v>2114</v>
      </c>
      <c r="Q2019" t="s">
        <v>1809</v>
      </c>
    </row>
    <row r="2020" spans="1:17" x14ac:dyDescent="0.3">
      <c r="A2020" t="s">
        <v>315</v>
      </c>
      <c r="B2020" t="s">
        <v>314</v>
      </c>
      <c r="C2020" s="1">
        <v>46038</v>
      </c>
      <c r="D2020" t="s">
        <v>34</v>
      </c>
      <c r="E2020" t="s">
        <v>42</v>
      </c>
      <c r="F2020" t="s">
        <v>47</v>
      </c>
      <c r="G2020" t="s">
        <v>86</v>
      </c>
      <c r="H2020" t="s">
        <v>87</v>
      </c>
      <c r="I2020" t="s">
        <v>82</v>
      </c>
      <c r="J2020">
        <v>3499</v>
      </c>
      <c r="K2020">
        <v>1</v>
      </c>
      <c r="L2020">
        <v>3294.02</v>
      </c>
      <c r="M2020">
        <v>164.7</v>
      </c>
      <c r="N2020">
        <v>3294.02</v>
      </c>
      <c r="O2020">
        <v>3129.32</v>
      </c>
      <c r="P2020" t="s">
        <v>2111</v>
      </c>
      <c r="Q2020" t="s">
        <v>23</v>
      </c>
    </row>
    <row r="2021" spans="1:17" x14ac:dyDescent="0.3">
      <c r="A2021" t="s">
        <v>1274</v>
      </c>
      <c r="B2021" t="s">
        <v>1273</v>
      </c>
      <c r="C2021" s="1">
        <v>46124</v>
      </c>
      <c r="D2021" t="s">
        <v>16</v>
      </c>
      <c r="E2021" t="s">
        <v>50</v>
      </c>
      <c r="F2021" t="s">
        <v>47</v>
      </c>
      <c r="G2021" t="s">
        <v>191</v>
      </c>
      <c r="H2021" t="s">
        <v>192</v>
      </c>
      <c r="I2021" t="s">
        <v>45</v>
      </c>
      <c r="J2021">
        <v>699</v>
      </c>
      <c r="K2021">
        <v>1</v>
      </c>
      <c r="L2021">
        <v>676.06</v>
      </c>
      <c r="M2021">
        <v>67.61</v>
      </c>
      <c r="N2021">
        <v>676.06</v>
      </c>
      <c r="O2021">
        <v>608.45000000000005</v>
      </c>
      <c r="P2021" t="s">
        <v>2111</v>
      </c>
      <c r="Q2021" t="s">
        <v>1170</v>
      </c>
    </row>
    <row r="2022" spans="1:17" x14ac:dyDescent="0.3">
      <c r="A2022" t="s">
        <v>2187</v>
      </c>
      <c r="B2022" t="s">
        <v>750</v>
      </c>
      <c r="C2022" s="1">
        <v>46186</v>
      </c>
      <c r="D2022" t="s">
        <v>34</v>
      </c>
      <c r="E2022" t="s">
        <v>17</v>
      </c>
      <c r="F2022" t="s">
        <v>22</v>
      </c>
      <c r="G2022" t="s">
        <v>51</v>
      </c>
      <c r="H2022" t="s">
        <v>52</v>
      </c>
      <c r="I2022" t="s">
        <v>20</v>
      </c>
      <c r="J2022">
        <v>999</v>
      </c>
      <c r="K2022">
        <v>1</v>
      </c>
      <c r="L2022">
        <v>925.92</v>
      </c>
      <c r="M2022">
        <v>138.88999999999999</v>
      </c>
      <c r="N2022">
        <v>925.92</v>
      </c>
      <c r="O2022">
        <v>787.03</v>
      </c>
      <c r="P2022" t="s">
        <v>2111</v>
      </c>
      <c r="Q2022" t="s">
        <v>1809</v>
      </c>
    </row>
    <row r="2023" spans="1:17" x14ac:dyDescent="0.3">
      <c r="A2023" t="s">
        <v>2293</v>
      </c>
      <c r="B2023" t="s">
        <v>2294</v>
      </c>
      <c r="C2023" s="1">
        <v>46106</v>
      </c>
      <c r="D2023" t="s">
        <v>34</v>
      </c>
      <c r="E2023" t="s">
        <v>50</v>
      </c>
      <c r="F2023" t="s">
        <v>47</v>
      </c>
      <c r="G2023" t="s">
        <v>149</v>
      </c>
      <c r="H2023" t="s">
        <v>150</v>
      </c>
      <c r="I2023" t="s">
        <v>37</v>
      </c>
      <c r="J2023">
        <v>2999</v>
      </c>
      <c r="K2023">
        <v>2</v>
      </c>
      <c r="L2023">
        <v>2743.59</v>
      </c>
      <c r="M2023">
        <v>0</v>
      </c>
      <c r="N2023">
        <v>5487.18</v>
      </c>
      <c r="O2023">
        <v>5487.18</v>
      </c>
      <c r="P2023" t="s">
        <v>2111</v>
      </c>
      <c r="Q2023" t="s">
        <v>789</v>
      </c>
    </row>
    <row r="2024" spans="1:17" x14ac:dyDescent="0.3">
      <c r="A2024" t="s">
        <v>1823</v>
      </c>
      <c r="B2024" t="s">
        <v>1822</v>
      </c>
      <c r="C2024" s="1">
        <v>46174</v>
      </c>
      <c r="D2024" t="s">
        <v>26</v>
      </c>
      <c r="E2024" t="s">
        <v>42</v>
      </c>
      <c r="F2024" t="s">
        <v>31</v>
      </c>
      <c r="G2024" t="s">
        <v>101</v>
      </c>
      <c r="H2024" t="s">
        <v>102</v>
      </c>
      <c r="I2024" t="s">
        <v>45</v>
      </c>
      <c r="J2024">
        <v>4999</v>
      </c>
      <c r="K2024">
        <v>1</v>
      </c>
      <c r="L2024">
        <v>5491.07</v>
      </c>
      <c r="M2024">
        <v>1098.21</v>
      </c>
      <c r="N2024">
        <v>5491.07</v>
      </c>
      <c r="O2024">
        <v>4392.8599999999997</v>
      </c>
      <c r="P2024" t="s">
        <v>2111</v>
      </c>
      <c r="Q2024" t="s">
        <v>1809</v>
      </c>
    </row>
    <row r="2025" spans="1:17" x14ac:dyDescent="0.3">
      <c r="A2025" t="s">
        <v>2910</v>
      </c>
      <c r="B2025" t="s">
        <v>2911</v>
      </c>
      <c r="C2025" s="1">
        <v>46051</v>
      </c>
      <c r="D2025" t="s">
        <v>41</v>
      </c>
      <c r="E2025" t="s">
        <v>17</v>
      </c>
      <c r="F2025" t="s">
        <v>47</v>
      </c>
      <c r="G2025" t="s">
        <v>355</v>
      </c>
      <c r="H2025" t="s">
        <v>356</v>
      </c>
      <c r="I2025" t="s">
        <v>82</v>
      </c>
      <c r="J2025">
        <v>499</v>
      </c>
      <c r="K2025">
        <v>1</v>
      </c>
      <c r="L2025">
        <v>514.53</v>
      </c>
      <c r="M2025">
        <v>102.91</v>
      </c>
      <c r="N2025">
        <v>514.53</v>
      </c>
      <c r="O2025">
        <v>411.62</v>
      </c>
      <c r="P2025" t="s">
        <v>2111</v>
      </c>
      <c r="Q2025" t="s">
        <v>23</v>
      </c>
    </row>
    <row r="2026" spans="1:17" x14ac:dyDescent="0.3">
      <c r="A2026" t="s">
        <v>2336</v>
      </c>
      <c r="B2026" t="s">
        <v>2201</v>
      </c>
      <c r="C2026" s="1">
        <v>46081</v>
      </c>
      <c r="D2026" t="s">
        <v>16</v>
      </c>
      <c r="E2026" t="s">
        <v>42</v>
      </c>
      <c r="F2026" t="s">
        <v>74</v>
      </c>
      <c r="G2026" t="s">
        <v>191</v>
      </c>
      <c r="H2026" t="s">
        <v>192</v>
      </c>
      <c r="I2026" t="s">
        <v>45</v>
      </c>
      <c r="J2026">
        <v>699</v>
      </c>
      <c r="K2026">
        <v>2</v>
      </c>
      <c r="L2026">
        <v>704.89</v>
      </c>
      <c r="M2026">
        <v>281.95999999999998</v>
      </c>
      <c r="N2026">
        <v>1409.78</v>
      </c>
      <c r="O2026">
        <v>1127.82</v>
      </c>
      <c r="P2026" t="s">
        <v>2111</v>
      </c>
      <c r="Q2026" t="s">
        <v>498</v>
      </c>
    </row>
    <row r="2027" spans="1:17" x14ac:dyDescent="0.3">
      <c r="A2027" t="s">
        <v>211</v>
      </c>
      <c r="B2027" t="s">
        <v>210</v>
      </c>
      <c r="C2027" s="1">
        <v>46032</v>
      </c>
      <c r="D2027" t="s">
        <v>16</v>
      </c>
      <c r="E2027" t="s">
        <v>17</v>
      </c>
      <c r="F2027" t="s">
        <v>22</v>
      </c>
      <c r="G2027" t="s">
        <v>18</v>
      </c>
      <c r="H2027" t="s">
        <v>19</v>
      </c>
      <c r="I2027" t="s">
        <v>20</v>
      </c>
      <c r="J2027">
        <v>2799</v>
      </c>
      <c r="K2027">
        <v>1</v>
      </c>
      <c r="L2027">
        <v>2947.63</v>
      </c>
      <c r="M2027">
        <v>294.76</v>
      </c>
      <c r="N2027">
        <v>2947.63</v>
      </c>
      <c r="O2027">
        <v>2652.87</v>
      </c>
      <c r="P2027" t="s">
        <v>2111</v>
      </c>
      <c r="Q2027" t="s">
        <v>23</v>
      </c>
    </row>
    <row r="2028" spans="1:17" x14ac:dyDescent="0.3">
      <c r="A2028" t="s">
        <v>743</v>
      </c>
      <c r="B2028" t="s">
        <v>742</v>
      </c>
      <c r="C2028" s="1">
        <v>46078</v>
      </c>
      <c r="D2028" t="s">
        <v>63</v>
      </c>
      <c r="E2028" t="s">
        <v>17</v>
      </c>
      <c r="F2028" t="s">
        <v>22</v>
      </c>
      <c r="G2028" t="s">
        <v>160</v>
      </c>
      <c r="H2028" t="s">
        <v>161</v>
      </c>
      <c r="I2028" t="s">
        <v>82</v>
      </c>
      <c r="J2028">
        <v>799</v>
      </c>
      <c r="K2028">
        <v>2</v>
      </c>
      <c r="L2028">
        <v>853.34</v>
      </c>
      <c r="M2028">
        <v>85.33</v>
      </c>
      <c r="N2028">
        <v>1706.68</v>
      </c>
      <c r="O2028">
        <v>1621.35</v>
      </c>
      <c r="P2028" t="s">
        <v>2111</v>
      </c>
      <c r="Q2028" t="s">
        <v>498</v>
      </c>
    </row>
    <row r="2029" spans="1:17" x14ac:dyDescent="0.3">
      <c r="A2029" t="s">
        <v>2374</v>
      </c>
      <c r="B2029" t="s">
        <v>1468</v>
      </c>
      <c r="C2029" s="1">
        <v>46056</v>
      </c>
      <c r="D2029" t="s">
        <v>26</v>
      </c>
      <c r="E2029" t="s">
        <v>17</v>
      </c>
      <c r="F2029" t="s">
        <v>22</v>
      </c>
      <c r="G2029" t="s">
        <v>56</v>
      </c>
      <c r="H2029" t="s">
        <v>57</v>
      </c>
      <c r="I2029" t="s">
        <v>58</v>
      </c>
      <c r="J2029">
        <v>8999</v>
      </c>
      <c r="K2029">
        <v>1</v>
      </c>
      <c r="L2029">
        <v>9551.0300000000007</v>
      </c>
      <c r="M2029">
        <v>477.55</v>
      </c>
      <c r="N2029">
        <v>9551.0300000000007</v>
      </c>
      <c r="O2029">
        <v>9073.48</v>
      </c>
      <c r="P2029" t="s">
        <v>2111</v>
      </c>
      <c r="Q2029" t="s">
        <v>498</v>
      </c>
    </row>
    <row r="2030" spans="1:17" x14ac:dyDescent="0.3">
      <c r="A2030" t="s">
        <v>303</v>
      </c>
      <c r="B2030" t="s">
        <v>302</v>
      </c>
      <c r="C2030" s="1">
        <v>46037</v>
      </c>
      <c r="D2030" t="s">
        <v>63</v>
      </c>
      <c r="E2030" t="s">
        <v>17</v>
      </c>
      <c r="F2030" t="s">
        <v>22</v>
      </c>
      <c r="G2030" t="s">
        <v>165</v>
      </c>
      <c r="H2030" t="s">
        <v>166</v>
      </c>
      <c r="I2030" t="s">
        <v>29</v>
      </c>
      <c r="J2030">
        <v>449</v>
      </c>
      <c r="K2030">
        <v>2</v>
      </c>
      <c r="L2030">
        <v>405.59</v>
      </c>
      <c r="M2030">
        <v>40.56</v>
      </c>
      <c r="N2030">
        <v>811.18</v>
      </c>
      <c r="O2030">
        <v>770.62</v>
      </c>
      <c r="P2030" t="s">
        <v>2111</v>
      </c>
      <c r="Q2030" t="s">
        <v>23</v>
      </c>
    </row>
    <row r="2031" spans="1:17" x14ac:dyDescent="0.3">
      <c r="A2031" t="s">
        <v>2781</v>
      </c>
      <c r="B2031" t="s">
        <v>2782</v>
      </c>
      <c r="C2031" s="1">
        <v>46066</v>
      </c>
      <c r="D2031" t="s">
        <v>34</v>
      </c>
      <c r="E2031" t="s">
        <v>50</v>
      </c>
      <c r="F2031" t="s">
        <v>74</v>
      </c>
      <c r="G2031" t="s">
        <v>27</v>
      </c>
      <c r="H2031" t="s">
        <v>28</v>
      </c>
      <c r="I2031" t="s">
        <v>29</v>
      </c>
      <c r="J2031">
        <v>1599</v>
      </c>
      <c r="K2031">
        <v>1</v>
      </c>
      <c r="L2031">
        <v>1498.84</v>
      </c>
      <c r="M2031">
        <v>0</v>
      </c>
      <c r="N2031">
        <v>1498.84</v>
      </c>
      <c r="O2031">
        <v>1498.84</v>
      </c>
      <c r="P2031" t="s">
        <v>2111</v>
      </c>
      <c r="Q2031" t="s">
        <v>498</v>
      </c>
    </row>
    <row r="2032" spans="1:17" x14ac:dyDescent="0.3">
      <c r="A2032" t="s">
        <v>1789</v>
      </c>
      <c r="B2032" t="s">
        <v>1788</v>
      </c>
      <c r="C2032" s="1">
        <v>46172</v>
      </c>
      <c r="D2032" t="s">
        <v>63</v>
      </c>
      <c r="E2032" t="s">
        <v>42</v>
      </c>
      <c r="F2032" t="s">
        <v>22</v>
      </c>
      <c r="G2032" t="s">
        <v>91</v>
      </c>
      <c r="H2032" t="s">
        <v>92</v>
      </c>
      <c r="I2032" t="s">
        <v>37</v>
      </c>
      <c r="J2032">
        <v>1899</v>
      </c>
      <c r="K2032">
        <v>1</v>
      </c>
      <c r="L2032">
        <v>1957.83</v>
      </c>
      <c r="M2032">
        <v>195.78</v>
      </c>
      <c r="N2032">
        <v>1957.83</v>
      </c>
      <c r="O2032">
        <v>1762.05</v>
      </c>
      <c r="P2032" t="s">
        <v>2111</v>
      </c>
      <c r="Q2032" t="s">
        <v>1479</v>
      </c>
    </row>
    <row r="2033" spans="1:17" x14ac:dyDescent="0.3">
      <c r="A2033" t="s">
        <v>2824</v>
      </c>
      <c r="B2033" t="s">
        <v>299</v>
      </c>
      <c r="C2033" s="1">
        <v>46054</v>
      </c>
      <c r="D2033" t="s">
        <v>34</v>
      </c>
      <c r="E2033" t="s">
        <v>17</v>
      </c>
      <c r="F2033" t="s">
        <v>74</v>
      </c>
      <c r="G2033" t="s">
        <v>106</v>
      </c>
      <c r="H2033" t="s">
        <v>107</v>
      </c>
      <c r="I2033" t="s">
        <v>108</v>
      </c>
      <c r="J2033">
        <v>599</v>
      </c>
      <c r="K2033">
        <v>1</v>
      </c>
      <c r="L2033">
        <v>584.12</v>
      </c>
      <c r="M2033">
        <v>58.41</v>
      </c>
      <c r="N2033">
        <v>584.12</v>
      </c>
      <c r="O2033">
        <v>525.71</v>
      </c>
      <c r="P2033" t="s">
        <v>2111</v>
      </c>
      <c r="Q2033" t="s">
        <v>498</v>
      </c>
    </row>
    <row r="2034" spans="1:17" x14ac:dyDescent="0.3">
      <c r="A2034" t="s">
        <v>2817</v>
      </c>
      <c r="B2034" t="s">
        <v>2818</v>
      </c>
      <c r="C2034" s="1">
        <v>46118</v>
      </c>
      <c r="D2034" t="s">
        <v>16</v>
      </c>
      <c r="E2034" t="s">
        <v>17</v>
      </c>
      <c r="F2034" t="s">
        <v>47</v>
      </c>
      <c r="G2034" t="s">
        <v>96</v>
      </c>
      <c r="H2034" t="s">
        <v>97</v>
      </c>
      <c r="I2034" t="s">
        <v>58</v>
      </c>
      <c r="J2034">
        <v>7499</v>
      </c>
      <c r="K2034">
        <v>3</v>
      </c>
      <c r="L2034">
        <v>8222.6299999999992</v>
      </c>
      <c r="M2034">
        <v>4933.58</v>
      </c>
      <c r="N2034">
        <v>24667.89</v>
      </c>
      <c r="O2034">
        <v>19734.310000000001</v>
      </c>
      <c r="P2034" t="s">
        <v>2111</v>
      </c>
      <c r="Q2034" t="s">
        <v>1170</v>
      </c>
    </row>
    <row r="2035" spans="1:17" x14ac:dyDescent="0.3">
      <c r="A2035" t="s">
        <v>2839</v>
      </c>
      <c r="B2035" t="s">
        <v>2437</v>
      </c>
      <c r="C2035" s="1">
        <v>46025</v>
      </c>
      <c r="D2035" t="s">
        <v>63</v>
      </c>
      <c r="E2035" t="s">
        <v>17</v>
      </c>
      <c r="F2035" t="s">
        <v>31</v>
      </c>
      <c r="G2035" t="s">
        <v>106</v>
      </c>
      <c r="H2035" t="s">
        <v>107</v>
      </c>
      <c r="I2035" t="s">
        <v>108</v>
      </c>
      <c r="J2035">
        <v>599</v>
      </c>
      <c r="K2035">
        <v>1</v>
      </c>
      <c r="L2035">
        <v>618.82000000000005</v>
      </c>
      <c r="M2035">
        <v>0</v>
      </c>
      <c r="N2035">
        <v>618.82000000000005</v>
      </c>
      <c r="O2035">
        <v>618.82000000000005</v>
      </c>
      <c r="P2035" t="s">
        <v>2111</v>
      </c>
      <c r="Q2035" t="s">
        <v>23</v>
      </c>
    </row>
    <row r="2036" spans="1:17" x14ac:dyDescent="0.3">
      <c r="A2036" t="s">
        <v>917</v>
      </c>
      <c r="B2036" t="s">
        <v>916</v>
      </c>
      <c r="C2036" s="1">
        <v>46090</v>
      </c>
      <c r="D2036" t="s">
        <v>34</v>
      </c>
      <c r="E2036" t="s">
        <v>42</v>
      </c>
      <c r="F2036" t="s">
        <v>22</v>
      </c>
      <c r="G2036" t="s">
        <v>165</v>
      </c>
      <c r="H2036" t="s">
        <v>166</v>
      </c>
      <c r="I2036" t="s">
        <v>29</v>
      </c>
      <c r="J2036">
        <v>449</v>
      </c>
      <c r="K2036">
        <v>1</v>
      </c>
      <c r="L2036">
        <v>490</v>
      </c>
      <c r="M2036">
        <v>73.5</v>
      </c>
      <c r="N2036">
        <v>490</v>
      </c>
      <c r="O2036">
        <v>416.5</v>
      </c>
      <c r="P2036" t="s">
        <v>2111</v>
      </c>
      <c r="Q2036" t="s">
        <v>789</v>
      </c>
    </row>
    <row r="2037" spans="1:17" x14ac:dyDescent="0.3">
      <c r="A2037" t="s">
        <v>2281</v>
      </c>
      <c r="B2037" t="s">
        <v>2282</v>
      </c>
      <c r="C2037" s="1">
        <v>46116</v>
      </c>
      <c r="D2037" t="s">
        <v>41</v>
      </c>
      <c r="E2037" t="s">
        <v>50</v>
      </c>
      <c r="F2037" t="s">
        <v>60</v>
      </c>
      <c r="G2037" t="s">
        <v>91</v>
      </c>
      <c r="H2037" t="s">
        <v>92</v>
      </c>
      <c r="I2037" t="s">
        <v>37</v>
      </c>
      <c r="J2037">
        <v>1899</v>
      </c>
      <c r="K2037">
        <v>1</v>
      </c>
      <c r="L2037">
        <v>1785.61</v>
      </c>
      <c r="M2037">
        <v>267.83999999999997</v>
      </c>
      <c r="N2037">
        <v>1785.61</v>
      </c>
      <c r="O2037">
        <v>1517.77</v>
      </c>
      <c r="P2037" t="s">
        <v>2111</v>
      </c>
      <c r="Q2037" t="s">
        <v>1170</v>
      </c>
    </row>
    <row r="2038" spans="1:17" x14ac:dyDescent="0.3">
      <c r="A2038" t="s">
        <v>2021</v>
      </c>
      <c r="B2038" t="s">
        <v>346</v>
      </c>
      <c r="C2038" s="1">
        <v>46196</v>
      </c>
      <c r="D2038" t="s">
        <v>63</v>
      </c>
      <c r="E2038" t="s">
        <v>17</v>
      </c>
      <c r="F2038" t="s">
        <v>60</v>
      </c>
      <c r="G2038" t="s">
        <v>101</v>
      </c>
      <c r="H2038" t="s">
        <v>102</v>
      </c>
      <c r="I2038" t="s">
        <v>45</v>
      </c>
      <c r="J2038">
        <v>4999</v>
      </c>
      <c r="K2038">
        <v>3</v>
      </c>
      <c r="L2038">
        <v>5362.88</v>
      </c>
      <c r="M2038">
        <v>2413.3000000000002</v>
      </c>
      <c r="N2038">
        <v>16088.64</v>
      </c>
      <c r="O2038">
        <v>13675.34</v>
      </c>
      <c r="P2038" t="s">
        <v>2111</v>
      </c>
      <c r="Q2038" t="s">
        <v>1809</v>
      </c>
    </row>
    <row r="2039" spans="1:17" x14ac:dyDescent="0.3">
      <c r="A2039" t="s">
        <v>2701</v>
      </c>
      <c r="B2039" t="s">
        <v>105</v>
      </c>
      <c r="C2039" s="1">
        <v>46035</v>
      </c>
      <c r="D2039" t="s">
        <v>16</v>
      </c>
      <c r="E2039" t="s">
        <v>17</v>
      </c>
      <c r="F2039" t="s">
        <v>60</v>
      </c>
      <c r="G2039" t="s">
        <v>191</v>
      </c>
      <c r="H2039" t="s">
        <v>192</v>
      </c>
      <c r="I2039" t="s">
        <v>45</v>
      </c>
      <c r="J2039">
        <v>699</v>
      </c>
      <c r="K2039">
        <v>2</v>
      </c>
      <c r="L2039">
        <v>674.03</v>
      </c>
      <c r="M2039">
        <v>269.61</v>
      </c>
      <c r="N2039">
        <v>1348.06</v>
      </c>
      <c r="O2039">
        <v>1078.45</v>
      </c>
      <c r="P2039" t="s">
        <v>2111</v>
      </c>
      <c r="Q2039" t="s">
        <v>23</v>
      </c>
    </row>
    <row r="2040" spans="1:17" x14ac:dyDescent="0.3">
      <c r="A2040" t="s">
        <v>434</v>
      </c>
      <c r="B2040" t="s">
        <v>433</v>
      </c>
      <c r="C2040" s="1">
        <v>46048</v>
      </c>
      <c r="D2040" t="s">
        <v>16</v>
      </c>
      <c r="E2040" t="s">
        <v>17</v>
      </c>
      <c r="F2040" t="s">
        <v>22</v>
      </c>
      <c r="G2040" t="s">
        <v>96</v>
      </c>
      <c r="H2040" t="s">
        <v>97</v>
      </c>
      <c r="I2040" t="s">
        <v>58</v>
      </c>
      <c r="J2040">
        <v>7499</v>
      </c>
      <c r="K2040">
        <v>4</v>
      </c>
      <c r="L2040">
        <v>8233.25</v>
      </c>
      <c r="M2040">
        <v>4939.95</v>
      </c>
      <c r="N2040">
        <v>32933</v>
      </c>
      <c r="O2040">
        <v>27993.05</v>
      </c>
      <c r="P2040" t="s">
        <v>2111</v>
      </c>
      <c r="Q2040" t="s">
        <v>23</v>
      </c>
    </row>
    <row r="2041" spans="1:17" x14ac:dyDescent="0.3">
      <c r="A2041" t="s">
        <v>2758</v>
      </c>
      <c r="B2041" t="s">
        <v>2759</v>
      </c>
      <c r="C2041" s="1">
        <v>46190</v>
      </c>
      <c r="D2041" t="s">
        <v>63</v>
      </c>
      <c r="E2041" t="s">
        <v>17</v>
      </c>
      <c r="F2041" t="s">
        <v>60</v>
      </c>
      <c r="G2041" t="s">
        <v>160</v>
      </c>
      <c r="H2041" t="s">
        <v>161</v>
      </c>
      <c r="I2041" t="s">
        <v>82</v>
      </c>
      <c r="J2041">
        <v>799</v>
      </c>
      <c r="K2041">
        <v>1</v>
      </c>
      <c r="L2041">
        <v>744.3</v>
      </c>
      <c r="M2041">
        <v>148.86000000000001</v>
      </c>
      <c r="N2041">
        <v>744.3</v>
      </c>
      <c r="O2041">
        <v>595.44000000000005</v>
      </c>
      <c r="P2041" t="s">
        <v>2114</v>
      </c>
      <c r="Q2041" t="s">
        <v>1809</v>
      </c>
    </row>
    <row r="2042" spans="1:17" x14ac:dyDescent="0.3">
      <c r="A2042" t="s">
        <v>2912</v>
      </c>
      <c r="B2042" t="s">
        <v>2387</v>
      </c>
      <c r="C2042" s="1">
        <v>46108</v>
      </c>
      <c r="D2042" t="s">
        <v>41</v>
      </c>
      <c r="E2042" t="s">
        <v>17</v>
      </c>
      <c r="F2042" t="s">
        <v>60</v>
      </c>
      <c r="G2042" t="s">
        <v>91</v>
      </c>
      <c r="H2042" t="s">
        <v>92</v>
      </c>
      <c r="I2042" t="s">
        <v>37</v>
      </c>
      <c r="J2042">
        <v>1899</v>
      </c>
      <c r="K2042">
        <v>1</v>
      </c>
      <c r="L2042">
        <v>1905.21</v>
      </c>
      <c r="M2042">
        <v>95.26</v>
      </c>
      <c r="N2042">
        <v>1905.21</v>
      </c>
      <c r="O2042">
        <v>1809.95</v>
      </c>
      <c r="P2042" t="s">
        <v>2111</v>
      </c>
      <c r="Q2042" t="s">
        <v>789</v>
      </c>
    </row>
    <row r="2043" spans="1:17" x14ac:dyDescent="0.3">
      <c r="A2043" t="s">
        <v>528</v>
      </c>
      <c r="B2043" t="s">
        <v>527</v>
      </c>
      <c r="C2043" s="1">
        <v>46056</v>
      </c>
      <c r="D2043" t="s">
        <v>34</v>
      </c>
      <c r="E2043" t="s">
        <v>50</v>
      </c>
      <c r="F2043" t="s">
        <v>31</v>
      </c>
      <c r="G2043" t="s">
        <v>56</v>
      </c>
      <c r="H2043" t="s">
        <v>57</v>
      </c>
      <c r="I2043" t="s">
        <v>58</v>
      </c>
      <c r="J2043">
        <v>8999</v>
      </c>
      <c r="K2043">
        <v>1</v>
      </c>
      <c r="L2043">
        <v>9526.06</v>
      </c>
      <c r="M2043">
        <v>952.61</v>
      </c>
      <c r="N2043">
        <v>9526.06</v>
      </c>
      <c r="O2043">
        <v>8573.4500000000007</v>
      </c>
      <c r="P2043" t="s">
        <v>2111</v>
      </c>
      <c r="Q2043" t="s">
        <v>498</v>
      </c>
    </row>
    <row r="2044" spans="1:17" x14ac:dyDescent="0.3">
      <c r="A2044" t="s">
        <v>2913</v>
      </c>
      <c r="B2044" t="s">
        <v>916</v>
      </c>
      <c r="C2044" s="1">
        <v>46085</v>
      </c>
      <c r="D2044" t="s">
        <v>26</v>
      </c>
      <c r="E2044" t="s">
        <v>17</v>
      </c>
      <c r="F2044" t="s">
        <v>74</v>
      </c>
      <c r="G2044" t="s">
        <v>355</v>
      </c>
      <c r="H2044" t="s">
        <v>356</v>
      </c>
      <c r="I2044" t="s">
        <v>82</v>
      </c>
      <c r="J2044">
        <v>499</v>
      </c>
      <c r="K2044">
        <v>2</v>
      </c>
      <c r="L2044">
        <v>492.28</v>
      </c>
      <c r="M2044">
        <v>0</v>
      </c>
      <c r="N2044">
        <v>984.56</v>
      </c>
      <c r="O2044">
        <v>984.56</v>
      </c>
      <c r="P2044" t="s">
        <v>2111</v>
      </c>
      <c r="Q2044" t="s">
        <v>789</v>
      </c>
    </row>
    <row r="2045" spans="1:17" x14ac:dyDescent="0.3">
      <c r="A2045" t="s">
        <v>176</v>
      </c>
      <c r="B2045" t="s">
        <v>175</v>
      </c>
      <c r="C2045" s="1">
        <v>46029</v>
      </c>
      <c r="D2045" t="s">
        <v>63</v>
      </c>
      <c r="E2045" t="s">
        <v>17</v>
      </c>
      <c r="F2045" t="s">
        <v>74</v>
      </c>
      <c r="G2045" t="s">
        <v>86</v>
      </c>
      <c r="H2045" t="s">
        <v>87</v>
      </c>
      <c r="I2045" t="s">
        <v>82</v>
      </c>
      <c r="J2045">
        <v>3499</v>
      </c>
      <c r="K2045">
        <v>1</v>
      </c>
      <c r="L2045">
        <v>3476.67</v>
      </c>
      <c r="M2045">
        <v>0</v>
      </c>
      <c r="N2045">
        <v>3476.67</v>
      </c>
      <c r="O2045">
        <v>3476.67</v>
      </c>
      <c r="P2045" t="s">
        <v>2111</v>
      </c>
      <c r="Q2045" t="s">
        <v>23</v>
      </c>
    </row>
    <row r="2046" spans="1:17" x14ac:dyDescent="0.3">
      <c r="A2046" t="s">
        <v>2460</v>
      </c>
      <c r="B2046" t="s">
        <v>2461</v>
      </c>
      <c r="C2046" s="1">
        <v>46103</v>
      </c>
      <c r="D2046" t="s">
        <v>16</v>
      </c>
      <c r="E2046" t="s">
        <v>50</v>
      </c>
      <c r="F2046" t="s">
        <v>47</v>
      </c>
      <c r="G2046" t="s">
        <v>91</v>
      </c>
      <c r="H2046" t="s">
        <v>92</v>
      </c>
      <c r="I2046" t="s">
        <v>37</v>
      </c>
      <c r="J2046">
        <v>1899</v>
      </c>
      <c r="K2046">
        <v>1</v>
      </c>
      <c r="L2046">
        <v>2083.7199999999998</v>
      </c>
      <c r="M2046">
        <v>104.19</v>
      </c>
      <c r="N2046">
        <v>2083.7199999999998</v>
      </c>
      <c r="O2046">
        <v>1979.53</v>
      </c>
      <c r="P2046" t="s">
        <v>2111</v>
      </c>
      <c r="Q2046" t="s">
        <v>789</v>
      </c>
    </row>
    <row r="2047" spans="1:17" x14ac:dyDescent="0.3">
      <c r="A2047" t="s">
        <v>731</v>
      </c>
      <c r="B2047" t="s">
        <v>730</v>
      </c>
      <c r="C2047" s="1">
        <v>46076</v>
      </c>
      <c r="D2047" t="s">
        <v>16</v>
      </c>
      <c r="E2047" t="s">
        <v>17</v>
      </c>
      <c r="F2047" t="s">
        <v>60</v>
      </c>
      <c r="G2047" t="s">
        <v>18</v>
      </c>
      <c r="H2047" t="s">
        <v>19</v>
      </c>
      <c r="I2047" t="s">
        <v>20</v>
      </c>
      <c r="J2047">
        <v>2799</v>
      </c>
      <c r="K2047">
        <v>2</v>
      </c>
      <c r="L2047">
        <v>2757.19</v>
      </c>
      <c r="M2047">
        <v>0</v>
      </c>
      <c r="N2047">
        <v>5514.38</v>
      </c>
      <c r="O2047">
        <v>5514.38</v>
      </c>
      <c r="P2047" t="s">
        <v>2111</v>
      </c>
      <c r="Q2047" t="s">
        <v>498</v>
      </c>
    </row>
    <row r="2048" spans="1:17" x14ac:dyDescent="0.3">
      <c r="A2048" t="s">
        <v>1469</v>
      </c>
      <c r="B2048" t="s">
        <v>1468</v>
      </c>
      <c r="C2048" s="1">
        <v>46142</v>
      </c>
      <c r="D2048" t="s">
        <v>16</v>
      </c>
      <c r="E2048" t="s">
        <v>17</v>
      </c>
      <c r="F2048" t="s">
        <v>74</v>
      </c>
      <c r="G2048" t="s">
        <v>35</v>
      </c>
      <c r="H2048" t="s">
        <v>36</v>
      </c>
      <c r="I2048" t="s">
        <v>37</v>
      </c>
      <c r="J2048">
        <v>799</v>
      </c>
      <c r="K2048">
        <v>1</v>
      </c>
      <c r="L2048">
        <v>815.63</v>
      </c>
      <c r="M2048">
        <v>40.78</v>
      </c>
      <c r="N2048">
        <v>815.63</v>
      </c>
      <c r="O2048">
        <v>774.85</v>
      </c>
      <c r="P2048" t="s">
        <v>2111</v>
      </c>
      <c r="Q2048" t="s">
        <v>1170</v>
      </c>
    </row>
    <row r="2049" spans="1:17" x14ac:dyDescent="0.3">
      <c r="A2049" t="s">
        <v>1350</v>
      </c>
      <c r="B2049" t="s">
        <v>1349</v>
      </c>
      <c r="C2049" s="1">
        <v>46132</v>
      </c>
      <c r="D2049" t="s">
        <v>26</v>
      </c>
      <c r="E2049" t="s">
        <v>50</v>
      </c>
      <c r="F2049" t="s">
        <v>22</v>
      </c>
      <c r="G2049" t="s">
        <v>43</v>
      </c>
      <c r="H2049" t="s">
        <v>44</v>
      </c>
      <c r="I2049" t="s">
        <v>45</v>
      </c>
      <c r="J2049">
        <v>3299</v>
      </c>
      <c r="K2049">
        <v>1</v>
      </c>
      <c r="L2049">
        <v>3005.09</v>
      </c>
      <c r="M2049">
        <v>0</v>
      </c>
      <c r="N2049">
        <v>3005.09</v>
      </c>
      <c r="O2049">
        <v>3005.09</v>
      </c>
      <c r="P2049" t="s">
        <v>2111</v>
      </c>
      <c r="Q2049" t="s">
        <v>1170</v>
      </c>
    </row>
    <row r="2050" spans="1:17" x14ac:dyDescent="0.3">
      <c r="A2050" t="s">
        <v>1391</v>
      </c>
      <c r="B2050" t="s">
        <v>1390</v>
      </c>
      <c r="C2050" s="1">
        <v>46135</v>
      </c>
      <c r="D2050" t="s">
        <v>16</v>
      </c>
      <c r="E2050" t="s">
        <v>17</v>
      </c>
      <c r="F2050" t="s">
        <v>31</v>
      </c>
      <c r="G2050" t="s">
        <v>112</v>
      </c>
      <c r="H2050" t="s">
        <v>113</v>
      </c>
      <c r="I2050" t="s">
        <v>37</v>
      </c>
      <c r="J2050">
        <v>1499</v>
      </c>
      <c r="K2050">
        <v>1</v>
      </c>
      <c r="L2050">
        <v>1601.59</v>
      </c>
      <c r="M2050">
        <v>0</v>
      </c>
      <c r="N2050">
        <v>1601.59</v>
      </c>
      <c r="O2050">
        <v>1601.59</v>
      </c>
      <c r="P2050" t="s">
        <v>2111</v>
      </c>
      <c r="Q2050" t="s">
        <v>1170</v>
      </c>
    </row>
    <row r="2051" spans="1:17" x14ac:dyDescent="0.3">
      <c r="A2051" t="s">
        <v>788</v>
      </c>
      <c r="B2051" t="s">
        <v>278</v>
      </c>
      <c r="C2051" s="1">
        <v>46082</v>
      </c>
      <c r="D2051" t="s">
        <v>63</v>
      </c>
      <c r="E2051" t="s">
        <v>42</v>
      </c>
      <c r="F2051" t="s">
        <v>31</v>
      </c>
      <c r="G2051" t="s">
        <v>355</v>
      </c>
      <c r="H2051" t="s">
        <v>356</v>
      </c>
      <c r="I2051" t="s">
        <v>82</v>
      </c>
      <c r="J2051">
        <v>499</v>
      </c>
      <c r="K2051">
        <v>1</v>
      </c>
      <c r="L2051">
        <v>513.79</v>
      </c>
      <c r="M2051">
        <v>102.76</v>
      </c>
      <c r="N2051">
        <v>513.79</v>
      </c>
      <c r="O2051">
        <v>411.03</v>
      </c>
      <c r="P2051" t="s">
        <v>2111</v>
      </c>
      <c r="Q2051" t="s">
        <v>789</v>
      </c>
    </row>
    <row r="2052" spans="1:17" x14ac:dyDescent="0.3">
      <c r="A2052" t="s">
        <v>2672</v>
      </c>
      <c r="B2052" t="s">
        <v>2673</v>
      </c>
      <c r="C2052" s="1">
        <v>46053</v>
      </c>
      <c r="D2052" t="s">
        <v>16</v>
      </c>
      <c r="E2052" t="s">
        <v>50</v>
      </c>
      <c r="F2052" t="s">
        <v>47</v>
      </c>
      <c r="G2052" t="s">
        <v>18</v>
      </c>
      <c r="H2052" t="s">
        <v>19</v>
      </c>
      <c r="I2052" t="s">
        <v>20</v>
      </c>
      <c r="J2052">
        <v>2799</v>
      </c>
      <c r="K2052">
        <v>2</v>
      </c>
      <c r="L2052">
        <v>2745.27</v>
      </c>
      <c r="M2052">
        <v>0</v>
      </c>
      <c r="N2052">
        <v>5490.54</v>
      </c>
      <c r="O2052">
        <v>5490.54</v>
      </c>
      <c r="P2052" t="s">
        <v>2111</v>
      </c>
      <c r="Q2052" t="s">
        <v>23</v>
      </c>
    </row>
    <row r="2053" spans="1:17" x14ac:dyDescent="0.3">
      <c r="A2053" t="s">
        <v>2546</v>
      </c>
      <c r="B2053" t="s">
        <v>2300</v>
      </c>
      <c r="C2053" s="1">
        <v>46108</v>
      </c>
      <c r="D2053" t="s">
        <v>16</v>
      </c>
      <c r="E2053" t="s">
        <v>17</v>
      </c>
      <c r="F2053" t="s">
        <v>60</v>
      </c>
      <c r="G2053" t="s">
        <v>27</v>
      </c>
      <c r="H2053" t="s">
        <v>28</v>
      </c>
      <c r="I2053" t="s">
        <v>29</v>
      </c>
      <c r="J2053">
        <v>1599</v>
      </c>
      <c r="K2053">
        <v>1</v>
      </c>
      <c r="L2053">
        <v>1444.27</v>
      </c>
      <c r="M2053">
        <v>216.64</v>
      </c>
      <c r="N2053">
        <v>1444.27</v>
      </c>
      <c r="O2053">
        <v>1227.6300000000001</v>
      </c>
      <c r="P2053" t="s">
        <v>2111</v>
      </c>
      <c r="Q2053" t="s">
        <v>789</v>
      </c>
    </row>
    <row r="2054" spans="1:17" x14ac:dyDescent="0.3">
      <c r="A2054" t="s">
        <v>347</v>
      </c>
      <c r="B2054" t="s">
        <v>346</v>
      </c>
      <c r="C2054" s="1">
        <v>46041</v>
      </c>
      <c r="D2054" t="s">
        <v>26</v>
      </c>
      <c r="E2054" t="s">
        <v>50</v>
      </c>
      <c r="F2054" t="s">
        <v>31</v>
      </c>
      <c r="G2054" t="s">
        <v>191</v>
      </c>
      <c r="H2054" t="s">
        <v>192</v>
      </c>
      <c r="I2054" t="s">
        <v>45</v>
      </c>
      <c r="J2054">
        <v>699</v>
      </c>
      <c r="K2054">
        <v>1</v>
      </c>
      <c r="L2054">
        <v>711.82</v>
      </c>
      <c r="M2054">
        <v>0</v>
      </c>
      <c r="N2054">
        <v>711.82</v>
      </c>
      <c r="O2054">
        <v>711.82</v>
      </c>
      <c r="P2054" t="s">
        <v>2114</v>
      </c>
      <c r="Q2054" t="s">
        <v>23</v>
      </c>
    </row>
    <row r="2055" spans="1:17" x14ac:dyDescent="0.3">
      <c r="A2055" t="s">
        <v>2783</v>
      </c>
      <c r="B2055" t="s">
        <v>2527</v>
      </c>
      <c r="C2055" s="1">
        <v>46096</v>
      </c>
      <c r="D2055" t="s">
        <v>26</v>
      </c>
      <c r="E2055" t="s">
        <v>17</v>
      </c>
      <c r="F2055" t="s">
        <v>31</v>
      </c>
      <c r="G2055" t="s">
        <v>51</v>
      </c>
      <c r="H2055" t="s">
        <v>52</v>
      </c>
      <c r="I2055" t="s">
        <v>20</v>
      </c>
      <c r="J2055">
        <v>999</v>
      </c>
      <c r="K2055">
        <v>1</v>
      </c>
      <c r="L2055">
        <v>901.63</v>
      </c>
      <c r="M2055">
        <v>180.33</v>
      </c>
      <c r="N2055">
        <v>901.63</v>
      </c>
      <c r="O2055">
        <v>721.3</v>
      </c>
      <c r="P2055" t="s">
        <v>2111</v>
      </c>
      <c r="Q2055" t="s">
        <v>789</v>
      </c>
    </row>
    <row r="2056" spans="1:17" x14ac:dyDescent="0.3">
      <c r="A2056" t="s">
        <v>1141</v>
      </c>
      <c r="B2056" t="s">
        <v>1140</v>
      </c>
      <c r="C2056" s="1">
        <v>46109</v>
      </c>
      <c r="D2056" t="s">
        <v>63</v>
      </c>
      <c r="E2056" t="s">
        <v>17</v>
      </c>
      <c r="F2056" t="s">
        <v>22</v>
      </c>
      <c r="G2056" t="s">
        <v>149</v>
      </c>
      <c r="H2056" t="s">
        <v>150</v>
      </c>
      <c r="I2056" t="s">
        <v>37</v>
      </c>
      <c r="J2056">
        <v>2999</v>
      </c>
      <c r="K2056">
        <v>1</v>
      </c>
      <c r="L2056">
        <v>2699.82</v>
      </c>
      <c r="M2056">
        <v>539.96</v>
      </c>
      <c r="N2056">
        <v>2699.82</v>
      </c>
      <c r="O2056">
        <v>2159.86</v>
      </c>
      <c r="P2056" t="s">
        <v>2111</v>
      </c>
      <c r="Q2056" t="s">
        <v>789</v>
      </c>
    </row>
    <row r="2057" spans="1:17" x14ac:dyDescent="0.3">
      <c r="A2057" t="s">
        <v>2914</v>
      </c>
      <c r="B2057" t="s">
        <v>2915</v>
      </c>
      <c r="C2057" s="1">
        <v>46053</v>
      </c>
      <c r="D2057" t="s">
        <v>41</v>
      </c>
      <c r="E2057" t="s">
        <v>50</v>
      </c>
      <c r="F2057" t="s">
        <v>47</v>
      </c>
      <c r="G2057" t="s">
        <v>91</v>
      </c>
      <c r="H2057" t="s">
        <v>92</v>
      </c>
      <c r="I2057" t="s">
        <v>37</v>
      </c>
      <c r="J2057">
        <v>1899</v>
      </c>
      <c r="K2057">
        <v>2</v>
      </c>
      <c r="L2057">
        <v>1943.09</v>
      </c>
      <c r="M2057">
        <v>582.92999999999995</v>
      </c>
      <c r="N2057">
        <v>3886.18</v>
      </c>
      <c r="O2057">
        <v>3303.25</v>
      </c>
      <c r="P2057" t="s">
        <v>2111</v>
      </c>
      <c r="Q2057" t="s">
        <v>23</v>
      </c>
    </row>
    <row r="2058" spans="1:17" x14ac:dyDescent="0.3">
      <c r="A2058" t="s">
        <v>1418</v>
      </c>
      <c r="B2058" t="s">
        <v>1417</v>
      </c>
      <c r="C2058" s="1">
        <v>46137</v>
      </c>
      <c r="D2058" t="s">
        <v>63</v>
      </c>
      <c r="E2058" t="s">
        <v>50</v>
      </c>
      <c r="F2058" t="s">
        <v>31</v>
      </c>
      <c r="G2058" t="s">
        <v>80</v>
      </c>
      <c r="H2058" t="s">
        <v>81</v>
      </c>
      <c r="I2058" t="s">
        <v>82</v>
      </c>
      <c r="J2058">
        <v>4299</v>
      </c>
      <c r="K2058">
        <v>1</v>
      </c>
      <c r="L2058">
        <v>4031.62</v>
      </c>
      <c r="M2058">
        <v>604.74</v>
      </c>
      <c r="N2058">
        <v>4031.62</v>
      </c>
      <c r="O2058">
        <v>3426.88</v>
      </c>
      <c r="P2058" t="s">
        <v>2111</v>
      </c>
      <c r="Q2058" t="s">
        <v>1170</v>
      </c>
    </row>
    <row r="2059" spans="1:17" x14ac:dyDescent="0.3">
      <c r="A2059" t="s">
        <v>2436</v>
      </c>
      <c r="B2059" t="s">
        <v>2437</v>
      </c>
      <c r="C2059" s="1">
        <v>46073</v>
      </c>
      <c r="D2059" t="s">
        <v>16</v>
      </c>
      <c r="E2059" t="s">
        <v>17</v>
      </c>
      <c r="F2059" t="s">
        <v>22</v>
      </c>
      <c r="G2059" t="s">
        <v>149</v>
      </c>
      <c r="H2059" t="s">
        <v>150</v>
      </c>
      <c r="I2059" t="s">
        <v>37</v>
      </c>
      <c r="J2059">
        <v>2999</v>
      </c>
      <c r="K2059">
        <v>1</v>
      </c>
      <c r="L2059">
        <v>2814.19</v>
      </c>
      <c r="M2059">
        <v>0</v>
      </c>
      <c r="N2059">
        <v>2814.19</v>
      </c>
      <c r="O2059">
        <v>2814.19</v>
      </c>
      <c r="P2059" t="s">
        <v>2111</v>
      </c>
      <c r="Q2059" t="s">
        <v>498</v>
      </c>
    </row>
    <row r="2060" spans="1:17" x14ac:dyDescent="0.3">
      <c r="A2060" t="s">
        <v>1970</v>
      </c>
      <c r="B2060" t="s">
        <v>1969</v>
      </c>
      <c r="C2060" s="1">
        <v>46191</v>
      </c>
      <c r="D2060" t="s">
        <v>16</v>
      </c>
      <c r="E2060" t="s">
        <v>42</v>
      </c>
      <c r="F2060" t="s">
        <v>31</v>
      </c>
      <c r="G2060" t="s">
        <v>149</v>
      </c>
      <c r="H2060" t="s">
        <v>150</v>
      </c>
      <c r="I2060" t="s">
        <v>37</v>
      </c>
      <c r="J2060">
        <v>2999</v>
      </c>
      <c r="K2060">
        <v>1</v>
      </c>
      <c r="L2060">
        <v>3090.93</v>
      </c>
      <c r="M2060">
        <v>772.73</v>
      </c>
      <c r="N2060">
        <v>3090.93</v>
      </c>
      <c r="O2060">
        <v>2318.1999999999998</v>
      </c>
      <c r="P2060" t="s">
        <v>2114</v>
      </c>
      <c r="Q2060" t="s">
        <v>1809</v>
      </c>
    </row>
    <row r="2061" spans="1:17" x14ac:dyDescent="0.3">
      <c r="A2061" t="s">
        <v>1483</v>
      </c>
      <c r="B2061" t="s">
        <v>876</v>
      </c>
      <c r="C2061" s="1">
        <v>46143</v>
      </c>
      <c r="D2061" t="s">
        <v>16</v>
      </c>
      <c r="E2061" t="s">
        <v>50</v>
      </c>
      <c r="F2061" t="s">
        <v>47</v>
      </c>
      <c r="G2061" t="s">
        <v>56</v>
      </c>
      <c r="H2061" t="s">
        <v>57</v>
      </c>
      <c r="I2061" t="s">
        <v>58</v>
      </c>
      <c r="J2061">
        <v>8999</v>
      </c>
      <c r="K2061">
        <v>1</v>
      </c>
      <c r="L2061">
        <v>8195.74</v>
      </c>
      <c r="M2061">
        <v>1639.15</v>
      </c>
      <c r="N2061">
        <v>8195.74</v>
      </c>
      <c r="O2061">
        <v>6556.59</v>
      </c>
      <c r="P2061" t="s">
        <v>2111</v>
      </c>
      <c r="Q2061" t="s">
        <v>1479</v>
      </c>
    </row>
    <row r="2062" spans="1:17" x14ac:dyDescent="0.3">
      <c r="A2062" t="s">
        <v>2916</v>
      </c>
      <c r="B2062" t="s">
        <v>1025</v>
      </c>
      <c r="C2062" s="1">
        <v>46201</v>
      </c>
      <c r="D2062" t="s">
        <v>16</v>
      </c>
      <c r="E2062" t="s">
        <v>17</v>
      </c>
      <c r="F2062" t="s">
        <v>31</v>
      </c>
      <c r="G2062" t="s">
        <v>51</v>
      </c>
      <c r="H2062" t="s">
        <v>52</v>
      </c>
      <c r="I2062" t="s">
        <v>20</v>
      </c>
      <c r="J2062">
        <v>999</v>
      </c>
      <c r="K2062">
        <v>1</v>
      </c>
      <c r="L2062">
        <v>961.72</v>
      </c>
      <c r="M2062">
        <v>192.34</v>
      </c>
      <c r="N2062">
        <v>961.72</v>
      </c>
      <c r="O2062">
        <v>769.38</v>
      </c>
      <c r="P2062" t="s">
        <v>2111</v>
      </c>
      <c r="Q2062" t="s">
        <v>1809</v>
      </c>
    </row>
    <row r="2063" spans="1:17" x14ac:dyDescent="0.3">
      <c r="A2063" t="s">
        <v>543</v>
      </c>
      <c r="B2063" t="s">
        <v>542</v>
      </c>
      <c r="C2063" s="1">
        <v>46058</v>
      </c>
      <c r="D2063" t="s">
        <v>16</v>
      </c>
      <c r="E2063" t="s">
        <v>17</v>
      </c>
      <c r="F2063" t="s">
        <v>74</v>
      </c>
      <c r="G2063" t="s">
        <v>27</v>
      </c>
      <c r="H2063" t="s">
        <v>28</v>
      </c>
      <c r="I2063" t="s">
        <v>29</v>
      </c>
      <c r="J2063">
        <v>1599</v>
      </c>
      <c r="K2063">
        <v>2</v>
      </c>
      <c r="L2063">
        <v>1486.89</v>
      </c>
      <c r="M2063">
        <v>446.07</v>
      </c>
      <c r="N2063">
        <v>2973.78</v>
      </c>
      <c r="O2063">
        <v>2527.71</v>
      </c>
      <c r="P2063" t="s">
        <v>2111</v>
      </c>
      <c r="Q2063" t="s">
        <v>498</v>
      </c>
    </row>
    <row r="2064" spans="1:17" x14ac:dyDescent="0.3">
      <c r="A2064" t="s">
        <v>214</v>
      </c>
      <c r="B2064" t="s">
        <v>213</v>
      </c>
      <c r="C2064" s="1">
        <v>46032</v>
      </c>
      <c r="D2064" t="s">
        <v>34</v>
      </c>
      <c r="E2064" t="s">
        <v>42</v>
      </c>
      <c r="F2064" t="s">
        <v>31</v>
      </c>
      <c r="G2064" t="s">
        <v>101</v>
      </c>
      <c r="H2064" t="s">
        <v>102</v>
      </c>
      <c r="I2064" t="s">
        <v>45</v>
      </c>
      <c r="J2064">
        <v>4999</v>
      </c>
      <c r="K2064">
        <v>2</v>
      </c>
      <c r="L2064">
        <v>5079.16</v>
      </c>
      <c r="M2064">
        <v>507.92</v>
      </c>
      <c r="N2064">
        <v>10158.32</v>
      </c>
      <c r="O2064">
        <v>9650.4</v>
      </c>
      <c r="P2064" t="s">
        <v>2111</v>
      </c>
      <c r="Q2064" t="s">
        <v>23</v>
      </c>
    </row>
    <row r="2065" spans="1:17" x14ac:dyDescent="0.3">
      <c r="A2065" t="s">
        <v>955</v>
      </c>
      <c r="B2065" t="s">
        <v>598</v>
      </c>
      <c r="C2065" s="1">
        <v>46093</v>
      </c>
      <c r="D2065" t="s">
        <v>16</v>
      </c>
      <c r="E2065" t="s">
        <v>50</v>
      </c>
      <c r="F2065" t="s">
        <v>22</v>
      </c>
      <c r="G2065" t="s">
        <v>91</v>
      </c>
      <c r="H2065" t="s">
        <v>92</v>
      </c>
      <c r="I2065" t="s">
        <v>37</v>
      </c>
      <c r="J2065">
        <v>1899</v>
      </c>
      <c r="K2065">
        <v>2</v>
      </c>
      <c r="L2065">
        <v>1960.44</v>
      </c>
      <c r="M2065">
        <v>784.18</v>
      </c>
      <c r="N2065">
        <v>3920.88</v>
      </c>
      <c r="O2065">
        <v>3136.7</v>
      </c>
      <c r="P2065" t="s">
        <v>2111</v>
      </c>
      <c r="Q2065" t="s">
        <v>789</v>
      </c>
    </row>
    <row r="2066" spans="1:17" x14ac:dyDescent="0.3">
      <c r="A2066" t="s">
        <v>1247</v>
      </c>
      <c r="B2066" t="s">
        <v>987</v>
      </c>
      <c r="C2066" s="1">
        <v>46121</v>
      </c>
      <c r="D2066" t="s">
        <v>41</v>
      </c>
      <c r="E2066" t="s">
        <v>17</v>
      </c>
      <c r="F2066" t="s">
        <v>31</v>
      </c>
      <c r="G2066" t="s">
        <v>355</v>
      </c>
      <c r="H2066" t="s">
        <v>356</v>
      </c>
      <c r="I2066" t="s">
        <v>82</v>
      </c>
      <c r="J2066">
        <v>499</v>
      </c>
      <c r="K2066">
        <v>1</v>
      </c>
      <c r="L2066">
        <v>521.07000000000005</v>
      </c>
      <c r="M2066">
        <v>26.05</v>
      </c>
      <c r="N2066">
        <v>521.07000000000005</v>
      </c>
      <c r="O2066">
        <v>495.02</v>
      </c>
      <c r="P2066" t="s">
        <v>2111</v>
      </c>
      <c r="Q2066" t="s">
        <v>1170</v>
      </c>
    </row>
    <row r="2067" spans="1:17" x14ac:dyDescent="0.3">
      <c r="A2067" t="s">
        <v>2852</v>
      </c>
      <c r="B2067" t="s">
        <v>879</v>
      </c>
      <c r="C2067" s="1">
        <v>46080</v>
      </c>
      <c r="D2067" t="s">
        <v>34</v>
      </c>
      <c r="E2067" t="s">
        <v>50</v>
      </c>
      <c r="F2067" t="s">
        <v>31</v>
      </c>
      <c r="G2067" t="s">
        <v>112</v>
      </c>
      <c r="H2067" t="s">
        <v>113</v>
      </c>
      <c r="I2067" t="s">
        <v>37</v>
      </c>
      <c r="J2067">
        <v>1499</v>
      </c>
      <c r="K2067">
        <v>1</v>
      </c>
      <c r="L2067">
        <v>1425.62</v>
      </c>
      <c r="M2067">
        <v>142.56</v>
      </c>
      <c r="N2067">
        <v>1425.62</v>
      </c>
      <c r="O2067">
        <v>1283.06</v>
      </c>
      <c r="P2067" t="s">
        <v>2111</v>
      </c>
      <c r="Q2067" t="s">
        <v>498</v>
      </c>
    </row>
    <row r="2068" spans="1:17" x14ac:dyDescent="0.3">
      <c r="A2068" t="s">
        <v>1596</v>
      </c>
      <c r="B2068" t="s">
        <v>1595</v>
      </c>
      <c r="C2068" s="1">
        <v>46153</v>
      </c>
      <c r="D2068" t="s">
        <v>34</v>
      </c>
      <c r="E2068" t="s">
        <v>17</v>
      </c>
      <c r="F2068" t="s">
        <v>31</v>
      </c>
      <c r="G2068" t="s">
        <v>149</v>
      </c>
      <c r="H2068" t="s">
        <v>150</v>
      </c>
      <c r="I2068" t="s">
        <v>37</v>
      </c>
      <c r="J2068">
        <v>2999</v>
      </c>
      <c r="K2068">
        <v>1</v>
      </c>
      <c r="L2068">
        <v>2752.63</v>
      </c>
      <c r="M2068">
        <v>0</v>
      </c>
      <c r="N2068">
        <v>2752.63</v>
      </c>
      <c r="O2068">
        <v>2752.63</v>
      </c>
      <c r="P2068" t="s">
        <v>2111</v>
      </c>
      <c r="Q2068" t="s">
        <v>1479</v>
      </c>
    </row>
    <row r="2069" spans="1:17" x14ac:dyDescent="0.3">
      <c r="A2069" t="s">
        <v>740</v>
      </c>
      <c r="B2069" t="s">
        <v>739</v>
      </c>
      <c r="C2069" s="1">
        <v>46077</v>
      </c>
      <c r="D2069" t="s">
        <v>26</v>
      </c>
      <c r="E2069" t="s">
        <v>17</v>
      </c>
      <c r="F2069" t="s">
        <v>60</v>
      </c>
      <c r="G2069" t="s">
        <v>112</v>
      </c>
      <c r="H2069" t="s">
        <v>113</v>
      </c>
      <c r="I2069" t="s">
        <v>37</v>
      </c>
      <c r="J2069">
        <v>1499</v>
      </c>
      <c r="K2069">
        <v>1</v>
      </c>
      <c r="L2069">
        <v>1372.69</v>
      </c>
      <c r="M2069">
        <v>274.54000000000002</v>
      </c>
      <c r="N2069">
        <v>1372.69</v>
      </c>
      <c r="O2069">
        <v>1098.1500000000001</v>
      </c>
      <c r="P2069" t="s">
        <v>2111</v>
      </c>
      <c r="Q2069" t="s">
        <v>498</v>
      </c>
    </row>
    <row r="2070" spans="1:17" x14ac:dyDescent="0.3">
      <c r="A2070" t="s">
        <v>353</v>
      </c>
      <c r="B2070" t="s">
        <v>352</v>
      </c>
      <c r="C2070" s="1">
        <v>46041</v>
      </c>
      <c r="D2070" t="s">
        <v>34</v>
      </c>
      <c r="E2070" t="s">
        <v>17</v>
      </c>
      <c r="F2070" t="s">
        <v>22</v>
      </c>
      <c r="G2070" t="s">
        <v>43</v>
      </c>
      <c r="H2070" t="s">
        <v>44</v>
      </c>
      <c r="I2070" t="s">
        <v>45</v>
      </c>
      <c r="J2070">
        <v>3299</v>
      </c>
      <c r="K2070">
        <v>1</v>
      </c>
      <c r="L2070">
        <v>3250.27</v>
      </c>
      <c r="M2070">
        <v>0</v>
      </c>
      <c r="N2070">
        <v>3250.27</v>
      </c>
      <c r="O2070">
        <v>3250.27</v>
      </c>
      <c r="P2070" t="s">
        <v>2111</v>
      </c>
      <c r="Q2070" t="s">
        <v>23</v>
      </c>
    </row>
    <row r="2071" spans="1:17" x14ac:dyDescent="0.3">
      <c r="A2071" t="s">
        <v>2626</v>
      </c>
      <c r="B2071" t="s">
        <v>2627</v>
      </c>
      <c r="C2071" s="1">
        <v>46176</v>
      </c>
      <c r="D2071" t="s">
        <v>16</v>
      </c>
      <c r="E2071" t="s">
        <v>17</v>
      </c>
      <c r="F2071" t="s">
        <v>74</v>
      </c>
      <c r="G2071" t="s">
        <v>27</v>
      </c>
      <c r="H2071" t="s">
        <v>28</v>
      </c>
      <c r="I2071" t="s">
        <v>29</v>
      </c>
      <c r="J2071">
        <v>1599</v>
      </c>
      <c r="K2071">
        <v>1</v>
      </c>
      <c r="L2071">
        <v>1741.58</v>
      </c>
      <c r="M2071">
        <v>87.08</v>
      </c>
      <c r="N2071">
        <v>1741.58</v>
      </c>
      <c r="O2071">
        <v>1654.5</v>
      </c>
      <c r="P2071" t="s">
        <v>2111</v>
      </c>
      <c r="Q2071" t="s">
        <v>1809</v>
      </c>
    </row>
    <row r="2072" spans="1:17" x14ac:dyDescent="0.3">
      <c r="A2072" t="s">
        <v>2917</v>
      </c>
      <c r="B2072" t="s">
        <v>2918</v>
      </c>
      <c r="C2072" s="1">
        <v>46095</v>
      </c>
      <c r="D2072" t="s">
        <v>26</v>
      </c>
      <c r="E2072" t="s">
        <v>42</v>
      </c>
      <c r="F2072" t="s">
        <v>47</v>
      </c>
      <c r="G2072" t="s">
        <v>91</v>
      </c>
      <c r="H2072" t="s">
        <v>92</v>
      </c>
      <c r="I2072" t="s">
        <v>37</v>
      </c>
      <c r="J2072">
        <v>1899</v>
      </c>
      <c r="K2072">
        <v>4</v>
      </c>
      <c r="L2072">
        <v>1791.79</v>
      </c>
      <c r="M2072">
        <v>716.72</v>
      </c>
      <c r="N2072">
        <v>7167.16</v>
      </c>
      <c r="O2072">
        <v>6450.44</v>
      </c>
      <c r="P2072" t="s">
        <v>2111</v>
      </c>
      <c r="Q2072" t="s">
        <v>789</v>
      </c>
    </row>
    <row r="2073" spans="1:17" x14ac:dyDescent="0.3">
      <c r="A2073" t="s">
        <v>2734</v>
      </c>
      <c r="B2073" t="s">
        <v>2735</v>
      </c>
      <c r="C2073" s="1">
        <v>46068</v>
      </c>
      <c r="D2073" t="s">
        <v>41</v>
      </c>
      <c r="E2073" t="s">
        <v>17</v>
      </c>
      <c r="F2073" t="s">
        <v>60</v>
      </c>
      <c r="G2073" t="s">
        <v>51</v>
      </c>
      <c r="H2073" t="s">
        <v>52</v>
      </c>
      <c r="I2073" t="s">
        <v>20</v>
      </c>
      <c r="J2073">
        <v>999</v>
      </c>
      <c r="K2073">
        <v>1</v>
      </c>
      <c r="L2073">
        <v>950.4</v>
      </c>
      <c r="M2073">
        <v>142.56</v>
      </c>
      <c r="N2073">
        <v>950.4</v>
      </c>
      <c r="O2073">
        <v>807.84</v>
      </c>
      <c r="P2073" t="s">
        <v>2111</v>
      </c>
      <c r="Q2073" t="s">
        <v>498</v>
      </c>
    </row>
    <row r="2074" spans="1:17" x14ac:dyDescent="0.3">
      <c r="A2074" t="s">
        <v>1860</v>
      </c>
      <c r="B2074" t="s">
        <v>1859</v>
      </c>
      <c r="C2074" s="1">
        <v>46177</v>
      </c>
      <c r="D2074" t="s">
        <v>26</v>
      </c>
      <c r="E2074" t="s">
        <v>42</v>
      </c>
      <c r="F2074" t="s">
        <v>47</v>
      </c>
      <c r="G2074" t="s">
        <v>80</v>
      </c>
      <c r="H2074" t="s">
        <v>81</v>
      </c>
      <c r="I2074" t="s">
        <v>82</v>
      </c>
      <c r="J2074">
        <v>4299</v>
      </c>
      <c r="K2074">
        <v>1</v>
      </c>
      <c r="L2074">
        <v>3955.84</v>
      </c>
      <c r="M2074">
        <v>395.58</v>
      </c>
      <c r="N2074">
        <v>3955.84</v>
      </c>
      <c r="O2074">
        <v>3560.26</v>
      </c>
      <c r="P2074" t="s">
        <v>2111</v>
      </c>
      <c r="Q2074" t="s">
        <v>1809</v>
      </c>
    </row>
    <row r="2075" spans="1:17" x14ac:dyDescent="0.3">
      <c r="A2075" t="s">
        <v>2832</v>
      </c>
      <c r="B2075" t="s">
        <v>2833</v>
      </c>
      <c r="C2075" s="1">
        <v>46170</v>
      </c>
      <c r="D2075" t="s">
        <v>41</v>
      </c>
      <c r="E2075" t="s">
        <v>50</v>
      </c>
      <c r="F2075" t="s">
        <v>47</v>
      </c>
      <c r="G2075" t="s">
        <v>18</v>
      </c>
      <c r="H2075" t="s">
        <v>19</v>
      </c>
      <c r="I2075" t="s">
        <v>20</v>
      </c>
      <c r="J2075">
        <v>2799</v>
      </c>
      <c r="K2075">
        <v>2</v>
      </c>
      <c r="L2075">
        <v>2858.1</v>
      </c>
      <c r="M2075">
        <v>285.81</v>
      </c>
      <c r="N2075">
        <v>5716.2</v>
      </c>
      <c r="O2075">
        <v>5430.39</v>
      </c>
      <c r="P2075" t="s">
        <v>2111</v>
      </c>
      <c r="Q2075" t="s">
        <v>1479</v>
      </c>
    </row>
    <row r="2076" spans="1:17" x14ac:dyDescent="0.3">
      <c r="A2076" t="s">
        <v>377</v>
      </c>
      <c r="B2076" t="s">
        <v>343</v>
      </c>
      <c r="C2076" s="1">
        <v>46043</v>
      </c>
      <c r="D2076" t="s">
        <v>26</v>
      </c>
      <c r="E2076" t="s">
        <v>17</v>
      </c>
      <c r="F2076" t="s">
        <v>74</v>
      </c>
      <c r="G2076" t="s">
        <v>56</v>
      </c>
      <c r="H2076" t="s">
        <v>57</v>
      </c>
      <c r="I2076" t="s">
        <v>58</v>
      </c>
      <c r="J2076">
        <v>8999</v>
      </c>
      <c r="K2076">
        <v>1</v>
      </c>
      <c r="L2076">
        <v>9322.74</v>
      </c>
      <c r="M2076">
        <v>0</v>
      </c>
      <c r="N2076">
        <v>9322.74</v>
      </c>
      <c r="O2076">
        <v>9322.74</v>
      </c>
      <c r="P2076" t="s">
        <v>2111</v>
      </c>
      <c r="Q2076" t="s">
        <v>23</v>
      </c>
    </row>
    <row r="2077" spans="1:17" x14ac:dyDescent="0.3">
      <c r="A2077" t="s">
        <v>1002</v>
      </c>
      <c r="B2077" t="s">
        <v>1001</v>
      </c>
      <c r="C2077" s="1">
        <v>46097</v>
      </c>
      <c r="D2077" t="s">
        <v>26</v>
      </c>
      <c r="E2077" t="s">
        <v>17</v>
      </c>
      <c r="F2077" t="s">
        <v>60</v>
      </c>
      <c r="G2077" t="s">
        <v>43</v>
      </c>
      <c r="H2077" t="s">
        <v>44</v>
      </c>
      <c r="I2077" t="s">
        <v>45</v>
      </c>
      <c r="J2077">
        <v>3299</v>
      </c>
      <c r="K2077">
        <v>2</v>
      </c>
      <c r="L2077">
        <v>3393.31</v>
      </c>
      <c r="M2077">
        <v>1017.99</v>
      </c>
      <c r="N2077">
        <v>6786.62</v>
      </c>
      <c r="O2077">
        <v>5768.63</v>
      </c>
      <c r="P2077" t="s">
        <v>2111</v>
      </c>
      <c r="Q2077" t="s">
        <v>789</v>
      </c>
    </row>
    <row r="2078" spans="1:17" x14ac:dyDescent="0.3">
      <c r="A2078" t="s">
        <v>2919</v>
      </c>
      <c r="B2078" t="s">
        <v>2478</v>
      </c>
      <c r="C2078" s="1">
        <v>46178</v>
      </c>
      <c r="D2078" t="s">
        <v>34</v>
      </c>
      <c r="E2078" t="s">
        <v>50</v>
      </c>
      <c r="F2078" t="s">
        <v>60</v>
      </c>
      <c r="G2078" t="s">
        <v>56</v>
      </c>
      <c r="H2078" t="s">
        <v>57</v>
      </c>
      <c r="I2078" t="s">
        <v>58</v>
      </c>
      <c r="J2078">
        <v>8999</v>
      </c>
      <c r="K2078">
        <v>2</v>
      </c>
      <c r="L2078">
        <v>9648.9599999999991</v>
      </c>
      <c r="M2078">
        <v>4824.4799999999996</v>
      </c>
      <c r="N2078">
        <v>19297.919999999998</v>
      </c>
      <c r="O2078">
        <v>14473.44</v>
      </c>
      <c r="P2078" t="s">
        <v>2111</v>
      </c>
      <c r="Q2078" t="s">
        <v>1809</v>
      </c>
    </row>
    <row r="2079" spans="1:17" x14ac:dyDescent="0.3">
      <c r="A2079" t="s">
        <v>1161</v>
      </c>
      <c r="B2079" t="s">
        <v>1160</v>
      </c>
      <c r="C2079" s="1">
        <v>46112</v>
      </c>
      <c r="D2079" t="s">
        <v>34</v>
      </c>
      <c r="E2079" t="s">
        <v>42</v>
      </c>
      <c r="F2079" t="s">
        <v>47</v>
      </c>
      <c r="G2079" t="s">
        <v>106</v>
      </c>
      <c r="H2079" t="s">
        <v>107</v>
      </c>
      <c r="I2079" t="s">
        <v>108</v>
      </c>
      <c r="J2079">
        <v>599</v>
      </c>
      <c r="K2079">
        <v>3</v>
      </c>
      <c r="L2079">
        <v>597.37</v>
      </c>
      <c r="M2079">
        <v>268.82</v>
      </c>
      <c r="N2079">
        <v>1792.11</v>
      </c>
      <c r="O2079">
        <v>1523.29</v>
      </c>
      <c r="P2079" t="s">
        <v>2111</v>
      </c>
      <c r="Q2079" t="s">
        <v>789</v>
      </c>
    </row>
    <row r="2080" spans="1:17" x14ac:dyDescent="0.3">
      <c r="A2080" t="s">
        <v>1740</v>
      </c>
      <c r="B2080" t="s">
        <v>479</v>
      </c>
      <c r="C2080" s="1">
        <v>46166</v>
      </c>
      <c r="D2080" t="s">
        <v>34</v>
      </c>
      <c r="E2080" t="s">
        <v>17</v>
      </c>
      <c r="F2080" t="s">
        <v>22</v>
      </c>
      <c r="G2080" t="s">
        <v>18</v>
      </c>
      <c r="H2080" t="s">
        <v>19</v>
      </c>
      <c r="I2080" t="s">
        <v>20</v>
      </c>
      <c r="J2080">
        <v>2799</v>
      </c>
      <c r="K2080">
        <v>1</v>
      </c>
      <c r="L2080">
        <v>2594.37</v>
      </c>
      <c r="M2080">
        <v>259.44</v>
      </c>
      <c r="N2080">
        <v>2594.37</v>
      </c>
      <c r="O2080">
        <v>2334.9299999999998</v>
      </c>
      <c r="P2080" t="s">
        <v>2111</v>
      </c>
      <c r="Q2080" t="s">
        <v>1479</v>
      </c>
    </row>
    <row r="2081" spans="1:17" x14ac:dyDescent="0.3">
      <c r="A2081" t="s">
        <v>2468</v>
      </c>
      <c r="B2081" t="s">
        <v>2353</v>
      </c>
      <c r="C2081" s="1">
        <v>46186</v>
      </c>
      <c r="D2081" t="s">
        <v>26</v>
      </c>
      <c r="E2081" t="s">
        <v>50</v>
      </c>
      <c r="F2081" t="s">
        <v>22</v>
      </c>
      <c r="G2081" t="s">
        <v>126</v>
      </c>
      <c r="H2081" t="s">
        <v>127</v>
      </c>
      <c r="I2081" t="s">
        <v>45</v>
      </c>
      <c r="J2081">
        <v>2499</v>
      </c>
      <c r="K2081">
        <v>2</v>
      </c>
      <c r="L2081">
        <v>2393.7399999999998</v>
      </c>
      <c r="M2081">
        <v>957.5</v>
      </c>
      <c r="N2081">
        <v>4787.4799999999996</v>
      </c>
      <c r="O2081">
        <v>3829.98</v>
      </c>
      <c r="P2081" t="s">
        <v>2111</v>
      </c>
      <c r="Q2081" t="s">
        <v>1809</v>
      </c>
    </row>
    <row r="2082" spans="1:17" x14ac:dyDescent="0.3">
      <c r="A2082" t="s">
        <v>1037</v>
      </c>
      <c r="B2082" t="s">
        <v>791</v>
      </c>
      <c r="C2082" s="1">
        <v>46100</v>
      </c>
      <c r="D2082" t="s">
        <v>63</v>
      </c>
      <c r="E2082" t="s">
        <v>17</v>
      </c>
      <c r="F2082" t="s">
        <v>74</v>
      </c>
      <c r="G2082" t="s">
        <v>18</v>
      </c>
      <c r="H2082" t="s">
        <v>19</v>
      </c>
      <c r="I2082" t="s">
        <v>20</v>
      </c>
      <c r="J2082">
        <v>2799</v>
      </c>
      <c r="K2082">
        <v>1</v>
      </c>
      <c r="L2082">
        <v>2889.93</v>
      </c>
      <c r="M2082">
        <v>288.99</v>
      </c>
      <c r="N2082">
        <v>2889.93</v>
      </c>
      <c r="O2082">
        <v>2600.94</v>
      </c>
      <c r="P2082" t="s">
        <v>2111</v>
      </c>
      <c r="Q2082" t="s">
        <v>789</v>
      </c>
    </row>
    <row r="2083" spans="1:17" x14ac:dyDescent="0.3">
      <c r="A2083" t="s">
        <v>1214</v>
      </c>
      <c r="B2083" t="s">
        <v>1213</v>
      </c>
      <c r="C2083" s="1">
        <v>46118</v>
      </c>
      <c r="D2083" t="s">
        <v>26</v>
      </c>
      <c r="E2083" t="s">
        <v>17</v>
      </c>
      <c r="F2083" t="s">
        <v>74</v>
      </c>
      <c r="G2083" t="s">
        <v>18</v>
      </c>
      <c r="H2083" t="s">
        <v>19</v>
      </c>
      <c r="I2083" t="s">
        <v>20</v>
      </c>
      <c r="J2083">
        <v>2799</v>
      </c>
      <c r="K2083">
        <v>2</v>
      </c>
      <c r="L2083">
        <v>2862.33</v>
      </c>
      <c r="M2083">
        <v>572.47</v>
      </c>
      <c r="N2083">
        <v>5724.66</v>
      </c>
      <c r="O2083">
        <v>5152.1899999999996</v>
      </c>
      <c r="P2083" t="s">
        <v>2111</v>
      </c>
      <c r="Q2083" t="s">
        <v>1170</v>
      </c>
    </row>
    <row r="2084" spans="1:17" x14ac:dyDescent="0.3">
      <c r="A2084" t="s">
        <v>2830</v>
      </c>
      <c r="B2084" t="s">
        <v>2831</v>
      </c>
      <c r="C2084" s="1">
        <v>46074</v>
      </c>
      <c r="D2084" t="s">
        <v>41</v>
      </c>
      <c r="E2084" t="s">
        <v>17</v>
      </c>
      <c r="F2084" t="s">
        <v>22</v>
      </c>
      <c r="G2084" t="s">
        <v>27</v>
      </c>
      <c r="H2084" t="s">
        <v>28</v>
      </c>
      <c r="I2084" t="s">
        <v>29</v>
      </c>
      <c r="J2084">
        <v>1599</v>
      </c>
      <c r="K2084">
        <v>1</v>
      </c>
      <c r="L2084">
        <v>1608.91</v>
      </c>
      <c r="M2084">
        <v>160.88999999999999</v>
      </c>
      <c r="N2084">
        <v>1608.91</v>
      </c>
      <c r="O2084">
        <v>1448.02</v>
      </c>
      <c r="P2084" t="s">
        <v>2111</v>
      </c>
      <c r="Q2084" t="s">
        <v>498</v>
      </c>
    </row>
    <row r="2085" spans="1:17" x14ac:dyDescent="0.3">
      <c r="A2085" t="s">
        <v>2656</v>
      </c>
      <c r="B2085" t="s">
        <v>919</v>
      </c>
      <c r="C2085" s="1">
        <v>46116</v>
      </c>
      <c r="D2085" t="s">
        <v>26</v>
      </c>
      <c r="E2085" t="s">
        <v>17</v>
      </c>
      <c r="F2085" t="s">
        <v>74</v>
      </c>
      <c r="G2085" t="s">
        <v>106</v>
      </c>
      <c r="H2085" t="s">
        <v>107</v>
      </c>
      <c r="I2085" t="s">
        <v>108</v>
      </c>
      <c r="J2085">
        <v>599</v>
      </c>
      <c r="K2085">
        <v>1</v>
      </c>
      <c r="L2085">
        <v>620.91999999999996</v>
      </c>
      <c r="M2085">
        <v>62.09</v>
      </c>
      <c r="N2085">
        <v>620.91999999999996</v>
      </c>
      <c r="O2085">
        <v>558.83000000000004</v>
      </c>
      <c r="P2085" t="s">
        <v>2111</v>
      </c>
      <c r="Q2085" t="s">
        <v>1170</v>
      </c>
    </row>
    <row r="2086" spans="1:17" x14ac:dyDescent="0.3">
      <c r="A2086" t="s">
        <v>1458</v>
      </c>
      <c r="B2086" t="s">
        <v>1457</v>
      </c>
      <c r="C2086" s="1">
        <v>46141</v>
      </c>
      <c r="D2086" t="s">
        <v>16</v>
      </c>
      <c r="E2086" t="s">
        <v>17</v>
      </c>
      <c r="F2086" t="s">
        <v>60</v>
      </c>
      <c r="G2086" t="s">
        <v>43</v>
      </c>
      <c r="H2086" t="s">
        <v>44</v>
      </c>
      <c r="I2086" t="s">
        <v>45</v>
      </c>
      <c r="J2086">
        <v>3299</v>
      </c>
      <c r="K2086">
        <v>1</v>
      </c>
      <c r="L2086">
        <v>3389.65</v>
      </c>
      <c r="M2086">
        <v>508.45</v>
      </c>
      <c r="N2086">
        <v>3389.65</v>
      </c>
      <c r="O2086">
        <v>2881.2</v>
      </c>
      <c r="P2086" t="s">
        <v>2111</v>
      </c>
      <c r="Q2086" t="s">
        <v>1170</v>
      </c>
    </row>
    <row r="2087" spans="1:17" x14ac:dyDescent="0.3">
      <c r="A2087" t="s">
        <v>1415</v>
      </c>
      <c r="B2087" t="s">
        <v>1414</v>
      </c>
      <c r="C2087" s="1">
        <v>46137</v>
      </c>
      <c r="D2087" t="s">
        <v>26</v>
      </c>
      <c r="E2087" t="s">
        <v>50</v>
      </c>
      <c r="F2087" t="s">
        <v>47</v>
      </c>
      <c r="G2087" t="s">
        <v>27</v>
      </c>
      <c r="H2087" t="s">
        <v>28</v>
      </c>
      <c r="I2087" t="s">
        <v>29</v>
      </c>
      <c r="J2087">
        <v>1599</v>
      </c>
      <c r="K2087">
        <v>1</v>
      </c>
      <c r="L2087">
        <v>1720.95</v>
      </c>
      <c r="M2087">
        <v>172.1</v>
      </c>
      <c r="N2087">
        <v>1720.95</v>
      </c>
      <c r="O2087">
        <v>1548.85</v>
      </c>
      <c r="P2087" t="s">
        <v>2111</v>
      </c>
      <c r="Q2087" t="s">
        <v>1170</v>
      </c>
    </row>
    <row r="2088" spans="1:17" x14ac:dyDescent="0.3">
      <c r="A2088" t="s">
        <v>1237</v>
      </c>
      <c r="B2088" t="s">
        <v>1236</v>
      </c>
      <c r="C2088" s="1">
        <v>46121</v>
      </c>
      <c r="D2088" t="s">
        <v>26</v>
      </c>
      <c r="E2088" t="s">
        <v>50</v>
      </c>
      <c r="F2088" t="s">
        <v>74</v>
      </c>
      <c r="G2088" t="s">
        <v>80</v>
      </c>
      <c r="H2088" t="s">
        <v>81</v>
      </c>
      <c r="I2088" t="s">
        <v>82</v>
      </c>
      <c r="J2088">
        <v>4299</v>
      </c>
      <c r="K2088">
        <v>2</v>
      </c>
      <c r="L2088">
        <v>4372.96</v>
      </c>
      <c r="M2088">
        <v>437.3</v>
      </c>
      <c r="N2088">
        <v>8745.92</v>
      </c>
      <c r="O2088">
        <v>8308.6200000000008</v>
      </c>
      <c r="P2088" t="s">
        <v>2111</v>
      </c>
      <c r="Q2088" t="s">
        <v>1170</v>
      </c>
    </row>
    <row r="2089" spans="1:17" x14ac:dyDescent="0.3">
      <c r="A2089" t="s">
        <v>2920</v>
      </c>
      <c r="B2089" t="s">
        <v>424</v>
      </c>
      <c r="C2089" s="1">
        <v>46032</v>
      </c>
      <c r="D2089" t="s">
        <v>63</v>
      </c>
      <c r="E2089" t="s">
        <v>17</v>
      </c>
      <c r="F2089" t="s">
        <v>22</v>
      </c>
      <c r="G2089" t="s">
        <v>80</v>
      </c>
      <c r="H2089" t="s">
        <v>81</v>
      </c>
      <c r="I2089" t="s">
        <v>82</v>
      </c>
      <c r="J2089">
        <v>4299</v>
      </c>
      <c r="K2089">
        <v>2</v>
      </c>
      <c r="L2089">
        <v>4538.54</v>
      </c>
      <c r="M2089">
        <v>453.85</v>
      </c>
      <c r="N2089">
        <v>9077.08</v>
      </c>
      <c r="O2089">
        <v>8623.23</v>
      </c>
      <c r="P2089" t="s">
        <v>2111</v>
      </c>
      <c r="Q2089" t="s">
        <v>23</v>
      </c>
    </row>
    <row r="2090" spans="1:17" x14ac:dyDescent="0.3">
      <c r="A2090" t="s">
        <v>2278</v>
      </c>
      <c r="B2090" t="s">
        <v>2279</v>
      </c>
      <c r="C2090" s="1">
        <v>46121</v>
      </c>
      <c r="D2090" t="s">
        <v>63</v>
      </c>
      <c r="E2090" t="s">
        <v>17</v>
      </c>
      <c r="F2090" t="s">
        <v>31</v>
      </c>
      <c r="G2090" t="s">
        <v>165</v>
      </c>
      <c r="H2090" t="s">
        <v>166</v>
      </c>
      <c r="I2090" t="s">
        <v>29</v>
      </c>
      <c r="J2090">
        <v>449</v>
      </c>
      <c r="K2090">
        <v>2</v>
      </c>
      <c r="L2090">
        <v>426.43</v>
      </c>
      <c r="M2090">
        <v>0</v>
      </c>
      <c r="N2090">
        <v>852.86</v>
      </c>
      <c r="O2090">
        <v>852.86</v>
      </c>
      <c r="P2090" t="s">
        <v>2111</v>
      </c>
      <c r="Q2090" t="s">
        <v>1170</v>
      </c>
    </row>
    <row r="2091" spans="1:17" x14ac:dyDescent="0.3">
      <c r="A2091" t="s">
        <v>1447</v>
      </c>
      <c r="B2091" t="s">
        <v>1446</v>
      </c>
      <c r="C2091" s="1">
        <v>46140</v>
      </c>
      <c r="D2091" t="s">
        <v>41</v>
      </c>
      <c r="E2091" t="s">
        <v>17</v>
      </c>
      <c r="F2091" t="s">
        <v>74</v>
      </c>
      <c r="G2091" t="s">
        <v>149</v>
      </c>
      <c r="H2091" t="s">
        <v>150</v>
      </c>
      <c r="I2091" t="s">
        <v>37</v>
      </c>
      <c r="J2091">
        <v>2999</v>
      </c>
      <c r="K2091">
        <v>1</v>
      </c>
      <c r="L2091">
        <v>3105.87</v>
      </c>
      <c r="M2091">
        <v>310.58999999999997</v>
      </c>
      <c r="N2091">
        <v>3105.87</v>
      </c>
      <c r="O2091">
        <v>2795.28</v>
      </c>
      <c r="P2091" t="s">
        <v>2111</v>
      </c>
      <c r="Q2091" t="s">
        <v>1170</v>
      </c>
    </row>
    <row r="2092" spans="1:17" x14ac:dyDescent="0.3">
      <c r="A2092" t="s">
        <v>2794</v>
      </c>
      <c r="B2092" t="s">
        <v>55</v>
      </c>
      <c r="C2092" s="1">
        <v>46121</v>
      </c>
      <c r="D2092" t="s">
        <v>16</v>
      </c>
      <c r="E2092" t="s">
        <v>42</v>
      </c>
      <c r="F2092" t="s">
        <v>22</v>
      </c>
      <c r="G2092" t="s">
        <v>96</v>
      </c>
      <c r="H2092" t="s">
        <v>97</v>
      </c>
      <c r="I2092" t="s">
        <v>58</v>
      </c>
      <c r="J2092">
        <v>7499</v>
      </c>
      <c r="K2092">
        <v>2</v>
      </c>
      <c r="L2092">
        <v>8102.21</v>
      </c>
      <c r="M2092">
        <v>810.22</v>
      </c>
      <c r="N2092">
        <v>16204.42</v>
      </c>
      <c r="O2092">
        <v>15394.2</v>
      </c>
      <c r="P2092" t="s">
        <v>2111</v>
      </c>
      <c r="Q2092" t="s">
        <v>1170</v>
      </c>
    </row>
    <row r="2093" spans="1:17" x14ac:dyDescent="0.3">
      <c r="A2093" t="s">
        <v>2066</v>
      </c>
      <c r="B2093" t="s">
        <v>371</v>
      </c>
      <c r="C2093" s="1">
        <v>46200</v>
      </c>
      <c r="D2093" t="s">
        <v>26</v>
      </c>
      <c r="E2093" t="s">
        <v>17</v>
      </c>
      <c r="F2093" t="s">
        <v>60</v>
      </c>
      <c r="G2093" t="s">
        <v>106</v>
      </c>
      <c r="H2093" t="s">
        <v>107</v>
      </c>
      <c r="I2093" t="s">
        <v>108</v>
      </c>
      <c r="J2093">
        <v>599</v>
      </c>
      <c r="K2093">
        <v>1</v>
      </c>
      <c r="L2093">
        <v>585.30999999999995</v>
      </c>
      <c r="M2093">
        <v>0</v>
      </c>
      <c r="N2093">
        <v>585.30999999999995</v>
      </c>
      <c r="O2093">
        <v>585.30999999999995</v>
      </c>
      <c r="P2093" t="s">
        <v>2111</v>
      </c>
      <c r="Q2093" t="s">
        <v>1809</v>
      </c>
    </row>
    <row r="2094" spans="1:17" x14ac:dyDescent="0.3">
      <c r="A2094" t="s">
        <v>2907</v>
      </c>
      <c r="B2094" t="s">
        <v>2908</v>
      </c>
      <c r="C2094" s="1">
        <v>46112</v>
      </c>
      <c r="D2094" t="s">
        <v>16</v>
      </c>
      <c r="E2094" t="s">
        <v>17</v>
      </c>
      <c r="F2094" t="s">
        <v>74</v>
      </c>
      <c r="G2094" t="s">
        <v>160</v>
      </c>
      <c r="H2094" t="s">
        <v>161</v>
      </c>
      <c r="I2094" t="s">
        <v>82</v>
      </c>
      <c r="J2094">
        <v>799</v>
      </c>
      <c r="K2094">
        <v>3</v>
      </c>
      <c r="L2094">
        <v>843.6</v>
      </c>
      <c r="M2094">
        <v>379.62</v>
      </c>
      <c r="N2094">
        <v>2530.8000000000002</v>
      </c>
      <c r="O2094">
        <v>2151.1799999999998</v>
      </c>
      <c r="P2094" t="s">
        <v>2111</v>
      </c>
      <c r="Q2094" t="s">
        <v>789</v>
      </c>
    </row>
    <row r="2095" spans="1:17" x14ac:dyDescent="0.3">
      <c r="A2095" t="s">
        <v>279</v>
      </c>
      <c r="B2095" t="s">
        <v>278</v>
      </c>
      <c r="C2095" s="1">
        <v>46035</v>
      </c>
      <c r="D2095" t="s">
        <v>34</v>
      </c>
      <c r="E2095" t="s">
        <v>17</v>
      </c>
      <c r="F2095" t="s">
        <v>22</v>
      </c>
      <c r="G2095" t="s">
        <v>355</v>
      </c>
      <c r="H2095" t="s">
        <v>356</v>
      </c>
      <c r="I2095" t="s">
        <v>82</v>
      </c>
      <c r="J2095">
        <v>499</v>
      </c>
      <c r="K2095">
        <v>3</v>
      </c>
      <c r="L2095">
        <v>521.42999999999995</v>
      </c>
      <c r="M2095">
        <v>234.64</v>
      </c>
      <c r="N2095">
        <v>1564.29</v>
      </c>
      <c r="O2095">
        <v>1329.65</v>
      </c>
      <c r="P2095" t="s">
        <v>2111</v>
      </c>
      <c r="Q2095" t="s">
        <v>23</v>
      </c>
    </row>
    <row r="2096" spans="1:17" x14ac:dyDescent="0.3">
      <c r="A2096" t="s">
        <v>1921</v>
      </c>
      <c r="B2096" t="s">
        <v>1920</v>
      </c>
      <c r="C2096" s="1">
        <v>46184</v>
      </c>
      <c r="D2096" t="s">
        <v>26</v>
      </c>
      <c r="E2096" t="s">
        <v>17</v>
      </c>
      <c r="F2096" t="s">
        <v>22</v>
      </c>
      <c r="G2096" t="s">
        <v>165</v>
      </c>
      <c r="H2096" t="s">
        <v>166</v>
      </c>
      <c r="I2096" t="s">
        <v>29</v>
      </c>
      <c r="J2096">
        <v>449</v>
      </c>
      <c r="K2096">
        <v>1</v>
      </c>
      <c r="L2096">
        <v>409.45</v>
      </c>
      <c r="M2096">
        <v>61.42</v>
      </c>
      <c r="N2096">
        <v>409.45</v>
      </c>
      <c r="O2096">
        <v>348.03</v>
      </c>
      <c r="P2096" t="s">
        <v>2111</v>
      </c>
      <c r="Q2096" t="s">
        <v>1809</v>
      </c>
    </row>
    <row r="2097" spans="1:17" x14ac:dyDescent="0.3">
      <c r="A2097" t="s">
        <v>2215</v>
      </c>
      <c r="B2097" t="s">
        <v>2216</v>
      </c>
      <c r="C2097" s="1">
        <v>46144</v>
      </c>
      <c r="D2097" t="s">
        <v>16</v>
      </c>
      <c r="E2097" t="s">
        <v>50</v>
      </c>
      <c r="F2097" t="s">
        <v>22</v>
      </c>
      <c r="G2097" t="s">
        <v>149</v>
      </c>
      <c r="H2097" t="s">
        <v>150</v>
      </c>
      <c r="I2097" t="s">
        <v>37</v>
      </c>
      <c r="J2097">
        <v>2999</v>
      </c>
      <c r="K2097">
        <v>2</v>
      </c>
      <c r="L2097">
        <v>3047.89</v>
      </c>
      <c r="M2097">
        <v>609.58000000000004</v>
      </c>
      <c r="N2097">
        <v>6095.78</v>
      </c>
      <c r="O2097">
        <v>5486.2</v>
      </c>
      <c r="P2097" t="s">
        <v>2111</v>
      </c>
      <c r="Q2097" t="s">
        <v>1479</v>
      </c>
    </row>
    <row r="2098" spans="1:17" x14ac:dyDescent="0.3">
      <c r="A2098" t="s">
        <v>2921</v>
      </c>
      <c r="B2098" t="s">
        <v>2922</v>
      </c>
      <c r="C2098" s="1">
        <v>46198</v>
      </c>
      <c r="D2098" t="s">
        <v>41</v>
      </c>
      <c r="E2098" t="s">
        <v>42</v>
      </c>
      <c r="F2098" t="s">
        <v>31</v>
      </c>
      <c r="G2098" t="s">
        <v>27</v>
      </c>
      <c r="H2098" t="s">
        <v>28</v>
      </c>
      <c r="I2098" t="s">
        <v>29</v>
      </c>
      <c r="J2098">
        <v>1599</v>
      </c>
      <c r="K2098">
        <v>1</v>
      </c>
      <c r="L2098">
        <v>1480.73</v>
      </c>
      <c r="M2098">
        <v>296.14999999999998</v>
      </c>
      <c r="N2098">
        <v>1480.73</v>
      </c>
      <c r="O2098">
        <v>1184.58</v>
      </c>
      <c r="P2098" t="s">
        <v>2114</v>
      </c>
      <c r="Q2098" t="s">
        <v>1809</v>
      </c>
    </row>
    <row r="2099" spans="1:17" x14ac:dyDescent="0.3">
      <c r="A2099" t="s">
        <v>83</v>
      </c>
      <c r="B2099" t="s">
        <v>79</v>
      </c>
      <c r="C2099" s="1">
        <v>46024</v>
      </c>
      <c r="D2099" t="s">
        <v>34</v>
      </c>
      <c r="E2099" t="s">
        <v>42</v>
      </c>
      <c r="F2099" t="s">
        <v>22</v>
      </c>
      <c r="G2099" t="s">
        <v>126</v>
      </c>
      <c r="H2099" t="s">
        <v>127</v>
      </c>
      <c r="I2099" t="s">
        <v>45</v>
      </c>
      <c r="J2099">
        <v>2499</v>
      </c>
      <c r="K2099">
        <v>1</v>
      </c>
      <c r="L2099">
        <v>2732.57</v>
      </c>
      <c r="M2099">
        <v>546.51</v>
      </c>
      <c r="N2099">
        <v>2732.57</v>
      </c>
      <c r="O2099">
        <v>2186.06</v>
      </c>
      <c r="P2099" t="s">
        <v>2114</v>
      </c>
      <c r="Q2099" t="s">
        <v>23</v>
      </c>
    </row>
    <row r="2100" spans="1:17" x14ac:dyDescent="0.3">
      <c r="A2100" t="s">
        <v>53</v>
      </c>
      <c r="B2100" t="s">
        <v>49</v>
      </c>
      <c r="C2100" s="1">
        <v>46023</v>
      </c>
      <c r="D2100" t="s">
        <v>16</v>
      </c>
      <c r="E2100" t="s">
        <v>17</v>
      </c>
      <c r="F2100" t="s">
        <v>22</v>
      </c>
      <c r="G2100" t="s">
        <v>112</v>
      </c>
      <c r="H2100" t="s">
        <v>113</v>
      </c>
      <c r="I2100" t="s">
        <v>37</v>
      </c>
      <c r="J2100">
        <v>1499</v>
      </c>
      <c r="K2100">
        <v>1</v>
      </c>
      <c r="L2100">
        <v>1592.36</v>
      </c>
      <c r="M2100">
        <v>238.85</v>
      </c>
      <c r="N2100">
        <v>1592.36</v>
      </c>
      <c r="O2100">
        <v>1353.51</v>
      </c>
      <c r="P2100" t="s">
        <v>2111</v>
      </c>
      <c r="Q2100" t="s">
        <v>23</v>
      </c>
    </row>
    <row r="2101" spans="1:17" x14ac:dyDescent="0.3">
      <c r="A2101" t="s">
        <v>1529</v>
      </c>
      <c r="B2101" t="s">
        <v>1528</v>
      </c>
      <c r="C2101" s="1">
        <v>46146</v>
      </c>
      <c r="D2101" t="s">
        <v>26</v>
      </c>
      <c r="E2101" t="s">
        <v>17</v>
      </c>
      <c r="F2101" t="s">
        <v>74</v>
      </c>
      <c r="G2101" t="s">
        <v>106</v>
      </c>
      <c r="H2101" t="s">
        <v>107</v>
      </c>
      <c r="I2101" t="s">
        <v>108</v>
      </c>
      <c r="J2101">
        <v>599</v>
      </c>
      <c r="K2101">
        <v>1</v>
      </c>
      <c r="L2101">
        <v>552.24</v>
      </c>
      <c r="M2101">
        <v>82.84</v>
      </c>
      <c r="N2101">
        <v>552.24</v>
      </c>
      <c r="O2101">
        <v>469.4</v>
      </c>
      <c r="P2101" t="s">
        <v>2111</v>
      </c>
      <c r="Q2101" t="s">
        <v>1479</v>
      </c>
    </row>
    <row r="2102" spans="1:17" x14ac:dyDescent="0.3">
      <c r="A2102" t="s">
        <v>2276</v>
      </c>
      <c r="B2102" t="s">
        <v>2277</v>
      </c>
      <c r="C2102" s="1">
        <v>46078</v>
      </c>
      <c r="D2102" t="s">
        <v>41</v>
      </c>
      <c r="E2102" t="s">
        <v>50</v>
      </c>
      <c r="F2102" t="s">
        <v>74</v>
      </c>
      <c r="G2102" t="s">
        <v>51</v>
      </c>
      <c r="H2102" t="s">
        <v>52</v>
      </c>
      <c r="I2102" t="s">
        <v>20</v>
      </c>
      <c r="J2102">
        <v>999</v>
      </c>
      <c r="K2102">
        <v>2</v>
      </c>
      <c r="L2102">
        <v>923.43</v>
      </c>
      <c r="M2102">
        <v>92.34</v>
      </c>
      <c r="N2102">
        <v>1846.86</v>
      </c>
      <c r="O2102">
        <v>1754.52</v>
      </c>
      <c r="P2102" t="s">
        <v>2111</v>
      </c>
      <c r="Q2102" t="s">
        <v>498</v>
      </c>
    </row>
    <row r="2103" spans="1:17" x14ac:dyDescent="0.3">
      <c r="A2103" t="s">
        <v>828</v>
      </c>
      <c r="B2103" t="s">
        <v>827</v>
      </c>
      <c r="C2103" s="1">
        <v>46084</v>
      </c>
      <c r="D2103" t="s">
        <v>16</v>
      </c>
      <c r="E2103" t="s">
        <v>50</v>
      </c>
      <c r="F2103" t="s">
        <v>31</v>
      </c>
      <c r="G2103" t="s">
        <v>27</v>
      </c>
      <c r="H2103" t="s">
        <v>28</v>
      </c>
      <c r="I2103" t="s">
        <v>29</v>
      </c>
      <c r="J2103">
        <v>1599</v>
      </c>
      <c r="K2103">
        <v>1</v>
      </c>
      <c r="L2103">
        <v>1629.21</v>
      </c>
      <c r="M2103">
        <v>407.3</v>
      </c>
      <c r="N2103">
        <v>1629.21</v>
      </c>
      <c r="O2103">
        <v>1221.9100000000001</v>
      </c>
      <c r="P2103" t="s">
        <v>2111</v>
      </c>
      <c r="Q2103" t="s">
        <v>789</v>
      </c>
    </row>
    <row r="2104" spans="1:17" x14ac:dyDescent="0.3">
      <c r="A2104" t="s">
        <v>2853</v>
      </c>
      <c r="B2104" t="s">
        <v>379</v>
      </c>
      <c r="C2104" s="1">
        <v>46165</v>
      </c>
      <c r="D2104" t="s">
        <v>26</v>
      </c>
      <c r="E2104" t="s">
        <v>17</v>
      </c>
      <c r="F2104" t="s">
        <v>31</v>
      </c>
      <c r="G2104" t="s">
        <v>35</v>
      </c>
      <c r="H2104" t="s">
        <v>36</v>
      </c>
      <c r="I2104" t="s">
        <v>37</v>
      </c>
      <c r="J2104">
        <v>799</v>
      </c>
      <c r="K2104">
        <v>1</v>
      </c>
      <c r="L2104">
        <v>774.21</v>
      </c>
      <c r="M2104">
        <v>38.71</v>
      </c>
      <c r="N2104">
        <v>774.21</v>
      </c>
      <c r="O2104">
        <v>735.5</v>
      </c>
      <c r="P2104" t="s">
        <v>2111</v>
      </c>
      <c r="Q2104" t="s">
        <v>1479</v>
      </c>
    </row>
    <row r="2105" spans="1:17" x14ac:dyDescent="0.3">
      <c r="A2105" t="s">
        <v>2655</v>
      </c>
      <c r="B2105" t="s">
        <v>2139</v>
      </c>
      <c r="C2105" s="1">
        <v>46174</v>
      </c>
      <c r="D2105" t="s">
        <v>16</v>
      </c>
      <c r="E2105" t="s">
        <v>17</v>
      </c>
      <c r="F2105" t="s">
        <v>22</v>
      </c>
      <c r="G2105" t="s">
        <v>355</v>
      </c>
      <c r="H2105" t="s">
        <v>356</v>
      </c>
      <c r="I2105" t="s">
        <v>82</v>
      </c>
      <c r="J2105">
        <v>499</v>
      </c>
      <c r="K2105">
        <v>1</v>
      </c>
      <c r="L2105">
        <v>452.58</v>
      </c>
      <c r="M2105">
        <v>22.63</v>
      </c>
      <c r="N2105">
        <v>452.58</v>
      </c>
      <c r="O2105">
        <v>429.95</v>
      </c>
      <c r="P2105" t="s">
        <v>2111</v>
      </c>
      <c r="Q2105" t="s">
        <v>1809</v>
      </c>
    </row>
    <row r="2106" spans="1:17" x14ac:dyDescent="0.3">
      <c r="A2106" t="s">
        <v>2373</v>
      </c>
      <c r="B2106" t="s">
        <v>758</v>
      </c>
      <c r="C2106" s="1">
        <v>46160</v>
      </c>
      <c r="D2106" t="s">
        <v>34</v>
      </c>
      <c r="E2106" t="s">
        <v>50</v>
      </c>
      <c r="F2106" t="s">
        <v>22</v>
      </c>
      <c r="G2106" t="s">
        <v>27</v>
      </c>
      <c r="H2106" t="s">
        <v>28</v>
      </c>
      <c r="I2106" t="s">
        <v>29</v>
      </c>
      <c r="J2106">
        <v>1599</v>
      </c>
      <c r="K2106">
        <v>2</v>
      </c>
      <c r="L2106">
        <v>1612.32</v>
      </c>
      <c r="M2106">
        <v>322.45999999999998</v>
      </c>
      <c r="N2106">
        <v>3224.64</v>
      </c>
      <c r="O2106">
        <v>2902.18</v>
      </c>
      <c r="P2106" t="s">
        <v>2111</v>
      </c>
      <c r="Q2106" t="s">
        <v>1479</v>
      </c>
    </row>
    <row r="2107" spans="1:17" x14ac:dyDescent="0.3">
      <c r="A2107" t="s">
        <v>996</v>
      </c>
      <c r="B2107" t="s">
        <v>995</v>
      </c>
      <c r="C2107" s="1">
        <v>46097</v>
      </c>
      <c r="D2107" t="s">
        <v>16</v>
      </c>
      <c r="E2107" t="s">
        <v>50</v>
      </c>
      <c r="F2107" t="s">
        <v>74</v>
      </c>
      <c r="G2107" t="s">
        <v>35</v>
      </c>
      <c r="H2107" t="s">
        <v>36</v>
      </c>
      <c r="I2107" t="s">
        <v>37</v>
      </c>
      <c r="J2107">
        <v>799</v>
      </c>
      <c r="K2107">
        <v>3</v>
      </c>
      <c r="L2107">
        <v>781.08</v>
      </c>
      <c r="M2107">
        <v>0</v>
      </c>
      <c r="N2107">
        <v>2343.2399999999998</v>
      </c>
      <c r="O2107">
        <v>2343.2399999999998</v>
      </c>
      <c r="P2107" t="s">
        <v>2111</v>
      </c>
      <c r="Q2107" t="s">
        <v>789</v>
      </c>
    </row>
    <row r="2108" spans="1:17" x14ac:dyDescent="0.3">
      <c r="A2108" t="s">
        <v>914</v>
      </c>
      <c r="B2108" t="s">
        <v>913</v>
      </c>
      <c r="C2108" s="1">
        <v>46090</v>
      </c>
      <c r="D2108" t="s">
        <v>16</v>
      </c>
      <c r="E2108" t="s">
        <v>50</v>
      </c>
      <c r="F2108" t="s">
        <v>74</v>
      </c>
      <c r="G2108" t="s">
        <v>56</v>
      </c>
      <c r="H2108" t="s">
        <v>57</v>
      </c>
      <c r="I2108" t="s">
        <v>58</v>
      </c>
      <c r="J2108">
        <v>8999</v>
      </c>
      <c r="K2108">
        <v>2</v>
      </c>
      <c r="L2108">
        <v>8281.02</v>
      </c>
      <c r="M2108">
        <v>4140.51</v>
      </c>
      <c r="N2108">
        <v>16562.04</v>
      </c>
      <c r="O2108">
        <v>12421.53</v>
      </c>
      <c r="P2108" t="s">
        <v>2111</v>
      </c>
      <c r="Q2108" t="s">
        <v>789</v>
      </c>
    </row>
    <row r="2109" spans="1:17" x14ac:dyDescent="0.3">
      <c r="A2109" t="s">
        <v>2693</v>
      </c>
      <c r="B2109" t="s">
        <v>2565</v>
      </c>
      <c r="C2109" s="1">
        <v>46144</v>
      </c>
      <c r="D2109" t="s">
        <v>41</v>
      </c>
      <c r="E2109" t="s">
        <v>17</v>
      </c>
      <c r="F2109" t="s">
        <v>22</v>
      </c>
      <c r="G2109" t="s">
        <v>191</v>
      </c>
      <c r="H2109" t="s">
        <v>192</v>
      </c>
      <c r="I2109" t="s">
        <v>45</v>
      </c>
      <c r="J2109">
        <v>699</v>
      </c>
      <c r="K2109">
        <v>2</v>
      </c>
      <c r="L2109">
        <v>741.21</v>
      </c>
      <c r="M2109">
        <v>148.24</v>
      </c>
      <c r="N2109">
        <v>1482.42</v>
      </c>
      <c r="O2109">
        <v>1334.18</v>
      </c>
      <c r="P2109" t="s">
        <v>2111</v>
      </c>
      <c r="Q2109" t="s">
        <v>1479</v>
      </c>
    </row>
    <row r="2110" spans="1:17" x14ac:dyDescent="0.3">
      <c r="A2110" t="s">
        <v>2321</v>
      </c>
      <c r="B2110" t="s">
        <v>2322</v>
      </c>
      <c r="C2110" s="1">
        <v>46079</v>
      </c>
      <c r="D2110" t="s">
        <v>41</v>
      </c>
      <c r="E2110" t="s">
        <v>17</v>
      </c>
      <c r="F2110" t="s">
        <v>31</v>
      </c>
      <c r="G2110" t="s">
        <v>101</v>
      </c>
      <c r="H2110" t="s">
        <v>102</v>
      </c>
      <c r="I2110" t="s">
        <v>45</v>
      </c>
      <c r="J2110">
        <v>4999</v>
      </c>
      <c r="K2110">
        <v>1</v>
      </c>
      <c r="L2110">
        <v>5413.99</v>
      </c>
      <c r="M2110">
        <v>541.4</v>
      </c>
      <c r="N2110">
        <v>5413.99</v>
      </c>
      <c r="O2110">
        <v>4872.59</v>
      </c>
      <c r="P2110" t="s">
        <v>2111</v>
      </c>
      <c r="Q2110" t="s">
        <v>498</v>
      </c>
    </row>
    <row r="2111" spans="1:17" x14ac:dyDescent="0.3">
      <c r="A2111" t="s">
        <v>2923</v>
      </c>
      <c r="B2111" t="s">
        <v>2924</v>
      </c>
      <c r="C2111" s="1">
        <v>46050</v>
      </c>
      <c r="D2111" t="s">
        <v>41</v>
      </c>
      <c r="E2111" t="s">
        <v>17</v>
      </c>
      <c r="F2111" t="s">
        <v>60</v>
      </c>
      <c r="G2111" t="s">
        <v>355</v>
      </c>
      <c r="H2111" t="s">
        <v>356</v>
      </c>
      <c r="I2111" t="s">
        <v>82</v>
      </c>
      <c r="J2111">
        <v>499</v>
      </c>
      <c r="K2111">
        <v>1</v>
      </c>
      <c r="L2111">
        <v>524.61</v>
      </c>
      <c r="M2111">
        <v>78.69</v>
      </c>
      <c r="N2111">
        <v>524.61</v>
      </c>
      <c r="O2111">
        <v>445.92</v>
      </c>
      <c r="P2111" t="s">
        <v>2111</v>
      </c>
      <c r="Q2111" t="s">
        <v>23</v>
      </c>
    </row>
    <row r="2112" spans="1:17" x14ac:dyDescent="0.3">
      <c r="A2112" t="s">
        <v>649</v>
      </c>
      <c r="B2112" t="s">
        <v>648</v>
      </c>
      <c r="C2112" s="1">
        <v>46068</v>
      </c>
      <c r="D2112" t="s">
        <v>16</v>
      </c>
      <c r="E2112" t="s">
        <v>50</v>
      </c>
      <c r="F2112" t="s">
        <v>31</v>
      </c>
      <c r="G2112" t="s">
        <v>56</v>
      </c>
      <c r="H2112" t="s">
        <v>57</v>
      </c>
      <c r="I2112" t="s">
        <v>58</v>
      </c>
      <c r="J2112">
        <v>8999</v>
      </c>
      <c r="K2112">
        <v>1</v>
      </c>
      <c r="L2112">
        <v>9579.2999999999993</v>
      </c>
      <c r="M2112">
        <v>957.93</v>
      </c>
      <c r="N2112">
        <v>9579.2999999999993</v>
      </c>
      <c r="O2112">
        <v>8621.3700000000008</v>
      </c>
      <c r="P2112" t="s">
        <v>2111</v>
      </c>
      <c r="Q2112" t="s">
        <v>498</v>
      </c>
    </row>
    <row r="2113" spans="1:17" x14ac:dyDescent="0.3">
      <c r="A2113" t="s">
        <v>273</v>
      </c>
      <c r="B2113" t="s">
        <v>272</v>
      </c>
      <c r="C2113" s="1">
        <v>46035</v>
      </c>
      <c r="D2113" t="s">
        <v>16</v>
      </c>
      <c r="E2113" t="s">
        <v>50</v>
      </c>
      <c r="F2113" t="s">
        <v>60</v>
      </c>
      <c r="G2113" t="s">
        <v>355</v>
      </c>
      <c r="H2113" t="s">
        <v>356</v>
      </c>
      <c r="I2113" t="s">
        <v>82</v>
      </c>
      <c r="J2113">
        <v>499</v>
      </c>
      <c r="K2113">
        <v>1</v>
      </c>
      <c r="L2113">
        <v>470.71</v>
      </c>
      <c r="M2113">
        <v>0</v>
      </c>
      <c r="N2113">
        <v>470.71</v>
      </c>
      <c r="O2113">
        <v>470.71</v>
      </c>
      <c r="P2113" t="s">
        <v>2111</v>
      </c>
      <c r="Q2113" t="s">
        <v>23</v>
      </c>
    </row>
    <row r="2114" spans="1:17" x14ac:dyDescent="0.3">
      <c r="A2114" t="s">
        <v>2700</v>
      </c>
      <c r="B2114" t="s">
        <v>1093</v>
      </c>
      <c r="C2114" s="1">
        <v>46087</v>
      </c>
      <c r="D2114" t="s">
        <v>63</v>
      </c>
      <c r="E2114" t="s">
        <v>17</v>
      </c>
      <c r="F2114" t="s">
        <v>22</v>
      </c>
      <c r="G2114" t="s">
        <v>149</v>
      </c>
      <c r="H2114" t="s">
        <v>150</v>
      </c>
      <c r="I2114" t="s">
        <v>37</v>
      </c>
      <c r="J2114">
        <v>2999</v>
      </c>
      <c r="K2114">
        <v>2</v>
      </c>
      <c r="L2114">
        <v>2857.19</v>
      </c>
      <c r="M2114">
        <v>571.44000000000005</v>
      </c>
      <c r="N2114">
        <v>5714.38</v>
      </c>
      <c r="O2114">
        <v>5142.9399999999996</v>
      </c>
      <c r="P2114" t="s">
        <v>2111</v>
      </c>
      <c r="Q2114" t="s">
        <v>789</v>
      </c>
    </row>
    <row r="2115" spans="1:17" x14ac:dyDescent="0.3">
      <c r="A2115" t="s">
        <v>1574</v>
      </c>
      <c r="B2115" t="s">
        <v>1573</v>
      </c>
      <c r="C2115" s="1">
        <v>46151</v>
      </c>
      <c r="D2115" t="s">
        <v>16</v>
      </c>
      <c r="E2115" t="s">
        <v>50</v>
      </c>
      <c r="F2115" t="s">
        <v>74</v>
      </c>
      <c r="G2115" t="s">
        <v>101</v>
      </c>
      <c r="H2115" t="s">
        <v>102</v>
      </c>
      <c r="I2115" t="s">
        <v>45</v>
      </c>
      <c r="J2115">
        <v>4999</v>
      </c>
      <c r="K2115">
        <v>1</v>
      </c>
      <c r="L2115">
        <v>4707.59</v>
      </c>
      <c r="M2115">
        <v>706.14</v>
      </c>
      <c r="N2115">
        <v>4707.59</v>
      </c>
      <c r="O2115">
        <v>4001.45</v>
      </c>
      <c r="P2115" t="s">
        <v>2111</v>
      </c>
      <c r="Q2115" t="s">
        <v>1479</v>
      </c>
    </row>
    <row r="2116" spans="1:17" x14ac:dyDescent="0.3">
      <c r="A2116" t="s">
        <v>2758</v>
      </c>
      <c r="B2116" t="s">
        <v>2759</v>
      </c>
      <c r="C2116" s="1">
        <v>46190</v>
      </c>
      <c r="D2116" t="s">
        <v>63</v>
      </c>
      <c r="E2116" t="s">
        <v>17</v>
      </c>
      <c r="F2116" t="s">
        <v>60</v>
      </c>
      <c r="G2116" t="s">
        <v>149</v>
      </c>
      <c r="H2116" t="s">
        <v>150</v>
      </c>
      <c r="I2116" t="s">
        <v>37</v>
      </c>
      <c r="J2116">
        <v>2999</v>
      </c>
      <c r="K2116">
        <v>2</v>
      </c>
      <c r="L2116">
        <v>3157.99</v>
      </c>
      <c r="M2116">
        <v>631.6</v>
      </c>
      <c r="N2116">
        <v>6315.98</v>
      </c>
      <c r="O2116">
        <v>5684.38</v>
      </c>
      <c r="P2116" t="s">
        <v>2111</v>
      </c>
      <c r="Q2116" t="s">
        <v>1809</v>
      </c>
    </row>
    <row r="2117" spans="1:17" x14ac:dyDescent="0.3">
      <c r="A2117" t="s">
        <v>2472</v>
      </c>
      <c r="B2117" t="s">
        <v>1065</v>
      </c>
      <c r="C2117" s="1">
        <v>46089</v>
      </c>
      <c r="D2117" t="s">
        <v>26</v>
      </c>
      <c r="E2117" t="s">
        <v>50</v>
      </c>
      <c r="F2117" t="s">
        <v>22</v>
      </c>
      <c r="G2117" t="s">
        <v>80</v>
      </c>
      <c r="H2117" t="s">
        <v>81</v>
      </c>
      <c r="I2117" t="s">
        <v>82</v>
      </c>
      <c r="J2117">
        <v>4299</v>
      </c>
      <c r="K2117">
        <v>1</v>
      </c>
      <c r="L2117">
        <v>4684.12</v>
      </c>
      <c r="M2117">
        <v>702.62</v>
      </c>
      <c r="N2117">
        <v>4684.12</v>
      </c>
      <c r="O2117">
        <v>3981.5</v>
      </c>
      <c r="P2117" t="s">
        <v>2111</v>
      </c>
      <c r="Q2117" t="s">
        <v>789</v>
      </c>
    </row>
    <row r="2118" spans="1:17" x14ac:dyDescent="0.3">
      <c r="A2118" t="s">
        <v>88</v>
      </c>
      <c r="B2118" t="s">
        <v>85</v>
      </c>
      <c r="C2118" s="1">
        <v>46024</v>
      </c>
      <c r="D2118" t="s">
        <v>34</v>
      </c>
      <c r="E2118" t="s">
        <v>17</v>
      </c>
      <c r="F2118" t="s">
        <v>74</v>
      </c>
      <c r="G2118" t="s">
        <v>86</v>
      </c>
      <c r="H2118" t="s">
        <v>87</v>
      </c>
      <c r="I2118" t="s">
        <v>82</v>
      </c>
      <c r="J2118">
        <v>3499</v>
      </c>
      <c r="K2118">
        <v>1</v>
      </c>
      <c r="L2118">
        <v>3650.74</v>
      </c>
      <c r="M2118">
        <v>182.54</v>
      </c>
      <c r="N2118">
        <v>3650.74</v>
      </c>
      <c r="O2118">
        <v>3468.2</v>
      </c>
      <c r="P2118" t="s">
        <v>2111</v>
      </c>
      <c r="Q2118" t="s">
        <v>23</v>
      </c>
    </row>
    <row r="2119" spans="1:17" x14ac:dyDescent="0.3">
      <c r="A2119" t="s">
        <v>2916</v>
      </c>
      <c r="B2119" t="s">
        <v>1025</v>
      </c>
      <c r="C2119" s="1">
        <v>46201</v>
      </c>
      <c r="D2119" t="s">
        <v>16</v>
      </c>
      <c r="E2119" t="s">
        <v>17</v>
      </c>
      <c r="F2119" t="s">
        <v>31</v>
      </c>
      <c r="G2119" t="s">
        <v>191</v>
      </c>
      <c r="H2119" t="s">
        <v>192</v>
      </c>
      <c r="I2119" t="s">
        <v>45</v>
      </c>
      <c r="J2119">
        <v>699</v>
      </c>
      <c r="K2119">
        <v>1</v>
      </c>
      <c r="L2119">
        <v>752.33</v>
      </c>
      <c r="M2119">
        <v>37.619999999999997</v>
      </c>
      <c r="N2119">
        <v>752.33</v>
      </c>
      <c r="O2119">
        <v>714.71</v>
      </c>
      <c r="P2119" t="s">
        <v>2111</v>
      </c>
      <c r="Q2119" t="s">
        <v>1809</v>
      </c>
    </row>
    <row r="2120" spans="1:17" x14ac:dyDescent="0.3">
      <c r="A2120" t="s">
        <v>1015</v>
      </c>
      <c r="B2120" t="s">
        <v>1014</v>
      </c>
      <c r="C2120" s="1">
        <v>46098</v>
      </c>
      <c r="D2120" t="s">
        <v>34</v>
      </c>
      <c r="E2120" t="s">
        <v>50</v>
      </c>
      <c r="F2120" t="s">
        <v>22</v>
      </c>
      <c r="G2120" t="s">
        <v>80</v>
      </c>
      <c r="H2120" t="s">
        <v>81</v>
      </c>
      <c r="I2120" t="s">
        <v>82</v>
      </c>
      <c r="J2120">
        <v>4299</v>
      </c>
      <c r="K2120">
        <v>2</v>
      </c>
      <c r="L2120">
        <v>4418.25</v>
      </c>
      <c r="M2120">
        <v>0</v>
      </c>
      <c r="N2120">
        <v>8836.5</v>
      </c>
      <c r="O2120">
        <v>8836.5</v>
      </c>
      <c r="P2120" t="s">
        <v>2111</v>
      </c>
      <c r="Q2120" t="s">
        <v>789</v>
      </c>
    </row>
    <row r="2121" spans="1:17" x14ac:dyDescent="0.3">
      <c r="A2121" t="s">
        <v>517</v>
      </c>
      <c r="B2121" t="s">
        <v>479</v>
      </c>
      <c r="C2121" s="1">
        <v>46056</v>
      </c>
      <c r="D2121" t="s">
        <v>26</v>
      </c>
      <c r="E2121" t="s">
        <v>50</v>
      </c>
      <c r="F2121" t="s">
        <v>60</v>
      </c>
      <c r="G2121" t="s">
        <v>165</v>
      </c>
      <c r="H2121" t="s">
        <v>166</v>
      </c>
      <c r="I2121" t="s">
        <v>29</v>
      </c>
      <c r="J2121">
        <v>449</v>
      </c>
      <c r="K2121">
        <v>2</v>
      </c>
      <c r="L2121">
        <v>438.91</v>
      </c>
      <c r="M2121">
        <v>43.89</v>
      </c>
      <c r="N2121">
        <v>877.82</v>
      </c>
      <c r="O2121">
        <v>833.93</v>
      </c>
      <c r="P2121" t="s">
        <v>2111</v>
      </c>
      <c r="Q2121" t="s">
        <v>498</v>
      </c>
    </row>
    <row r="2122" spans="1:17" x14ac:dyDescent="0.3">
      <c r="A2122" t="s">
        <v>2726</v>
      </c>
      <c r="B2122" t="s">
        <v>1504</v>
      </c>
      <c r="C2122" s="1">
        <v>46158</v>
      </c>
      <c r="D2122" t="s">
        <v>26</v>
      </c>
      <c r="E2122" t="s">
        <v>17</v>
      </c>
      <c r="F2122" t="s">
        <v>74</v>
      </c>
      <c r="G2122" t="s">
        <v>149</v>
      </c>
      <c r="H2122" t="s">
        <v>150</v>
      </c>
      <c r="I2122" t="s">
        <v>37</v>
      </c>
      <c r="J2122">
        <v>2999</v>
      </c>
      <c r="K2122">
        <v>3</v>
      </c>
      <c r="L2122">
        <v>2954.47</v>
      </c>
      <c r="M2122">
        <v>1772.68</v>
      </c>
      <c r="N2122">
        <v>8863.41</v>
      </c>
      <c r="O2122">
        <v>7090.73</v>
      </c>
      <c r="P2122" t="s">
        <v>2111</v>
      </c>
      <c r="Q2122" t="s">
        <v>1479</v>
      </c>
    </row>
    <row r="2123" spans="1:17" x14ac:dyDescent="0.3">
      <c r="A2123" t="s">
        <v>2259</v>
      </c>
      <c r="B2123" t="s">
        <v>2260</v>
      </c>
      <c r="C2123" s="1">
        <v>46200</v>
      </c>
      <c r="D2123" t="s">
        <v>16</v>
      </c>
      <c r="E2123" t="s">
        <v>17</v>
      </c>
      <c r="F2123" t="s">
        <v>47</v>
      </c>
      <c r="G2123" t="s">
        <v>43</v>
      </c>
      <c r="H2123" t="s">
        <v>44</v>
      </c>
      <c r="I2123" t="s">
        <v>45</v>
      </c>
      <c r="J2123">
        <v>3299</v>
      </c>
      <c r="K2123">
        <v>1</v>
      </c>
      <c r="L2123">
        <v>3018.8</v>
      </c>
      <c r="M2123">
        <v>452.82</v>
      </c>
      <c r="N2123">
        <v>3018.8</v>
      </c>
      <c r="O2123">
        <v>2565.98</v>
      </c>
      <c r="P2123" t="s">
        <v>2111</v>
      </c>
      <c r="Q2123" t="s">
        <v>1809</v>
      </c>
    </row>
    <row r="2124" spans="1:17" x14ac:dyDescent="0.3">
      <c r="A2124" t="s">
        <v>2839</v>
      </c>
      <c r="B2124" t="s">
        <v>2437</v>
      </c>
      <c r="C2124" s="1">
        <v>46025</v>
      </c>
      <c r="D2124" t="s">
        <v>63</v>
      </c>
      <c r="E2124" t="s">
        <v>17</v>
      </c>
      <c r="F2124" t="s">
        <v>31</v>
      </c>
      <c r="G2124" t="s">
        <v>106</v>
      </c>
      <c r="H2124" t="s">
        <v>107</v>
      </c>
      <c r="I2124" t="s">
        <v>108</v>
      </c>
      <c r="J2124">
        <v>599</v>
      </c>
      <c r="K2124">
        <v>4</v>
      </c>
      <c r="L2124">
        <v>542.87</v>
      </c>
      <c r="M2124">
        <v>217.15</v>
      </c>
      <c r="N2124">
        <v>2171.48</v>
      </c>
      <c r="O2124">
        <v>1954.33</v>
      </c>
      <c r="P2124" t="s">
        <v>2111</v>
      </c>
      <c r="Q2124" t="s">
        <v>23</v>
      </c>
    </row>
    <row r="2125" spans="1:17" x14ac:dyDescent="0.3">
      <c r="A2125" t="s">
        <v>267</v>
      </c>
      <c r="B2125" t="s">
        <v>266</v>
      </c>
      <c r="C2125" s="1">
        <v>46035</v>
      </c>
      <c r="D2125" t="s">
        <v>16</v>
      </c>
      <c r="E2125" t="s">
        <v>50</v>
      </c>
      <c r="F2125" t="s">
        <v>31</v>
      </c>
      <c r="G2125" t="s">
        <v>101</v>
      </c>
      <c r="H2125" t="s">
        <v>102</v>
      </c>
      <c r="I2125" t="s">
        <v>45</v>
      </c>
      <c r="J2125">
        <v>4999</v>
      </c>
      <c r="K2125">
        <v>1</v>
      </c>
      <c r="L2125">
        <v>5194.4399999999996</v>
      </c>
      <c r="M2125">
        <v>519.44000000000005</v>
      </c>
      <c r="N2125">
        <v>5194.4399999999996</v>
      </c>
      <c r="O2125">
        <v>4675</v>
      </c>
      <c r="P2125" t="s">
        <v>2111</v>
      </c>
      <c r="Q2125" t="s">
        <v>23</v>
      </c>
    </row>
    <row r="2126" spans="1:17" x14ac:dyDescent="0.3">
      <c r="A2126" t="s">
        <v>2434</v>
      </c>
      <c r="B2126" t="s">
        <v>2435</v>
      </c>
      <c r="C2126" s="1">
        <v>46087</v>
      </c>
      <c r="D2126" t="s">
        <v>41</v>
      </c>
      <c r="E2126" t="s">
        <v>17</v>
      </c>
      <c r="F2126" t="s">
        <v>31</v>
      </c>
      <c r="G2126" t="s">
        <v>91</v>
      </c>
      <c r="H2126" t="s">
        <v>92</v>
      </c>
      <c r="I2126" t="s">
        <v>37</v>
      </c>
      <c r="J2126">
        <v>1899</v>
      </c>
      <c r="K2126">
        <v>1</v>
      </c>
      <c r="L2126">
        <v>1875.62</v>
      </c>
      <c r="M2126">
        <v>281.33999999999997</v>
      </c>
      <c r="N2126">
        <v>1875.62</v>
      </c>
      <c r="O2126">
        <v>1594.28</v>
      </c>
      <c r="P2126" t="s">
        <v>2111</v>
      </c>
      <c r="Q2126" t="s">
        <v>789</v>
      </c>
    </row>
    <row r="2127" spans="1:17" x14ac:dyDescent="0.3">
      <c r="A2127" t="s">
        <v>2835</v>
      </c>
      <c r="B2127" t="s">
        <v>2740</v>
      </c>
      <c r="C2127" s="1">
        <v>46140</v>
      </c>
      <c r="D2127" t="s">
        <v>41</v>
      </c>
      <c r="E2127" t="s">
        <v>50</v>
      </c>
      <c r="F2127" t="s">
        <v>31</v>
      </c>
      <c r="G2127" t="s">
        <v>112</v>
      </c>
      <c r="H2127" t="s">
        <v>113</v>
      </c>
      <c r="I2127" t="s">
        <v>37</v>
      </c>
      <c r="J2127">
        <v>1499</v>
      </c>
      <c r="K2127">
        <v>4</v>
      </c>
      <c r="L2127">
        <v>1514.65</v>
      </c>
      <c r="M2127">
        <v>302.93</v>
      </c>
      <c r="N2127">
        <v>6058.6</v>
      </c>
      <c r="O2127">
        <v>5755.67</v>
      </c>
      <c r="P2127" t="s">
        <v>2111</v>
      </c>
      <c r="Q2127" t="s">
        <v>1170</v>
      </c>
    </row>
    <row r="2128" spans="1:17" x14ac:dyDescent="0.3">
      <c r="A2128" t="s">
        <v>1253</v>
      </c>
      <c r="B2128" t="s">
        <v>1252</v>
      </c>
      <c r="C2128" s="1">
        <v>46121</v>
      </c>
      <c r="D2128" t="s">
        <v>26</v>
      </c>
      <c r="E2128" t="s">
        <v>17</v>
      </c>
      <c r="F2128" t="s">
        <v>74</v>
      </c>
      <c r="G2128" t="s">
        <v>51</v>
      </c>
      <c r="H2128" t="s">
        <v>52</v>
      </c>
      <c r="I2128" t="s">
        <v>20</v>
      </c>
      <c r="J2128">
        <v>999</v>
      </c>
      <c r="K2128">
        <v>1</v>
      </c>
      <c r="L2128">
        <v>1010.52</v>
      </c>
      <c r="M2128">
        <v>0</v>
      </c>
      <c r="N2128">
        <v>1010.52</v>
      </c>
      <c r="O2128">
        <v>1010.52</v>
      </c>
      <c r="P2128" t="s">
        <v>2111</v>
      </c>
      <c r="Q2128" t="s">
        <v>1170</v>
      </c>
    </row>
    <row r="2129" spans="1:17" x14ac:dyDescent="0.3">
      <c r="A2129" t="s">
        <v>1198</v>
      </c>
      <c r="B2129" t="s">
        <v>1197</v>
      </c>
      <c r="C2129" s="1">
        <v>46116</v>
      </c>
      <c r="D2129" t="s">
        <v>63</v>
      </c>
      <c r="E2129" t="s">
        <v>42</v>
      </c>
      <c r="F2129" t="s">
        <v>22</v>
      </c>
      <c r="G2129" t="s">
        <v>160</v>
      </c>
      <c r="H2129" t="s">
        <v>161</v>
      </c>
      <c r="I2129" t="s">
        <v>82</v>
      </c>
      <c r="J2129">
        <v>799</v>
      </c>
      <c r="K2129">
        <v>2</v>
      </c>
      <c r="L2129">
        <v>763.42</v>
      </c>
      <c r="M2129">
        <v>381.71</v>
      </c>
      <c r="N2129">
        <v>1526.84</v>
      </c>
      <c r="O2129">
        <v>1145.1300000000001</v>
      </c>
      <c r="P2129" t="s">
        <v>2111</v>
      </c>
      <c r="Q2129" t="s">
        <v>1170</v>
      </c>
    </row>
    <row r="2130" spans="1:17" x14ac:dyDescent="0.3">
      <c r="A2130" t="s">
        <v>2925</v>
      </c>
      <c r="B2130" t="s">
        <v>1737</v>
      </c>
      <c r="C2130" s="1">
        <v>46164</v>
      </c>
      <c r="D2130" t="s">
        <v>16</v>
      </c>
      <c r="E2130" t="s">
        <v>17</v>
      </c>
      <c r="F2130" t="s">
        <v>22</v>
      </c>
      <c r="G2130" t="s">
        <v>355</v>
      </c>
      <c r="H2130" t="s">
        <v>356</v>
      </c>
      <c r="I2130" t="s">
        <v>82</v>
      </c>
      <c r="J2130">
        <v>499</v>
      </c>
      <c r="K2130">
        <v>1</v>
      </c>
      <c r="L2130">
        <v>496.59</v>
      </c>
      <c r="M2130">
        <v>49.66</v>
      </c>
      <c r="N2130">
        <v>496.59</v>
      </c>
      <c r="O2130">
        <v>446.93</v>
      </c>
      <c r="P2130" t="s">
        <v>2111</v>
      </c>
      <c r="Q2130" t="s">
        <v>1479</v>
      </c>
    </row>
    <row r="2131" spans="1:17" x14ac:dyDescent="0.3">
      <c r="A2131" t="s">
        <v>2797</v>
      </c>
      <c r="B2131" t="s">
        <v>654</v>
      </c>
      <c r="C2131" s="1">
        <v>46166</v>
      </c>
      <c r="D2131" t="s">
        <v>16</v>
      </c>
      <c r="E2131" t="s">
        <v>42</v>
      </c>
      <c r="F2131" t="s">
        <v>31</v>
      </c>
      <c r="G2131" t="s">
        <v>165</v>
      </c>
      <c r="H2131" t="s">
        <v>166</v>
      </c>
      <c r="I2131" t="s">
        <v>29</v>
      </c>
      <c r="J2131">
        <v>449</v>
      </c>
      <c r="K2131">
        <v>1</v>
      </c>
      <c r="L2131">
        <v>446.37</v>
      </c>
      <c r="M2131">
        <v>111.59</v>
      </c>
      <c r="N2131">
        <v>446.37</v>
      </c>
      <c r="O2131">
        <v>334.78</v>
      </c>
      <c r="P2131" t="s">
        <v>2111</v>
      </c>
      <c r="Q2131" t="s">
        <v>1479</v>
      </c>
    </row>
    <row r="2132" spans="1:17" x14ac:dyDescent="0.3">
      <c r="A2132" t="s">
        <v>1475</v>
      </c>
      <c r="B2132" t="s">
        <v>1474</v>
      </c>
      <c r="C2132" s="1">
        <v>46142</v>
      </c>
      <c r="D2132" t="s">
        <v>26</v>
      </c>
      <c r="E2132" t="s">
        <v>17</v>
      </c>
      <c r="F2132" t="s">
        <v>22</v>
      </c>
      <c r="G2132" t="s">
        <v>35</v>
      </c>
      <c r="H2132" t="s">
        <v>36</v>
      </c>
      <c r="I2132" t="s">
        <v>37</v>
      </c>
      <c r="J2132">
        <v>799</v>
      </c>
      <c r="K2132">
        <v>3</v>
      </c>
      <c r="L2132">
        <v>781.17</v>
      </c>
      <c r="M2132">
        <v>117.18</v>
      </c>
      <c r="N2132">
        <v>2343.5100000000002</v>
      </c>
      <c r="O2132">
        <v>2226.33</v>
      </c>
      <c r="P2132" t="s">
        <v>2111</v>
      </c>
      <c r="Q2132" t="s">
        <v>1170</v>
      </c>
    </row>
    <row r="2133" spans="1:17" x14ac:dyDescent="0.3">
      <c r="A2133" t="s">
        <v>2533</v>
      </c>
      <c r="B2133" t="s">
        <v>2534</v>
      </c>
      <c r="C2133" s="1">
        <v>46180</v>
      </c>
      <c r="D2133" t="s">
        <v>41</v>
      </c>
      <c r="E2133" t="s">
        <v>50</v>
      </c>
      <c r="F2133" t="s">
        <v>31</v>
      </c>
      <c r="G2133" t="s">
        <v>101</v>
      </c>
      <c r="H2133" t="s">
        <v>102</v>
      </c>
      <c r="I2133" t="s">
        <v>45</v>
      </c>
      <c r="J2133">
        <v>4999</v>
      </c>
      <c r="K2133">
        <v>1</v>
      </c>
      <c r="L2133">
        <v>5319.61</v>
      </c>
      <c r="M2133">
        <v>797.94</v>
      </c>
      <c r="N2133">
        <v>5319.61</v>
      </c>
      <c r="O2133">
        <v>4521.67</v>
      </c>
      <c r="P2133" t="s">
        <v>2111</v>
      </c>
      <c r="Q2133" t="s">
        <v>1809</v>
      </c>
    </row>
    <row r="2134" spans="1:17" x14ac:dyDescent="0.3">
      <c r="A2134" t="s">
        <v>2885</v>
      </c>
      <c r="B2134" t="s">
        <v>1270</v>
      </c>
      <c r="C2134" s="1">
        <v>46070</v>
      </c>
      <c r="D2134" t="s">
        <v>16</v>
      </c>
      <c r="E2134" t="s">
        <v>42</v>
      </c>
      <c r="F2134" t="s">
        <v>22</v>
      </c>
      <c r="G2134" t="s">
        <v>56</v>
      </c>
      <c r="H2134" t="s">
        <v>57</v>
      </c>
      <c r="I2134" t="s">
        <v>58</v>
      </c>
      <c r="J2134">
        <v>8999</v>
      </c>
      <c r="K2134">
        <v>2</v>
      </c>
      <c r="L2134">
        <v>8911.1</v>
      </c>
      <c r="M2134">
        <v>891.11</v>
      </c>
      <c r="N2134">
        <v>17822.2</v>
      </c>
      <c r="O2134">
        <v>16931.09</v>
      </c>
      <c r="P2134" t="s">
        <v>2111</v>
      </c>
      <c r="Q2134" t="s">
        <v>498</v>
      </c>
    </row>
    <row r="2135" spans="1:17" x14ac:dyDescent="0.3">
      <c r="A2135" t="s">
        <v>1370</v>
      </c>
      <c r="B2135" t="s">
        <v>1369</v>
      </c>
      <c r="C2135" s="1">
        <v>46134</v>
      </c>
      <c r="D2135" t="s">
        <v>34</v>
      </c>
      <c r="E2135" t="s">
        <v>50</v>
      </c>
      <c r="F2135" t="s">
        <v>22</v>
      </c>
      <c r="G2135" t="s">
        <v>165</v>
      </c>
      <c r="H2135" t="s">
        <v>166</v>
      </c>
      <c r="I2135" t="s">
        <v>29</v>
      </c>
      <c r="J2135">
        <v>449</v>
      </c>
      <c r="K2135">
        <v>1</v>
      </c>
      <c r="L2135">
        <v>458.31</v>
      </c>
      <c r="M2135">
        <v>22.92</v>
      </c>
      <c r="N2135">
        <v>458.31</v>
      </c>
      <c r="O2135">
        <v>435.39</v>
      </c>
      <c r="P2135" t="s">
        <v>2111</v>
      </c>
      <c r="Q2135" t="s">
        <v>1170</v>
      </c>
    </row>
    <row r="2136" spans="1:17" x14ac:dyDescent="0.3">
      <c r="A2136" t="s">
        <v>988</v>
      </c>
      <c r="B2136" t="s">
        <v>987</v>
      </c>
      <c r="C2136" s="1">
        <v>46096</v>
      </c>
      <c r="D2136" t="s">
        <v>16</v>
      </c>
      <c r="E2136" t="s">
        <v>50</v>
      </c>
      <c r="F2136" t="s">
        <v>22</v>
      </c>
      <c r="G2136" t="s">
        <v>35</v>
      </c>
      <c r="H2136" t="s">
        <v>36</v>
      </c>
      <c r="I2136" t="s">
        <v>37</v>
      </c>
      <c r="J2136">
        <v>799</v>
      </c>
      <c r="K2136">
        <v>2</v>
      </c>
      <c r="L2136">
        <v>862.2</v>
      </c>
      <c r="M2136">
        <v>172.44</v>
      </c>
      <c r="N2136">
        <v>1724.4</v>
      </c>
      <c r="O2136">
        <v>1551.96</v>
      </c>
      <c r="P2136" t="s">
        <v>2111</v>
      </c>
      <c r="Q2136" t="s">
        <v>789</v>
      </c>
    </row>
    <row r="2137" spans="1:17" x14ac:dyDescent="0.3">
      <c r="A2137" t="s">
        <v>534</v>
      </c>
      <c r="B2137" t="s">
        <v>533</v>
      </c>
      <c r="C2137" s="1">
        <v>46056</v>
      </c>
      <c r="D2137" t="s">
        <v>63</v>
      </c>
      <c r="E2137" t="s">
        <v>17</v>
      </c>
      <c r="F2137" t="s">
        <v>31</v>
      </c>
      <c r="G2137" t="s">
        <v>35</v>
      </c>
      <c r="H2137" t="s">
        <v>36</v>
      </c>
      <c r="I2137" t="s">
        <v>37</v>
      </c>
      <c r="J2137">
        <v>799</v>
      </c>
      <c r="K2137">
        <v>1</v>
      </c>
      <c r="L2137">
        <v>857.52</v>
      </c>
      <c r="M2137">
        <v>42.88</v>
      </c>
      <c r="N2137">
        <v>857.52</v>
      </c>
      <c r="O2137">
        <v>814.64</v>
      </c>
      <c r="P2137" t="s">
        <v>2111</v>
      </c>
      <c r="Q2137" t="s">
        <v>498</v>
      </c>
    </row>
    <row r="2138" spans="1:17" x14ac:dyDescent="0.3">
      <c r="A2138" t="s">
        <v>1851</v>
      </c>
      <c r="B2138" t="s">
        <v>1850</v>
      </c>
      <c r="C2138" s="1">
        <v>46177</v>
      </c>
      <c r="D2138" t="s">
        <v>26</v>
      </c>
      <c r="E2138" t="s">
        <v>50</v>
      </c>
      <c r="F2138" t="s">
        <v>22</v>
      </c>
      <c r="G2138" t="s">
        <v>165</v>
      </c>
      <c r="H2138" t="s">
        <v>166</v>
      </c>
      <c r="I2138" t="s">
        <v>29</v>
      </c>
      <c r="J2138">
        <v>449</v>
      </c>
      <c r="K2138">
        <v>1</v>
      </c>
      <c r="L2138">
        <v>484.06</v>
      </c>
      <c r="M2138">
        <v>0</v>
      </c>
      <c r="N2138">
        <v>484.06</v>
      </c>
      <c r="O2138">
        <v>484.06</v>
      </c>
      <c r="P2138" t="s">
        <v>2111</v>
      </c>
      <c r="Q2138" t="s">
        <v>1809</v>
      </c>
    </row>
    <row r="2139" spans="1:17" x14ac:dyDescent="0.3">
      <c r="A2139" t="s">
        <v>2926</v>
      </c>
      <c r="B2139" t="s">
        <v>2927</v>
      </c>
      <c r="C2139" s="1">
        <v>46158</v>
      </c>
      <c r="D2139" t="s">
        <v>34</v>
      </c>
      <c r="E2139" t="s">
        <v>17</v>
      </c>
      <c r="F2139" t="s">
        <v>47</v>
      </c>
      <c r="G2139" t="s">
        <v>96</v>
      </c>
      <c r="H2139" t="s">
        <v>97</v>
      </c>
      <c r="I2139" t="s">
        <v>58</v>
      </c>
      <c r="J2139">
        <v>7499</v>
      </c>
      <c r="K2139">
        <v>1</v>
      </c>
      <c r="L2139">
        <v>7154.05</v>
      </c>
      <c r="M2139">
        <v>357.7</v>
      </c>
      <c r="N2139">
        <v>7154.05</v>
      </c>
      <c r="O2139">
        <v>6796.35</v>
      </c>
      <c r="P2139" t="s">
        <v>2111</v>
      </c>
      <c r="Q2139" t="s">
        <v>1479</v>
      </c>
    </row>
    <row r="2140" spans="1:17" x14ac:dyDescent="0.3">
      <c r="A2140" t="s">
        <v>807</v>
      </c>
      <c r="B2140" t="s">
        <v>806</v>
      </c>
      <c r="C2140" s="1">
        <v>46083</v>
      </c>
      <c r="D2140" t="s">
        <v>34</v>
      </c>
      <c r="E2140" t="s">
        <v>17</v>
      </c>
      <c r="F2140" t="s">
        <v>47</v>
      </c>
      <c r="G2140" t="s">
        <v>43</v>
      </c>
      <c r="H2140" t="s">
        <v>44</v>
      </c>
      <c r="I2140" t="s">
        <v>45</v>
      </c>
      <c r="J2140">
        <v>3299</v>
      </c>
      <c r="K2140">
        <v>1</v>
      </c>
      <c r="L2140">
        <v>2992.18</v>
      </c>
      <c r="M2140">
        <v>0</v>
      </c>
      <c r="N2140">
        <v>2992.18</v>
      </c>
      <c r="O2140">
        <v>2992.18</v>
      </c>
      <c r="P2140" t="s">
        <v>2111</v>
      </c>
      <c r="Q2140" t="s">
        <v>789</v>
      </c>
    </row>
    <row r="2141" spans="1:17" x14ac:dyDescent="0.3">
      <c r="A2141" t="s">
        <v>900</v>
      </c>
      <c r="B2141" t="s">
        <v>899</v>
      </c>
      <c r="C2141" s="1">
        <v>46089</v>
      </c>
      <c r="D2141" t="s">
        <v>16</v>
      </c>
      <c r="E2141" t="s">
        <v>17</v>
      </c>
      <c r="F2141" t="s">
        <v>74</v>
      </c>
      <c r="G2141" t="s">
        <v>112</v>
      </c>
      <c r="H2141" t="s">
        <v>113</v>
      </c>
      <c r="I2141" t="s">
        <v>37</v>
      </c>
      <c r="J2141">
        <v>1499</v>
      </c>
      <c r="K2141">
        <v>3</v>
      </c>
      <c r="L2141">
        <v>1427.37</v>
      </c>
      <c r="M2141">
        <v>642.32000000000005</v>
      </c>
      <c r="N2141">
        <v>4282.1099999999997</v>
      </c>
      <c r="O2141">
        <v>3639.79</v>
      </c>
      <c r="P2141" t="s">
        <v>2114</v>
      </c>
      <c r="Q2141" t="s">
        <v>789</v>
      </c>
    </row>
    <row r="2142" spans="1:17" x14ac:dyDescent="0.3">
      <c r="A2142" t="s">
        <v>2715</v>
      </c>
      <c r="B2142" t="s">
        <v>243</v>
      </c>
      <c r="C2142" s="1">
        <v>46197</v>
      </c>
      <c r="D2142" t="s">
        <v>26</v>
      </c>
      <c r="E2142" t="s">
        <v>17</v>
      </c>
      <c r="F2142" t="s">
        <v>47</v>
      </c>
      <c r="G2142" t="s">
        <v>112</v>
      </c>
      <c r="H2142" t="s">
        <v>113</v>
      </c>
      <c r="I2142" t="s">
        <v>37</v>
      </c>
      <c r="J2142">
        <v>1499</v>
      </c>
      <c r="K2142">
        <v>1</v>
      </c>
      <c r="L2142">
        <v>1432.66</v>
      </c>
      <c r="M2142">
        <v>143.27000000000001</v>
      </c>
      <c r="N2142">
        <v>1432.66</v>
      </c>
      <c r="O2142">
        <v>1289.3900000000001</v>
      </c>
      <c r="P2142" t="s">
        <v>2111</v>
      </c>
      <c r="Q2142" t="s">
        <v>1809</v>
      </c>
    </row>
    <row r="2143" spans="1:17" x14ac:dyDescent="0.3">
      <c r="A2143" t="s">
        <v>1933</v>
      </c>
      <c r="B2143" t="s">
        <v>1932</v>
      </c>
      <c r="C2143" s="1">
        <v>46185</v>
      </c>
      <c r="D2143" t="s">
        <v>41</v>
      </c>
      <c r="E2143" t="s">
        <v>17</v>
      </c>
      <c r="F2143" t="s">
        <v>22</v>
      </c>
      <c r="G2143" t="s">
        <v>160</v>
      </c>
      <c r="H2143" t="s">
        <v>161</v>
      </c>
      <c r="I2143" t="s">
        <v>82</v>
      </c>
      <c r="J2143">
        <v>799</v>
      </c>
      <c r="K2143">
        <v>1</v>
      </c>
      <c r="L2143">
        <v>864.42</v>
      </c>
      <c r="M2143">
        <v>0</v>
      </c>
      <c r="N2143">
        <v>864.42</v>
      </c>
      <c r="O2143">
        <v>864.42</v>
      </c>
      <c r="P2143" t="s">
        <v>2111</v>
      </c>
      <c r="Q2143" t="s">
        <v>1809</v>
      </c>
    </row>
    <row r="2144" spans="1:17" x14ac:dyDescent="0.3">
      <c r="A2144" t="s">
        <v>2441</v>
      </c>
      <c r="B2144" t="s">
        <v>2442</v>
      </c>
      <c r="C2144" s="1">
        <v>46157</v>
      </c>
      <c r="D2144" t="s">
        <v>63</v>
      </c>
      <c r="E2144" t="s">
        <v>42</v>
      </c>
      <c r="F2144" t="s">
        <v>47</v>
      </c>
      <c r="G2144" t="s">
        <v>355</v>
      </c>
      <c r="H2144" t="s">
        <v>356</v>
      </c>
      <c r="I2144" t="s">
        <v>82</v>
      </c>
      <c r="J2144">
        <v>499</v>
      </c>
      <c r="K2144">
        <v>1</v>
      </c>
      <c r="L2144">
        <v>513.89</v>
      </c>
      <c r="M2144">
        <v>0</v>
      </c>
      <c r="N2144">
        <v>513.89</v>
      </c>
      <c r="O2144">
        <v>513.89</v>
      </c>
      <c r="P2144" t="s">
        <v>2111</v>
      </c>
      <c r="Q2144" t="s">
        <v>1479</v>
      </c>
    </row>
    <row r="2145" spans="1:17" x14ac:dyDescent="0.3">
      <c r="A2145" t="s">
        <v>1138</v>
      </c>
      <c r="B2145" t="s">
        <v>1137</v>
      </c>
      <c r="C2145" s="1">
        <v>46109</v>
      </c>
      <c r="D2145" t="s">
        <v>16</v>
      </c>
      <c r="E2145" t="s">
        <v>17</v>
      </c>
      <c r="F2145" t="s">
        <v>74</v>
      </c>
      <c r="G2145" t="s">
        <v>101</v>
      </c>
      <c r="H2145" t="s">
        <v>102</v>
      </c>
      <c r="I2145" t="s">
        <v>45</v>
      </c>
      <c r="J2145">
        <v>4999</v>
      </c>
      <c r="K2145">
        <v>1</v>
      </c>
      <c r="L2145">
        <v>4580.79</v>
      </c>
      <c r="M2145">
        <v>0</v>
      </c>
      <c r="N2145">
        <v>4580.79</v>
      </c>
      <c r="O2145">
        <v>4580.79</v>
      </c>
      <c r="P2145" t="s">
        <v>2111</v>
      </c>
      <c r="Q2145" t="s">
        <v>789</v>
      </c>
    </row>
    <row r="2146" spans="1:17" x14ac:dyDescent="0.3">
      <c r="A2146" t="s">
        <v>383</v>
      </c>
      <c r="B2146" t="s">
        <v>382</v>
      </c>
      <c r="C2146" s="1">
        <v>46043</v>
      </c>
      <c r="D2146" t="s">
        <v>63</v>
      </c>
      <c r="E2146" t="s">
        <v>42</v>
      </c>
      <c r="F2146" t="s">
        <v>74</v>
      </c>
      <c r="G2146" t="s">
        <v>126</v>
      </c>
      <c r="H2146" t="s">
        <v>127</v>
      </c>
      <c r="I2146" t="s">
        <v>45</v>
      </c>
      <c r="J2146">
        <v>2499</v>
      </c>
      <c r="K2146">
        <v>2</v>
      </c>
      <c r="L2146">
        <v>2316.7600000000002</v>
      </c>
      <c r="M2146">
        <v>463.35</v>
      </c>
      <c r="N2146">
        <v>4633.5200000000004</v>
      </c>
      <c r="O2146">
        <v>4170.17</v>
      </c>
      <c r="P2146" t="s">
        <v>2114</v>
      </c>
      <c r="Q2146" t="s">
        <v>23</v>
      </c>
    </row>
    <row r="2147" spans="1:17" x14ac:dyDescent="0.3">
      <c r="A2147" t="s">
        <v>2066</v>
      </c>
      <c r="B2147" t="s">
        <v>371</v>
      </c>
      <c r="C2147" s="1">
        <v>46200</v>
      </c>
      <c r="D2147" t="s">
        <v>26</v>
      </c>
      <c r="E2147" t="s">
        <v>17</v>
      </c>
      <c r="F2147" t="s">
        <v>60</v>
      </c>
      <c r="G2147" t="s">
        <v>43</v>
      </c>
      <c r="H2147" t="s">
        <v>44</v>
      </c>
      <c r="I2147" t="s">
        <v>45</v>
      </c>
      <c r="J2147">
        <v>3299</v>
      </c>
      <c r="K2147">
        <v>4</v>
      </c>
      <c r="L2147">
        <v>3071.82</v>
      </c>
      <c r="M2147">
        <v>0</v>
      </c>
      <c r="N2147">
        <v>12287.28</v>
      </c>
      <c r="O2147">
        <v>12287.28</v>
      </c>
      <c r="P2147" t="s">
        <v>2111</v>
      </c>
      <c r="Q2147" t="s">
        <v>1809</v>
      </c>
    </row>
    <row r="2148" spans="1:17" x14ac:dyDescent="0.3">
      <c r="A2148" t="s">
        <v>2693</v>
      </c>
      <c r="B2148" t="s">
        <v>2565</v>
      </c>
      <c r="C2148" s="1">
        <v>46144</v>
      </c>
      <c r="D2148" t="s">
        <v>41</v>
      </c>
      <c r="E2148" t="s">
        <v>17</v>
      </c>
      <c r="F2148" t="s">
        <v>22</v>
      </c>
      <c r="G2148" t="s">
        <v>56</v>
      </c>
      <c r="H2148" t="s">
        <v>57</v>
      </c>
      <c r="I2148" t="s">
        <v>58</v>
      </c>
      <c r="J2148">
        <v>8999</v>
      </c>
      <c r="K2148">
        <v>1</v>
      </c>
      <c r="L2148">
        <v>9233.73</v>
      </c>
      <c r="M2148">
        <v>1385.06</v>
      </c>
      <c r="N2148">
        <v>9233.73</v>
      </c>
      <c r="O2148">
        <v>7848.67</v>
      </c>
      <c r="P2148" t="s">
        <v>2111</v>
      </c>
      <c r="Q2148" t="s">
        <v>1479</v>
      </c>
    </row>
    <row r="2149" spans="1:17" x14ac:dyDescent="0.3">
      <c r="A2149" t="s">
        <v>1830</v>
      </c>
      <c r="B2149" t="s">
        <v>1107</v>
      </c>
      <c r="C2149" s="1">
        <v>46175</v>
      </c>
      <c r="D2149" t="s">
        <v>16</v>
      </c>
      <c r="E2149" t="s">
        <v>17</v>
      </c>
      <c r="F2149" t="s">
        <v>31</v>
      </c>
      <c r="G2149" t="s">
        <v>355</v>
      </c>
      <c r="H2149" t="s">
        <v>356</v>
      </c>
      <c r="I2149" t="s">
        <v>82</v>
      </c>
      <c r="J2149">
        <v>499</v>
      </c>
      <c r="K2149">
        <v>2</v>
      </c>
      <c r="L2149">
        <v>522.49</v>
      </c>
      <c r="M2149">
        <v>0</v>
      </c>
      <c r="N2149">
        <v>1044.98</v>
      </c>
      <c r="O2149">
        <v>1044.98</v>
      </c>
      <c r="P2149" t="s">
        <v>2111</v>
      </c>
      <c r="Q2149" t="s">
        <v>1809</v>
      </c>
    </row>
    <row r="2150" spans="1:17" x14ac:dyDescent="0.3">
      <c r="A2150" t="s">
        <v>561</v>
      </c>
      <c r="B2150" t="s">
        <v>560</v>
      </c>
      <c r="C2150" s="1">
        <v>46059</v>
      </c>
      <c r="D2150" t="s">
        <v>63</v>
      </c>
      <c r="E2150" t="s">
        <v>42</v>
      </c>
      <c r="F2150" t="s">
        <v>60</v>
      </c>
      <c r="G2150" t="s">
        <v>80</v>
      </c>
      <c r="H2150" t="s">
        <v>81</v>
      </c>
      <c r="I2150" t="s">
        <v>82</v>
      </c>
      <c r="J2150">
        <v>4299</v>
      </c>
      <c r="K2150">
        <v>1</v>
      </c>
      <c r="L2150">
        <v>4608.22</v>
      </c>
      <c r="M2150">
        <v>230.41</v>
      </c>
      <c r="N2150">
        <v>4608.22</v>
      </c>
      <c r="O2150">
        <v>4377.8100000000004</v>
      </c>
      <c r="P2150" t="s">
        <v>2111</v>
      </c>
      <c r="Q2150" t="s">
        <v>498</v>
      </c>
    </row>
    <row r="2151" spans="1:17" x14ac:dyDescent="0.3">
      <c r="A2151" t="s">
        <v>329</v>
      </c>
      <c r="B2151" t="s">
        <v>328</v>
      </c>
      <c r="C2151" s="1">
        <v>46039</v>
      </c>
      <c r="D2151" t="s">
        <v>26</v>
      </c>
      <c r="E2151" t="s">
        <v>17</v>
      </c>
      <c r="F2151" t="s">
        <v>22</v>
      </c>
      <c r="G2151" t="s">
        <v>51</v>
      </c>
      <c r="H2151" t="s">
        <v>52</v>
      </c>
      <c r="I2151" t="s">
        <v>20</v>
      </c>
      <c r="J2151">
        <v>999</v>
      </c>
      <c r="K2151">
        <v>1</v>
      </c>
      <c r="L2151">
        <v>1087.04</v>
      </c>
      <c r="M2151">
        <v>217.41</v>
      </c>
      <c r="N2151">
        <v>1087.04</v>
      </c>
      <c r="O2151">
        <v>869.63</v>
      </c>
      <c r="P2151" t="s">
        <v>2111</v>
      </c>
      <c r="Q2151" t="s">
        <v>23</v>
      </c>
    </row>
    <row r="2152" spans="1:17" x14ac:dyDescent="0.3">
      <c r="A2152" t="s">
        <v>2219</v>
      </c>
      <c r="B2152" t="s">
        <v>2220</v>
      </c>
      <c r="C2152" s="1">
        <v>46128</v>
      </c>
      <c r="D2152" t="s">
        <v>16</v>
      </c>
      <c r="E2152" t="s">
        <v>17</v>
      </c>
      <c r="F2152" t="s">
        <v>60</v>
      </c>
      <c r="G2152" t="s">
        <v>191</v>
      </c>
      <c r="H2152" t="s">
        <v>192</v>
      </c>
      <c r="I2152" t="s">
        <v>45</v>
      </c>
      <c r="J2152">
        <v>699</v>
      </c>
      <c r="K2152">
        <v>2</v>
      </c>
      <c r="L2152">
        <v>657.3</v>
      </c>
      <c r="M2152">
        <v>197.19</v>
      </c>
      <c r="N2152">
        <v>1314.6</v>
      </c>
      <c r="O2152">
        <v>1117.4100000000001</v>
      </c>
      <c r="P2152" t="s">
        <v>2111</v>
      </c>
      <c r="Q2152" t="s">
        <v>1170</v>
      </c>
    </row>
    <row r="2153" spans="1:17" x14ac:dyDescent="0.3">
      <c r="A2153" t="s">
        <v>2336</v>
      </c>
      <c r="B2153" t="s">
        <v>2201</v>
      </c>
      <c r="C2153" s="1">
        <v>46081</v>
      </c>
      <c r="D2153" t="s">
        <v>16</v>
      </c>
      <c r="E2153" t="s">
        <v>42</v>
      </c>
      <c r="F2153" t="s">
        <v>74</v>
      </c>
      <c r="G2153" t="s">
        <v>112</v>
      </c>
      <c r="H2153" t="s">
        <v>113</v>
      </c>
      <c r="I2153" t="s">
        <v>37</v>
      </c>
      <c r="J2153">
        <v>1499</v>
      </c>
      <c r="K2153">
        <v>1</v>
      </c>
      <c r="L2153">
        <v>1441.97</v>
      </c>
      <c r="M2153">
        <v>0</v>
      </c>
      <c r="N2153">
        <v>1441.97</v>
      </c>
      <c r="O2153">
        <v>1441.97</v>
      </c>
      <c r="P2153" t="s">
        <v>2111</v>
      </c>
      <c r="Q2153" t="s">
        <v>498</v>
      </c>
    </row>
    <row r="2154" spans="1:17" x14ac:dyDescent="0.3">
      <c r="A2154" t="s">
        <v>114</v>
      </c>
      <c r="B2154" t="s">
        <v>111</v>
      </c>
      <c r="C2154" s="1">
        <v>46026</v>
      </c>
      <c r="D2154" t="s">
        <v>63</v>
      </c>
      <c r="E2154" t="s">
        <v>17</v>
      </c>
      <c r="F2154" t="s">
        <v>22</v>
      </c>
      <c r="G2154" t="s">
        <v>250</v>
      </c>
      <c r="H2154" t="s">
        <v>251</v>
      </c>
      <c r="I2154" t="s">
        <v>108</v>
      </c>
      <c r="J2154">
        <v>899</v>
      </c>
      <c r="K2154">
        <v>2</v>
      </c>
      <c r="L2154">
        <v>852.31</v>
      </c>
      <c r="M2154">
        <v>255.69</v>
      </c>
      <c r="N2154">
        <v>1704.62</v>
      </c>
      <c r="O2154">
        <v>1448.93</v>
      </c>
      <c r="P2154" t="s">
        <v>2111</v>
      </c>
      <c r="Q2154" t="s">
        <v>23</v>
      </c>
    </row>
    <row r="2155" spans="1:17" x14ac:dyDescent="0.3">
      <c r="A2155" t="s">
        <v>1729</v>
      </c>
      <c r="B2155" t="s">
        <v>1728</v>
      </c>
      <c r="C2155" s="1">
        <v>46165</v>
      </c>
      <c r="D2155" t="s">
        <v>41</v>
      </c>
      <c r="E2155" t="s">
        <v>17</v>
      </c>
      <c r="F2155" t="s">
        <v>47</v>
      </c>
      <c r="G2155" t="s">
        <v>27</v>
      </c>
      <c r="H2155" t="s">
        <v>28</v>
      </c>
      <c r="I2155" t="s">
        <v>29</v>
      </c>
      <c r="J2155">
        <v>1599</v>
      </c>
      <c r="K2155">
        <v>3</v>
      </c>
      <c r="L2155">
        <v>1553.83</v>
      </c>
      <c r="M2155">
        <v>466.15</v>
      </c>
      <c r="N2155">
        <v>4661.49</v>
      </c>
      <c r="O2155">
        <v>4195.34</v>
      </c>
      <c r="P2155" t="s">
        <v>2111</v>
      </c>
      <c r="Q2155" t="s">
        <v>1479</v>
      </c>
    </row>
    <row r="2156" spans="1:17" x14ac:dyDescent="0.3">
      <c r="A2156" t="s">
        <v>2540</v>
      </c>
      <c r="B2156" t="s">
        <v>2541</v>
      </c>
      <c r="C2156" s="1">
        <v>46191</v>
      </c>
      <c r="D2156" t="s">
        <v>63</v>
      </c>
      <c r="E2156" t="s">
        <v>17</v>
      </c>
      <c r="F2156" t="s">
        <v>47</v>
      </c>
      <c r="G2156" t="s">
        <v>18</v>
      </c>
      <c r="H2156" t="s">
        <v>19</v>
      </c>
      <c r="I2156" t="s">
        <v>20</v>
      </c>
      <c r="J2156">
        <v>2799</v>
      </c>
      <c r="K2156">
        <v>1</v>
      </c>
      <c r="L2156">
        <v>3031.13</v>
      </c>
      <c r="M2156">
        <v>606.23</v>
      </c>
      <c r="N2156">
        <v>3031.13</v>
      </c>
      <c r="O2156">
        <v>2424.9</v>
      </c>
      <c r="P2156" t="s">
        <v>2111</v>
      </c>
      <c r="Q2156" t="s">
        <v>1809</v>
      </c>
    </row>
    <row r="2157" spans="1:17" x14ac:dyDescent="0.3">
      <c r="A2157" t="s">
        <v>1099</v>
      </c>
      <c r="B2157" t="s">
        <v>243</v>
      </c>
      <c r="C2157" s="1">
        <v>46106</v>
      </c>
      <c r="D2157" t="s">
        <v>16</v>
      </c>
      <c r="E2157" t="s">
        <v>50</v>
      </c>
      <c r="F2157" t="s">
        <v>47</v>
      </c>
      <c r="G2157" t="s">
        <v>96</v>
      </c>
      <c r="H2157" t="s">
        <v>97</v>
      </c>
      <c r="I2157" t="s">
        <v>58</v>
      </c>
      <c r="J2157">
        <v>7499</v>
      </c>
      <c r="K2157">
        <v>3</v>
      </c>
      <c r="L2157">
        <v>7611.65</v>
      </c>
      <c r="M2157">
        <v>2283.5</v>
      </c>
      <c r="N2157">
        <v>22834.95</v>
      </c>
      <c r="O2157">
        <v>20551.45</v>
      </c>
      <c r="P2157" t="s">
        <v>2111</v>
      </c>
      <c r="Q2157" t="s">
        <v>789</v>
      </c>
    </row>
    <row r="2158" spans="1:17" x14ac:dyDescent="0.3">
      <c r="A2158" t="s">
        <v>723</v>
      </c>
      <c r="B2158" t="s">
        <v>722</v>
      </c>
      <c r="C2158" s="1">
        <v>46075</v>
      </c>
      <c r="D2158" t="s">
        <v>63</v>
      </c>
      <c r="E2158" t="s">
        <v>50</v>
      </c>
      <c r="F2158" t="s">
        <v>22</v>
      </c>
      <c r="G2158" t="s">
        <v>80</v>
      </c>
      <c r="H2158" t="s">
        <v>81</v>
      </c>
      <c r="I2158" t="s">
        <v>82</v>
      </c>
      <c r="J2158">
        <v>4299</v>
      </c>
      <c r="K2158">
        <v>2</v>
      </c>
      <c r="L2158">
        <v>4503.8</v>
      </c>
      <c r="M2158">
        <v>1351.14</v>
      </c>
      <c r="N2158">
        <v>9007.6</v>
      </c>
      <c r="O2158">
        <v>7656.46</v>
      </c>
      <c r="P2158" t="s">
        <v>2111</v>
      </c>
      <c r="Q2158" t="s">
        <v>498</v>
      </c>
    </row>
    <row r="2159" spans="1:17" x14ac:dyDescent="0.3">
      <c r="A2159" t="s">
        <v>98</v>
      </c>
      <c r="B2159" t="s">
        <v>95</v>
      </c>
      <c r="C2159" s="1">
        <v>46025</v>
      </c>
      <c r="D2159" t="s">
        <v>34</v>
      </c>
      <c r="E2159" t="s">
        <v>17</v>
      </c>
      <c r="F2159" t="s">
        <v>22</v>
      </c>
      <c r="G2159" t="s">
        <v>250</v>
      </c>
      <c r="H2159" t="s">
        <v>251</v>
      </c>
      <c r="I2159" t="s">
        <v>108</v>
      </c>
      <c r="J2159">
        <v>899</v>
      </c>
      <c r="K2159">
        <v>1</v>
      </c>
      <c r="L2159">
        <v>897.22</v>
      </c>
      <c r="M2159">
        <v>224.3</v>
      </c>
      <c r="N2159">
        <v>897.22</v>
      </c>
      <c r="O2159">
        <v>672.92</v>
      </c>
      <c r="P2159" t="s">
        <v>2111</v>
      </c>
      <c r="Q2159" t="s">
        <v>23</v>
      </c>
    </row>
    <row r="2160" spans="1:17" x14ac:dyDescent="0.3">
      <c r="A2160" t="s">
        <v>2860</v>
      </c>
      <c r="B2160" t="s">
        <v>2861</v>
      </c>
      <c r="C2160" s="1">
        <v>46065</v>
      </c>
      <c r="D2160" t="s">
        <v>16</v>
      </c>
      <c r="E2160" t="s">
        <v>50</v>
      </c>
      <c r="F2160" t="s">
        <v>74</v>
      </c>
      <c r="G2160" t="s">
        <v>80</v>
      </c>
      <c r="H2160" t="s">
        <v>81</v>
      </c>
      <c r="I2160" t="s">
        <v>82</v>
      </c>
      <c r="J2160">
        <v>4299</v>
      </c>
      <c r="K2160">
        <v>1</v>
      </c>
      <c r="L2160">
        <v>3893.91</v>
      </c>
      <c r="M2160">
        <v>194.7</v>
      </c>
      <c r="N2160">
        <v>3893.91</v>
      </c>
      <c r="O2160">
        <v>3699.21</v>
      </c>
      <c r="P2160" t="s">
        <v>2114</v>
      </c>
      <c r="Q2160" t="s">
        <v>498</v>
      </c>
    </row>
    <row r="2161" spans="1:17" x14ac:dyDescent="0.3">
      <c r="A2161" t="s">
        <v>2305</v>
      </c>
      <c r="B2161" t="s">
        <v>2306</v>
      </c>
      <c r="C2161" s="1">
        <v>46034</v>
      </c>
      <c r="D2161" t="s">
        <v>16</v>
      </c>
      <c r="E2161" t="s">
        <v>50</v>
      </c>
      <c r="F2161" t="s">
        <v>22</v>
      </c>
      <c r="G2161" t="s">
        <v>91</v>
      </c>
      <c r="H2161" t="s">
        <v>92</v>
      </c>
      <c r="I2161" t="s">
        <v>37</v>
      </c>
      <c r="J2161">
        <v>1899</v>
      </c>
      <c r="K2161">
        <v>1</v>
      </c>
      <c r="L2161">
        <v>1733.48</v>
      </c>
      <c r="M2161">
        <v>173.35</v>
      </c>
      <c r="N2161">
        <v>1733.48</v>
      </c>
      <c r="O2161">
        <v>1560.13</v>
      </c>
      <c r="P2161" t="s">
        <v>2114</v>
      </c>
      <c r="Q2161" t="s">
        <v>23</v>
      </c>
    </row>
    <row r="2162" spans="1:17" x14ac:dyDescent="0.3">
      <c r="A2162" t="s">
        <v>1678</v>
      </c>
      <c r="B2162" t="s">
        <v>1677</v>
      </c>
      <c r="C2162" s="1">
        <v>46159</v>
      </c>
      <c r="D2162" t="s">
        <v>34</v>
      </c>
      <c r="E2162" t="s">
        <v>50</v>
      </c>
      <c r="F2162" t="s">
        <v>60</v>
      </c>
      <c r="G2162" t="s">
        <v>250</v>
      </c>
      <c r="H2162" t="s">
        <v>251</v>
      </c>
      <c r="I2162" t="s">
        <v>108</v>
      </c>
      <c r="J2162">
        <v>899</v>
      </c>
      <c r="K2162">
        <v>4</v>
      </c>
      <c r="L2162">
        <v>905.82</v>
      </c>
      <c r="M2162">
        <v>362.33</v>
      </c>
      <c r="N2162">
        <v>3623.28</v>
      </c>
      <c r="O2162">
        <v>3260.95</v>
      </c>
      <c r="P2162" t="s">
        <v>2111</v>
      </c>
      <c r="Q2162" t="s">
        <v>1479</v>
      </c>
    </row>
    <row r="2163" spans="1:17" x14ac:dyDescent="0.3">
      <c r="A2163" t="s">
        <v>2334</v>
      </c>
      <c r="B2163" t="s">
        <v>2335</v>
      </c>
      <c r="C2163" s="1">
        <v>46149</v>
      </c>
      <c r="D2163" t="s">
        <v>63</v>
      </c>
      <c r="E2163" t="s">
        <v>50</v>
      </c>
      <c r="F2163" t="s">
        <v>47</v>
      </c>
      <c r="G2163" t="s">
        <v>35</v>
      </c>
      <c r="H2163" t="s">
        <v>36</v>
      </c>
      <c r="I2163" t="s">
        <v>37</v>
      </c>
      <c r="J2163">
        <v>799</v>
      </c>
      <c r="K2163">
        <v>2</v>
      </c>
      <c r="L2163">
        <v>833.96</v>
      </c>
      <c r="M2163">
        <v>0</v>
      </c>
      <c r="N2163">
        <v>1667.92</v>
      </c>
      <c r="O2163">
        <v>1667.92</v>
      </c>
      <c r="P2163" t="s">
        <v>2111</v>
      </c>
      <c r="Q2163" t="s">
        <v>1479</v>
      </c>
    </row>
    <row r="2164" spans="1:17" x14ac:dyDescent="0.3">
      <c r="A2164" t="s">
        <v>2919</v>
      </c>
      <c r="B2164" t="s">
        <v>2478</v>
      </c>
      <c r="C2164" s="1">
        <v>46178</v>
      </c>
      <c r="D2164" t="s">
        <v>34</v>
      </c>
      <c r="E2164" t="s">
        <v>50</v>
      </c>
      <c r="F2164" t="s">
        <v>60</v>
      </c>
      <c r="G2164" t="s">
        <v>43</v>
      </c>
      <c r="H2164" t="s">
        <v>44</v>
      </c>
      <c r="I2164" t="s">
        <v>45</v>
      </c>
      <c r="J2164">
        <v>3299</v>
      </c>
      <c r="K2164">
        <v>1</v>
      </c>
      <c r="L2164">
        <v>3111.18</v>
      </c>
      <c r="M2164">
        <v>0</v>
      </c>
      <c r="N2164">
        <v>3111.18</v>
      </c>
      <c r="O2164">
        <v>3111.18</v>
      </c>
      <c r="P2164" t="s">
        <v>2111</v>
      </c>
      <c r="Q2164" t="s">
        <v>1809</v>
      </c>
    </row>
    <row r="2165" spans="1:17" x14ac:dyDescent="0.3">
      <c r="A2165" t="s">
        <v>909</v>
      </c>
      <c r="B2165" t="s">
        <v>908</v>
      </c>
      <c r="C2165" s="1">
        <v>46090</v>
      </c>
      <c r="D2165" t="s">
        <v>34</v>
      </c>
      <c r="E2165" t="s">
        <v>17</v>
      </c>
      <c r="F2165" t="s">
        <v>47</v>
      </c>
      <c r="G2165" t="s">
        <v>191</v>
      </c>
      <c r="H2165" t="s">
        <v>192</v>
      </c>
      <c r="I2165" t="s">
        <v>45</v>
      </c>
      <c r="J2165">
        <v>699</v>
      </c>
      <c r="K2165">
        <v>1</v>
      </c>
      <c r="L2165">
        <v>730.02</v>
      </c>
      <c r="M2165">
        <v>0</v>
      </c>
      <c r="N2165">
        <v>730.02</v>
      </c>
      <c r="O2165">
        <v>730.02</v>
      </c>
      <c r="P2165" t="s">
        <v>2111</v>
      </c>
      <c r="Q2165" t="s">
        <v>789</v>
      </c>
    </row>
    <row r="2166" spans="1:17" x14ac:dyDescent="0.3">
      <c r="A2166" t="s">
        <v>1214</v>
      </c>
      <c r="B2166" t="s">
        <v>1213</v>
      </c>
      <c r="C2166" s="1">
        <v>46118</v>
      </c>
      <c r="D2166" t="s">
        <v>26</v>
      </c>
      <c r="E2166" t="s">
        <v>17</v>
      </c>
      <c r="F2166" t="s">
        <v>74</v>
      </c>
      <c r="G2166" t="s">
        <v>191</v>
      </c>
      <c r="H2166" t="s">
        <v>192</v>
      </c>
      <c r="I2166" t="s">
        <v>45</v>
      </c>
      <c r="J2166">
        <v>699</v>
      </c>
      <c r="K2166">
        <v>2</v>
      </c>
      <c r="L2166">
        <v>742.43</v>
      </c>
      <c r="M2166">
        <v>222.73</v>
      </c>
      <c r="N2166">
        <v>1484.86</v>
      </c>
      <c r="O2166">
        <v>1262.1300000000001</v>
      </c>
      <c r="P2166" t="s">
        <v>2111</v>
      </c>
      <c r="Q2166" t="s">
        <v>1170</v>
      </c>
    </row>
    <row r="2167" spans="1:17" x14ac:dyDescent="0.3">
      <c r="A2167" t="s">
        <v>2928</v>
      </c>
      <c r="B2167" t="s">
        <v>317</v>
      </c>
      <c r="C2167" s="1">
        <v>46148</v>
      </c>
      <c r="D2167" t="s">
        <v>34</v>
      </c>
      <c r="E2167" t="s">
        <v>17</v>
      </c>
      <c r="F2167" t="s">
        <v>47</v>
      </c>
      <c r="G2167" t="s">
        <v>96</v>
      </c>
      <c r="H2167" t="s">
        <v>97</v>
      </c>
      <c r="I2167" t="s">
        <v>58</v>
      </c>
      <c r="J2167">
        <v>7499</v>
      </c>
      <c r="K2167">
        <v>1</v>
      </c>
      <c r="L2167">
        <v>7366.86</v>
      </c>
      <c r="M2167">
        <v>736.69</v>
      </c>
      <c r="N2167">
        <v>7366.86</v>
      </c>
      <c r="O2167">
        <v>6630.17</v>
      </c>
      <c r="P2167" t="s">
        <v>2111</v>
      </c>
      <c r="Q2167" t="s">
        <v>1479</v>
      </c>
    </row>
    <row r="2168" spans="1:17" x14ac:dyDescent="0.3">
      <c r="A2168" t="s">
        <v>2255</v>
      </c>
      <c r="B2168" t="s">
        <v>119</v>
      </c>
      <c r="C2168" s="1">
        <v>46146</v>
      </c>
      <c r="D2168" t="s">
        <v>63</v>
      </c>
      <c r="E2168" t="s">
        <v>17</v>
      </c>
      <c r="F2168" t="s">
        <v>22</v>
      </c>
      <c r="G2168" t="s">
        <v>51</v>
      </c>
      <c r="H2168" t="s">
        <v>52</v>
      </c>
      <c r="I2168" t="s">
        <v>20</v>
      </c>
      <c r="J2168">
        <v>999</v>
      </c>
      <c r="K2168">
        <v>1</v>
      </c>
      <c r="L2168">
        <v>1048.23</v>
      </c>
      <c r="M2168">
        <v>104.82</v>
      </c>
      <c r="N2168">
        <v>1048.23</v>
      </c>
      <c r="O2168">
        <v>943.41</v>
      </c>
      <c r="P2168" t="s">
        <v>2111</v>
      </c>
      <c r="Q2168" t="s">
        <v>1479</v>
      </c>
    </row>
    <row r="2169" spans="1:17" x14ac:dyDescent="0.3">
      <c r="A2169" t="s">
        <v>555</v>
      </c>
      <c r="B2169" t="s">
        <v>412</v>
      </c>
      <c r="C2169" s="1">
        <v>46059</v>
      </c>
      <c r="D2169" t="s">
        <v>34</v>
      </c>
      <c r="E2169" t="s">
        <v>50</v>
      </c>
      <c r="F2169" t="s">
        <v>60</v>
      </c>
      <c r="G2169" t="s">
        <v>96</v>
      </c>
      <c r="H2169" t="s">
        <v>97</v>
      </c>
      <c r="I2169" t="s">
        <v>58</v>
      </c>
      <c r="J2169">
        <v>7499</v>
      </c>
      <c r="K2169">
        <v>1</v>
      </c>
      <c r="L2169">
        <v>7355.06</v>
      </c>
      <c r="M2169">
        <v>0</v>
      </c>
      <c r="N2169">
        <v>7355.06</v>
      </c>
      <c r="O2169">
        <v>7355.06</v>
      </c>
      <c r="P2169" t="s">
        <v>2111</v>
      </c>
      <c r="Q2169" t="s">
        <v>498</v>
      </c>
    </row>
    <row r="2170" spans="1:17" x14ac:dyDescent="0.3">
      <c r="A2170" t="s">
        <v>2854</v>
      </c>
      <c r="B2170" t="s">
        <v>708</v>
      </c>
      <c r="C2170" s="1">
        <v>46054</v>
      </c>
      <c r="D2170" t="s">
        <v>16</v>
      </c>
      <c r="E2170" t="s">
        <v>17</v>
      </c>
      <c r="F2170" t="s">
        <v>31</v>
      </c>
      <c r="G2170" t="s">
        <v>106</v>
      </c>
      <c r="H2170" t="s">
        <v>107</v>
      </c>
      <c r="I2170" t="s">
        <v>108</v>
      </c>
      <c r="J2170">
        <v>599</v>
      </c>
      <c r="K2170">
        <v>1</v>
      </c>
      <c r="L2170">
        <v>620.37</v>
      </c>
      <c r="M2170">
        <v>62.04</v>
      </c>
      <c r="N2170">
        <v>620.37</v>
      </c>
      <c r="O2170">
        <v>558.33000000000004</v>
      </c>
      <c r="P2170" t="s">
        <v>2114</v>
      </c>
      <c r="Q2170" t="s">
        <v>498</v>
      </c>
    </row>
    <row r="2171" spans="1:17" x14ac:dyDescent="0.3">
      <c r="A2171" t="s">
        <v>462</v>
      </c>
      <c r="B2171" t="s">
        <v>461</v>
      </c>
      <c r="C2171" s="1">
        <v>46049</v>
      </c>
      <c r="D2171" t="s">
        <v>41</v>
      </c>
      <c r="E2171" t="s">
        <v>17</v>
      </c>
      <c r="F2171" t="s">
        <v>31</v>
      </c>
      <c r="G2171" t="s">
        <v>106</v>
      </c>
      <c r="H2171" t="s">
        <v>107</v>
      </c>
      <c r="I2171" t="s">
        <v>108</v>
      </c>
      <c r="J2171">
        <v>599</v>
      </c>
      <c r="K2171">
        <v>1</v>
      </c>
      <c r="L2171">
        <v>630.63</v>
      </c>
      <c r="M2171">
        <v>126.13</v>
      </c>
      <c r="N2171">
        <v>630.63</v>
      </c>
      <c r="O2171">
        <v>504.5</v>
      </c>
      <c r="P2171" t="s">
        <v>2111</v>
      </c>
      <c r="Q2171" t="s">
        <v>23</v>
      </c>
    </row>
    <row r="2172" spans="1:17" x14ac:dyDescent="0.3">
      <c r="A2172" t="s">
        <v>2929</v>
      </c>
      <c r="B2172" t="s">
        <v>2930</v>
      </c>
      <c r="C2172" s="1">
        <v>46130</v>
      </c>
      <c r="D2172" t="s">
        <v>16</v>
      </c>
      <c r="E2172" t="s">
        <v>17</v>
      </c>
      <c r="F2172" t="s">
        <v>60</v>
      </c>
      <c r="G2172" t="s">
        <v>106</v>
      </c>
      <c r="H2172" t="s">
        <v>107</v>
      </c>
      <c r="I2172" t="s">
        <v>108</v>
      </c>
      <c r="J2172">
        <v>599</v>
      </c>
      <c r="K2172">
        <v>1</v>
      </c>
      <c r="L2172">
        <v>657.93</v>
      </c>
      <c r="M2172">
        <v>65.790000000000006</v>
      </c>
      <c r="N2172">
        <v>657.93</v>
      </c>
      <c r="O2172">
        <v>592.14</v>
      </c>
      <c r="P2172" t="s">
        <v>2111</v>
      </c>
      <c r="Q2172" t="s">
        <v>1170</v>
      </c>
    </row>
    <row r="2173" spans="1:17" x14ac:dyDescent="0.3">
      <c r="A2173" t="s">
        <v>2140</v>
      </c>
      <c r="B2173" t="s">
        <v>1912</v>
      </c>
      <c r="C2173" s="1">
        <v>46061</v>
      </c>
      <c r="D2173" t="s">
        <v>34</v>
      </c>
      <c r="E2173" t="s">
        <v>50</v>
      </c>
      <c r="F2173" t="s">
        <v>47</v>
      </c>
      <c r="G2173" t="s">
        <v>250</v>
      </c>
      <c r="H2173" t="s">
        <v>251</v>
      </c>
      <c r="I2173" t="s">
        <v>108</v>
      </c>
      <c r="J2173">
        <v>899</v>
      </c>
      <c r="K2173">
        <v>1</v>
      </c>
      <c r="L2173">
        <v>871.2</v>
      </c>
      <c r="M2173">
        <v>87.12</v>
      </c>
      <c r="N2173">
        <v>871.2</v>
      </c>
      <c r="O2173">
        <v>784.08</v>
      </c>
      <c r="P2173" t="s">
        <v>2111</v>
      </c>
      <c r="Q2173" t="s">
        <v>498</v>
      </c>
    </row>
    <row r="2174" spans="1:17" x14ac:dyDescent="0.3">
      <c r="A2174" t="s">
        <v>2547</v>
      </c>
      <c r="B2174" t="s">
        <v>978</v>
      </c>
      <c r="C2174" s="1">
        <v>46171</v>
      </c>
      <c r="D2174" t="s">
        <v>16</v>
      </c>
      <c r="E2174" t="s">
        <v>50</v>
      </c>
      <c r="F2174" t="s">
        <v>47</v>
      </c>
      <c r="G2174" t="s">
        <v>165</v>
      </c>
      <c r="H2174" t="s">
        <v>166</v>
      </c>
      <c r="I2174" t="s">
        <v>29</v>
      </c>
      <c r="J2174">
        <v>449</v>
      </c>
      <c r="K2174">
        <v>2</v>
      </c>
      <c r="L2174">
        <v>441.01</v>
      </c>
      <c r="M2174">
        <v>132.30000000000001</v>
      </c>
      <c r="N2174">
        <v>882.02</v>
      </c>
      <c r="O2174">
        <v>749.72</v>
      </c>
      <c r="P2174" t="s">
        <v>2114</v>
      </c>
      <c r="Q2174" t="s">
        <v>1479</v>
      </c>
    </row>
    <row r="2175" spans="1:17" x14ac:dyDescent="0.3">
      <c r="A2175" t="s">
        <v>2742</v>
      </c>
      <c r="B2175" t="s">
        <v>1321</v>
      </c>
      <c r="C2175" s="1">
        <v>46024</v>
      </c>
      <c r="D2175" t="s">
        <v>41</v>
      </c>
      <c r="E2175" t="s">
        <v>42</v>
      </c>
      <c r="F2175" t="s">
        <v>74</v>
      </c>
      <c r="G2175" t="s">
        <v>27</v>
      </c>
      <c r="H2175" t="s">
        <v>28</v>
      </c>
      <c r="I2175" t="s">
        <v>29</v>
      </c>
      <c r="J2175">
        <v>1599</v>
      </c>
      <c r="K2175">
        <v>1</v>
      </c>
      <c r="L2175">
        <v>1492.07</v>
      </c>
      <c r="M2175">
        <v>223.81</v>
      </c>
      <c r="N2175">
        <v>1492.07</v>
      </c>
      <c r="O2175">
        <v>1268.26</v>
      </c>
      <c r="P2175" t="s">
        <v>2111</v>
      </c>
      <c r="Q2175" t="s">
        <v>23</v>
      </c>
    </row>
    <row r="2176" spans="1:17" x14ac:dyDescent="0.3">
      <c r="A2176" t="s">
        <v>564</v>
      </c>
      <c r="B2176" t="s">
        <v>563</v>
      </c>
      <c r="C2176" s="1">
        <v>46059</v>
      </c>
      <c r="D2176" t="s">
        <v>63</v>
      </c>
      <c r="E2176" t="s">
        <v>50</v>
      </c>
      <c r="F2176" t="s">
        <v>22</v>
      </c>
      <c r="G2176" t="s">
        <v>27</v>
      </c>
      <c r="H2176" t="s">
        <v>28</v>
      </c>
      <c r="I2176" t="s">
        <v>29</v>
      </c>
      <c r="J2176">
        <v>1599</v>
      </c>
      <c r="K2176">
        <v>1</v>
      </c>
      <c r="L2176">
        <v>1504.36</v>
      </c>
      <c r="M2176">
        <v>150.44</v>
      </c>
      <c r="N2176">
        <v>1504.36</v>
      </c>
      <c r="O2176">
        <v>1353.92</v>
      </c>
      <c r="P2176" t="s">
        <v>2111</v>
      </c>
      <c r="Q2176" t="s">
        <v>498</v>
      </c>
    </row>
    <row r="2177" spans="1:17" x14ac:dyDescent="0.3">
      <c r="A2177" t="s">
        <v>2164</v>
      </c>
      <c r="B2177" t="s">
        <v>2165</v>
      </c>
      <c r="C2177" s="1">
        <v>46090</v>
      </c>
      <c r="D2177" t="s">
        <v>16</v>
      </c>
      <c r="E2177" t="s">
        <v>17</v>
      </c>
      <c r="F2177" t="s">
        <v>31</v>
      </c>
      <c r="G2177" t="s">
        <v>86</v>
      </c>
      <c r="H2177" t="s">
        <v>87</v>
      </c>
      <c r="I2177" t="s">
        <v>82</v>
      </c>
      <c r="J2177">
        <v>3499</v>
      </c>
      <c r="K2177">
        <v>1</v>
      </c>
      <c r="L2177">
        <v>3634.34</v>
      </c>
      <c r="M2177">
        <v>726.87</v>
      </c>
      <c r="N2177">
        <v>3634.34</v>
      </c>
      <c r="O2177">
        <v>2907.47</v>
      </c>
      <c r="P2177" t="s">
        <v>2111</v>
      </c>
      <c r="Q2177" t="s">
        <v>789</v>
      </c>
    </row>
    <row r="2178" spans="1:17" x14ac:dyDescent="0.3">
      <c r="A2178" t="s">
        <v>979</v>
      </c>
      <c r="B2178" t="s">
        <v>978</v>
      </c>
      <c r="C2178" s="1">
        <v>46096</v>
      </c>
      <c r="D2178" t="s">
        <v>34</v>
      </c>
      <c r="E2178" t="s">
        <v>17</v>
      </c>
      <c r="F2178" t="s">
        <v>22</v>
      </c>
      <c r="G2178" t="s">
        <v>80</v>
      </c>
      <c r="H2178" t="s">
        <v>81</v>
      </c>
      <c r="I2178" t="s">
        <v>82</v>
      </c>
      <c r="J2178">
        <v>4299</v>
      </c>
      <c r="K2178">
        <v>1</v>
      </c>
      <c r="L2178">
        <v>4657.58</v>
      </c>
      <c r="M2178">
        <v>465.76</v>
      </c>
      <c r="N2178">
        <v>4657.58</v>
      </c>
      <c r="O2178">
        <v>4191.82</v>
      </c>
      <c r="P2178" t="s">
        <v>2111</v>
      </c>
      <c r="Q2178" t="s">
        <v>789</v>
      </c>
    </row>
    <row r="2179" spans="1:17" x14ac:dyDescent="0.3">
      <c r="A2179" t="s">
        <v>2148</v>
      </c>
      <c r="B2179" t="s">
        <v>2149</v>
      </c>
      <c r="C2179" s="1">
        <v>46174</v>
      </c>
      <c r="D2179" t="s">
        <v>26</v>
      </c>
      <c r="E2179" t="s">
        <v>17</v>
      </c>
      <c r="F2179" t="s">
        <v>22</v>
      </c>
      <c r="G2179" t="s">
        <v>106</v>
      </c>
      <c r="H2179" t="s">
        <v>107</v>
      </c>
      <c r="I2179" t="s">
        <v>108</v>
      </c>
      <c r="J2179">
        <v>599</v>
      </c>
      <c r="K2179">
        <v>1</v>
      </c>
      <c r="L2179">
        <v>586.37</v>
      </c>
      <c r="M2179">
        <v>117.27</v>
      </c>
      <c r="N2179">
        <v>586.37</v>
      </c>
      <c r="O2179">
        <v>469.1</v>
      </c>
      <c r="P2179" t="s">
        <v>2111</v>
      </c>
      <c r="Q2179" t="s">
        <v>1809</v>
      </c>
    </row>
    <row r="2180" spans="1:17" x14ac:dyDescent="0.3">
      <c r="A2180" t="s">
        <v>1555</v>
      </c>
      <c r="B2180" t="s">
        <v>1554</v>
      </c>
      <c r="C2180" s="1">
        <v>46150</v>
      </c>
      <c r="D2180" t="s">
        <v>26</v>
      </c>
      <c r="E2180" t="s">
        <v>50</v>
      </c>
      <c r="F2180" t="s">
        <v>47</v>
      </c>
      <c r="G2180" t="s">
        <v>355</v>
      </c>
      <c r="H2180" t="s">
        <v>356</v>
      </c>
      <c r="I2180" t="s">
        <v>82</v>
      </c>
      <c r="J2180">
        <v>499</v>
      </c>
      <c r="K2180">
        <v>1</v>
      </c>
      <c r="L2180">
        <v>467.05</v>
      </c>
      <c r="M2180">
        <v>23.35</v>
      </c>
      <c r="N2180">
        <v>467.05</v>
      </c>
      <c r="O2180">
        <v>443.7</v>
      </c>
      <c r="P2180" t="s">
        <v>2111</v>
      </c>
      <c r="Q2180" t="s">
        <v>1479</v>
      </c>
    </row>
    <row r="2181" spans="1:17" x14ac:dyDescent="0.3">
      <c r="A2181" t="s">
        <v>2797</v>
      </c>
      <c r="B2181" t="s">
        <v>654</v>
      </c>
      <c r="C2181" s="1">
        <v>46166</v>
      </c>
      <c r="D2181" t="s">
        <v>16</v>
      </c>
      <c r="E2181" t="s">
        <v>42</v>
      </c>
      <c r="F2181" t="s">
        <v>31</v>
      </c>
      <c r="G2181" t="s">
        <v>86</v>
      </c>
      <c r="H2181" t="s">
        <v>87</v>
      </c>
      <c r="I2181" t="s">
        <v>82</v>
      </c>
      <c r="J2181">
        <v>3499</v>
      </c>
      <c r="K2181">
        <v>1</v>
      </c>
      <c r="L2181">
        <v>3348.61</v>
      </c>
      <c r="M2181">
        <v>167.43</v>
      </c>
      <c r="N2181">
        <v>3348.61</v>
      </c>
      <c r="O2181">
        <v>3181.18</v>
      </c>
      <c r="P2181" t="s">
        <v>2114</v>
      </c>
      <c r="Q2181" t="s">
        <v>1479</v>
      </c>
    </row>
    <row r="2182" spans="1:17" x14ac:dyDescent="0.3">
      <c r="A2182" t="s">
        <v>619</v>
      </c>
      <c r="B2182" t="s">
        <v>231</v>
      </c>
      <c r="C2182" s="1">
        <v>46065</v>
      </c>
      <c r="D2182" t="s">
        <v>16</v>
      </c>
      <c r="E2182" t="s">
        <v>17</v>
      </c>
      <c r="F2182" t="s">
        <v>60</v>
      </c>
      <c r="G2182" t="s">
        <v>96</v>
      </c>
      <c r="H2182" t="s">
        <v>97</v>
      </c>
      <c r="I2182" t="s">
        <v>58</v>
      </c>
      <c r="J2182">
        <v>7499</v>
      </c>
      <c r="K2182">
        <v>2</v>
      </c>
      <c r="L2182">
        <v>7431.59</v>
      </c>
      <c r="M2182">
        <v>0</v>
      </c>
      <c r="N2182">
        <v>14863.18</v>
      </c>
      <c r="O2182">
        <v>14863.18</v>
      </c>
      <c r="P2182" t="s">
        <v>2111</v>
      </c>
      <c r="Q2182" t="s">
        <v>498</v>
      </c>
    </row>
    <row r="2183" spans="1:17" x14ac:dyDescent="0.3">
      <c r="A2183" t="s">
        <v>930</v>
      </c>
      <c r="B2183" t="s">
        <v>929</v>
      </c>
      <c r="C2183" s="1">
        <v>46091</v>
      </c>
      <c r="D2183" t="s">
        <v>16</v>
      </c>
      <c r="E2183" t="s">
        <v>17</v>
      </c>
      <c r="F2183" t="s">
        <v>22</v>
      </c>
      <c r="G2183" t="s">
        <v>250</v>
      </c>
      <c r="H2183" t="s">
        <v>251</v>
      </c>
      <c r="I2183" t="s">
        <v>108</v>
      </c>
      <c r="J2183">
        <v>899</v>
      </c>
      <c r="K2183">
        <v>2</v>
      </c>
      <c r="L2183">
        <v>861.36</v>
      </c>
      <c r="M2183">
        <v>258.41000000000003</v>
      </c>
      <c r="N2183">
        <v>1722.72</v>
      </c>
      <c r="O2183">
        <v>1464.31</v>
      </c>
      <c r="P2183" t="s">
        <v>2111</v>
      </c>
      <c r="Q2183" t="s">
        <v>789</v>
      </c>
    </row>
    <row r="2184" spans="1:17" x14ac:dyDescent="0.3">
      <c r="A2184" t="s">
        <v>2931</v>
      </c>
      <c r="B2184" t="s">
        <v>382</v>
      </c>
      <c r="C2184" s="1">
        <v>46163</v>
      </c>
      <c r="D2184" t="s">
        <v>16</v>
      </c>
      <c r="E2184" t="s">
        <v>17</v>
      </c>
      <c r="F2184" t="s">
        <v>74</v>
      </c>
      <c r="G2184" t="s">
        <v>43</v>
      </c>
      <c r="H2184" t="s">
        <v>44</v>
      </c>
      <c r="I2184" t="s">
        <v>45</v>
      </c>
      <c r="J2184">
        <v>3299</v>
      </c>
      <c r="K2184">
        <v>2</v>
      </c>
      <c r="L2184">
        <v>3123.22</v>
      </c>
      <c r="M2184">
        <v>624.64</v>
      </c>
      <c r="N2184">
        <v>6246.44</v>
      </c>
      <c r="O2184">
        <v>5621.8</v>
      </c>
      <c r="P2184" t="s">
        <v>2111</v>
      </c>
      <c r="Q2184" t="s">
        <v>1479</v>
      </c>
    </row>
    <row r="2185" spans="1:17" x14ac:dyDescent="0.3">
      <c r="A2185" t="s">
        <v>1697</v>
      </c>
      <c r="B2185" t="s">
        <v>1696</v>
      </c>
      <c r="C2185" s="1">
        <v>46161</v>
      </c>
      <c r="D2185" t="s">
        <v>41</v>
      </c>
      <c r="E2185" t="s">
        <v>17</v>
      </c>
      <c r="F2185" t="s">
        <v>22</v>
      </c>
      <c r="G2185" t="s">
        <v>165</v>
      </c>
      <c r="H2185" t="s">
        <v>166</v>
      </c>
      <c r="I2185" t="s">
        <v>29</v>
      </c>
      <c r="J2185">
        <v>449</v>
      </c>
      <c r="K2185">
        <v>2</v>
      </c>
      <c r="L2185">
        <v>470.19</v>
      </c>
      <c r="M2185">
        <v>47.02</v>
      </c>
      <c r="N2185">
        <v>940.38</v>
      </c>
      <c r="O2185">
        <v>893.36</v>
      </c>
      <c r="P2185" t="s">
        <v>2111</v>
      </c>
      <c r="Q2185" t="s">
        <v>1479</v>
      </c>
    </row>
    <row r="2186" spans="1:17" x14ac:dyDescent="0.3">
      <c r="A2186" t="s">
        <v>2643</v>
      </c>
      <c r="B2186" t="s">
        <v>846</v>
      </c>
      <c r="C2186" s="1">
        <v>46150</v>
      </c>
      <c r="D2186" t="s">
        <v>34</v>
      </c>
      <c r="E2186" t="s">
        <v>17</v>
      </c>
      <c r="F2186" t="s">
        <v>47</v>
      </c>
      <c r="G2186" t="s">
        <v>165</v>
      </c>
      <c r="H2186" t="s">
        <v>166</v>
      </c>
      <c r="I2186" t="s">
        <v>29</v>
      </c>
      <c r="J2186">
        <v>449</v>
      </c>
      <c r="K2186">
        <v>2</v>
      </c>
      <c r="L2186">
        <v>404.8</v>
      </c>
      <c r="M2186">
        <v>40.479999999999997</v>
      </c>
      <c r="N2186">
        <v>809.6</v>
      </c>
      <c r="O2186">
        <v>769.12</v>
      </c>
      <c r="P2186" t="s">
        <v>2111</v>
      </c>
      <c r="Q2186" t="s">
        <v>1479</v>
      </c>
    </row>
    <row r="2187" spans="1:17" x14ac:dyDescent="0.3">
      <c r="A2187" t="s">
        <v>703</v>
      </c>
      <c r="B2187" t="s">
        <v>187</v>
      </c>
      <c r="C2187" s="1">
        <v>46074</v>
      </c>
      <c r="D2187" t="s">
        <v>16</v>
      </c>
      <c r="E2187" t="s">
        <v>17</v>
      </c>
      <c r="F2187" t="s">
        <v>60</v>
      </c>
      <c r="G2187" t="s">
        <v>91</v>
      </c>
      <c r="H2187" t="s">
        <v>92</v>
      </c>
      <c r="I2187" t="s">
        <v>37</v>
      </c>
      <c r="J2187">
        <v>1899</v>
      </c>
      <c r="K2187">
        <v>1</v>
      </c>
      <c r="L2187">
        <v>1913.9</v>
      </c>
      <c r="M2187">
        <v>382.78</v>
      </c>
      <c r="N2187">
        <v>1913.9</v>
      </c>
      <c r="O2187">
        <v>1531.12</v>
      </c>
      <c r="P2187" t="s">
        <v>2111</v>
      </c>
      <c r="Q2187" t="s">
        <v>498</v>
      </c>
    </row>
    <row r="2188" spans="1:17" x14ac:dyDescent="0.3">
      <c r="A2188" t="s">
        <v>1964</v>
      </c>
      <c r="B2188" t="s">
        <v>496</v>
      </c>
      <c r="C2188" s="1">
        <v>46190</v>
      </c>
      <c r="D2188" t="s">
        <v>63</v>
      </c>
      <c r="E2188" t="s">
        <v>50</v>
      </c>
      <c r="F2188" t="s">
        <v>22</v>
      </c>
      <c r="G2188" t="s">
        <v>106</v>
      </c>
      <c r="H2188" t="s">
        <v>107</v>
      </c>
      <c r="I2188" t="s">
        <v>108</v>
      </c>
      <c r="J2188">
        <v>599</v>
      </c>
      <c r="K2188">
        <v>2</v>
      </c>
      <c r="L2188">
        <v>634.19000000000005</v>
      </c>
      <c r="M2188">
        <v>253.68</v>
      </c>
      <c r="N2188">
        <v>1268.3800000000001</v>
      </c>
      <c r="O2188">
        <v>1014.7</v>
      </c>
      <c r="P2188" t="s">
        <v>2111</v>
      </c>
      <c r="Q2188" t="s">
        <v>1809</v>
      </c>
    </row>
    <row r="2189" spans="1:17" x14ac:dyDescent="0.3">
      <c r="A2189" t="s">
        <v>360</v>
      </c>
      <c r="B2189" t="s">
        <v>359</v>
      </c>
      <c r="C2189" s="1">
        <v>46042</v>
      </c>
      <c r="D2189" t="s">
        <v>16</v>
      </c>
      <c r="E2189" t="s">
        <v>50</v>
      </c>
      <c r="F2189" t="s">
        <v>60</v>
      </c>
      <c r="G2189" t="s">
        <v>160</v>
      </c>
      <c r="H2189" t="s">
        <v>161</v>
      </c>
      <c r="I2189" t="s">
        <v>82</v>
      </c>
      <c r="J2189">
        <v>799</v>
      </c>
      <c r="K2189">
        <v>1</v>
      </c>
      <c r="L2189">
        <v>761.64</v>
      </c>
      <c r="M2189">
        <v>76.16</v>
      </c>
      <c r="N2189">
        <v>761.64</v>
      </c>
      <c r="O2189">
        <v>685.48</v>
      </c>
      <c r="P2189" t="s">
        <v>2111</v>
      </c>
      <c r="Q2189" t="s">
        <v>23</v>
      </c>
    </row>
    <row r="2190" spans="1:17" x14ac:dyDescent="0.3">
      <c r="A2190" t="s">
        <v>2238</v>
      </c>
      <c r="B2190" t="s">
        <v>2239</v>
      </c>
      <c r="C2190" s="1">
        <v>46153</v>
      </c>
      <c r="D2190" t="s">
        <v>34</v>
      </c>
      <c r="E2190" t="s">
        <v>17</v>
      </c>
      <c r="F2190" t="s">
        <v>47</v>
      </c>
      <c r="G2190" t="s">
        <v>149</v>
      </c>
      <c r="H2190" t="s">
        <v>150</v>
      </c>
      <c r="I2190" t="s">
        <v>37</v>
      </c>
      <c r="J2190">
        <v>2999</v>
      </c>
      <c r="K2190">
        <v>2</v>
      </c>
      <c r="L2190">
        <v>3060.95</v>
      </c>
      <c r="M2190">
        <v>612.19000000000005</v>
      </c>
      <c r="N2190">
        <v>6121.9</v>
      </c>
      <c r="O2190">
        <v>5509.71</v>
      </c>
      <c r="P2190" t="s">
        <v>2111</v>
      </c>
      <c r="Q2190" t="s">
        <v>1479</v>
      </c>
    </row>
    <row r="2191" spans="1:17" x14ac:dyDescent="0.3">
      <c r="A2191" t="s">
        <v>1438</v>
      </c>
      <c r="B2191" t="s">
        <v>1437</v>
      </c>
      <c r="C2191" s="1">
        <v>46139</v>
      </c>
      <c r="D2191" t="s">
        <v>16</v>
      </c>
      <c r="E2191" t="s">
        <v>50</v>
      </c>
      <c r="F2191" t="s">
        <v>47</v>
      </c>
      <c r="G2191" t="s">
        <v>18</v>
      </c>
      <c r="H2191" t="s">
        <v>19</v>
      </c>
      <c r="I2191" t="s">
        <v>20</v>
      </c>
      <c r="J2191">
        <v>2799</v>
      </c>
      <c r="K2191">
        <v>2</v>
      </c>
      <c r="L2191">
        <v>2893.55</v>
      </c>
      <c r="M2191">
        <v>578.71</v>
      </c>
      <c r="N2191">
        <v>5787.1</v>
      </c>
      <c r="O2191">
        <v>5208.3900000000003</v>
      </c>
      <c r="P2191" t="s">
        <v>2111</v>
      </c>
      <c r="Q2191" t="s">
        <v>1170</v>
      </c>
    </row>
    <row r="2192" spans="1:17" x14ac:dyDescent="0.3">
      <c r="A2192" t="s">
        <v>1129</v>
      </c>
      <c r="B2192" t="s">
        <v>1128</v>
      </c>
      <c r="C2192" s="1">
        <v>46109</v>
      </c>
      <c r="D2192" t="s">
        <v>63</v>
      </c>
      <c r="E2192" t="s">
        <v>50</v>
      </c>
      <c r="F2192" t="s">
        <v>74</v>
      </c>
      <c r="G2192" t="s">
        <v>126</v>
      </c>
      <c r="H2192" t="s">
        <v>127</v>
      </c>
      <c r="I2192" t="s">
        <v>45</v>
      </c>
      <c r="J2192">
        <v>2499</v>
      </c>
      <c r="K2192">
        <v>1</v>
      </c>
      <c r="L2192">
        <v>2576.48</v>
      </c>
      <c r="M2192">
        <v>257.64999999999998</v>
      </c>
      <c r="N2192">
        <v>2576.48</v>
      </c>
      <c r="O2192">
        <v>2318.83</v>
      </c>
      <c r="P2192" t="s">
        <v>2111</v>
      </c>
      <c r="Q2192" t="s">
        <v>789</v>
      </c>
    </row>
    <row r="2193" spans="1:17" x14ac:dyDescent="0.3">
      <c r="A2193" t="s">
        <v>1541</v>
      </c>
      <c r="B2193" t="s">
        <v>1540</v>
      </c>
      <c r="C2193" s="1">
        <v>46148</v>
      </c>
      <c r="D2193" t="s">
        <v>26</v>
      </c>
      <c r="E2193" t="s">
        <v>17</v>
      </c>
      <c r="F2193" t="s">
        <v>60</v>
      </c>
      <c r="G2193" t="s">
        <v>160</v>
      </c>
      <c r="H2193" t="s">
        <v>161</v>
      </c>
      <c r="I2193" t="s">
        <v>82</v>
      </c>
      <c r="J2193">
        <v>799</v>
      </c>
      <c r="K2193">
        <v>1</v>
      </c>
      <c r="L2193">
        <v>790.35</v>
      </c>
      <c r="M2193">
        <v>158.07</v>
      </c>
      <c r="N2193">
        <v>790.35</v>
      </c>
      <c r="O2193">
        <v>632.28</v>
      </c>
      <c r="P2193" t="s">
        <v>2111</v>
      </c>
      <c r="Q2193" t="s">
        <v>1479</v>
      </c>
    </row>
    <row r="2194" spans="1:17" x14ac:dyDescent="0.3">
      <c r="A2194" t="s">
        <v>1341</v>
      </c>
      <c r="B2194" t="s">
        <v>1340</v>
      </c>
      <c r="C2194" s="1">
        <v>46131</v>
      </c>
      <c r="D2194" t="s">
        <v>16</v>
      </c>
      <c r="E2194" t="s">
        <v>17</v>
      </c>
      <c r="F2194" t="s">
        <v>47</v>
      </c>
      <c r="G2194" t="s">
        <v>18</v>
      </c>
      <c r="H2194" t="s">
        <v>19</v>
      </c>
      <c r="I2194" t="s">
        <v>20</v>
      </c>
      <c r="J2194">
        <v>2799</v>
      </c>
      <c r="K2194">
        <v>1</v>
      </c>
      <c r="L2194">
        <v>2713.11</v>
      </c>
      <c r="M2194">
        <v>0</v>
      </c>
      <c r="N2194">
        <v>2713.11</v>
      </c>
      <c r="O2194">
        <v>2713.11</v>
      </c>
      <c r="P2194" t="s">
        <v>2111</v>
      </c>
      <c r="Q2194" t="s">
        <v>1170</v>
      </c>
    </row>
    <row r="2195" spans="1:17" x14ac:dyDescent="0.3">
      <c r="A2195" t="s">
        <v>581</v>
      </c>
      <c r="B2195" t="s">
        <v>580</v>
      </c>
      <c r="C2195" s="1">
        <v>46061</v>
      </c>
      <c r="D2195" t="s">
        <v>26</v>
      </c>
      <c r="E2195" t="s">
        <v>50</v>
      </c>
      <c r="F2195" t="s">
        <v>22</v>
      </c>
      <c r="G2195" t="s">
        <v>250</v>
      </c>
      <c r="H2195" t="s">
        <v>251</v>
      </c>
      <c r="I2195" t="s">
        <v>108</v>
      </c>
      <c r="J2195">
        <v>899</v>
      </c>
      <c r="K2195">
        <v>2</v>
      </c>
      <c r="L2195">
        <v>959.4</v>
      </c>
      <c r="M2195">
        <v>191.88</v>
      </c>
      <c r="N2195">
        <v>1918.8</v>
      </c>
      <c r="O2195">
        <v>1726.92</v>
      </c>
      <c r="P2195" t="s">
        <v>2111</v>
      </c>
      <c r="Q2195" t="s">
        <v>498</v>
      </c>
    </row>
    <row r="2196" spans="1:17" x14ac:dyDescent="0.3">
      <c r="A2196" t="s">
        <v>658</v>
      </c>
      <c r="B2196" t="s">
        <v>657</v>
      </c>
      <c r="C2196" s="1">
        <v>46070</v>
      </c>
      <c r="D2196" t="s">
        <v>16</v>
      </c>
      <c r="E2196" t="s">
        <v>50</v>
      </c>
      <c r="F2196" t="s">
        <v>22</v>
      </c>
      <c r="G2196" t="s">
        <v>355</v>
      </c>
      <c r="H2196" t="s">
        <v>356</v>
      </c>
      <c r="I2196" t="s">
        <v>82</v>
      </c>
      <c r="J2196">
        <v>499</v>
      </c>
      <c r="K2196">
        <v>2</v>
      </c>
      <c r="L2196">
        <v>524.79</v>
      </c>
      <c r="M2196">
        <v>52.48</v>
      </c>
      <c r="N2196">
        <v>1049.58</v>
      </c>
      <c r="O2196">
        <v>997.1</v>
      </c>
      <c r="P2196" t="s">
        <v>2111</v>
      </c>
      <c r="Q2196" t="s">
        <v>498</v>
      </c>
    </row>
    <row r="2197" spans="1:17" x14ac:dyDescent="0.3">
      <c r="A2197" t="s">
        <v>1623</v>
      </c>
      <c r="B2197" t="s">
        <v>1622</v>
      </c>
      <c r="C2197" s="1">
        <v>46154</v>
      </c>
      <c r="D2197" t="s">
        <v>41</v>
      </c>
      <c r="E2197" t="s">
        <v>17</v>
      </c>
      <c r="F2197" t="s">
        <v>74</v>
      </c>
      <c r="G2197" t="s">
        <v>56</v>
      </c>
      <c r="H2197" t="s">
        <v>57</v>
      </c>
      <c r="I2197" t="s">
        <v>58</v>
      </c>
      <c r="J2197">
        <v>8999</v>
      </c>
      <c r="K2197">
        <v>3</v>
      </c>
      <c r="L2197">
        <v>8677.2999999999993</v>
      </c>
      <c r="M2197">
        <v>2603.19</v>
      </c>
      <c r="N2197">
        <v>26031.9</v>
      </c>
      <c r="O2197">
        <v>23428.71</v>
      </c>
      <c r="P2197" t="s">
        <v>2111</v>
      </c>
      <c r="Q2197" t="s">
        <v>1479</v>
      </c>
    </row>
    <row r="2198" spans="1:17" x14ac:dyDescent="0.3">
      <c r="A2198" t="s">
        <v>2357</v>
      </c>
      <c r="B2198" t="s">
        <v>2358</v>
      </c>
      <c r="C2198" s="1">
        <v>46111</v>
      </c>
      <c r="D2198" t="s">
        <v>63</v>
      </c>
      <c r="E2198" t="s">
        <v>17</v>
      </c>
      <c r="F2198" t="s">
        <v>47</v>
      </c>
      <c r="G2198" t="s">
        <v>355</v>
      </c>
      <c r="H2198" t="s">
        <v>356</v>
      </c>
      <c r="I2198" t="s">
        <v>82</v>
      </c>
      <c r="J2198">
        <v>499</v>
      </c>
      <c r="K2198">
        <v>1</v>
      </c>
      <c r="L2198">
        <v>459.38</v>
      </c>
      <c r="M2198">
        <v>45.94</v>
      </c>
      <c r="N2198">
        <v>459.38</v>
      </c>
      <c r="O2198">
        <v>413.44</v>
      </c>
      <c r="P2198" t="s">
        <v>2111</v>
      </c>
      <c r="Q2198" t="s">
        <v>789</v>
      </c>
    </row>
    <row r="2199" spans="1:17" x14ac:dyDescent="0.3">
      <c r="A2199" t="s">
        <v>1283</v>
      </c>
      <c r="B2199" t="s">
        <v>1282</v>
      </c>
      <c r="C2199" s="1">
        <v>46125</v>
      </c>
      <c r="D2199" t="s">
        <v>41</v>
      </c>
      <c r="E2199" t="s">
        <v>50</v>
      </c>
      <c r="F2199" t="s">
        <v>22</v>
      </c>
      <c r="G2199" t="s">
        <v>35</v>
      </c>
      <c r="H2199" t="s">
        <v>36</v>
      </c>
      <c r="I2199" t="s">
        <v>37</v>
      </c>
      <c r="J2199">
        <v>799</v>
      </c>
      <c r="K2199">
        <v>2</v>
      </c>
      <c r="L2199">
        <v>730.57</v>
      </c>
      <c r="M2199">
        <v>146.11000000000001</v>
      </c>
      <c r="N2199">
        <v>1461.14</v>
      </c>
      <c r="O2199">
        <v>1315.03</v>
      </c>
      <c r="P2199" t="s">
        <v>2111</v>
      </c>
      <c r="Q2199" t="s">
        <v>1170</v>
      </c>
    </row>
    <row r="2200" spans="1:17" x14ac:dyDescent="0.3">
      <c r="A2200" t="s">
        <v>120</v>
      </c>
      <c r="B2200" t="s">
        <v>119</v>
      </c>
      <c r="C2200" s="1">
        <v>46027</v>
      </c>
      <c r="D2200" t="s">
        <v>26</v>
      </c>
      <c r="E2200" t="s">
        <v>50</v>
      </c>
      <c r="F2200" t="s">
        <v>74</v>
      </c>
      <c r="G2200" t="s">
        <v>96</v>
      </c>
      <c r="H2200" t="s">
        <v>97</v>
      </c>
      <c r="I2200" t="s">
        <v>58</v>
      </c>
      <c r="J2200">
        <v>7499</v>
      </c>
      <c r="K2200">
        <v>1</v>
      </c>
      <c r="L2200">
        <v>6890.5</v>
      </c>
      <c r="M2200">
        <v>0</v>
      </c>
      <c r="N2200">
        <v>6890.5</v>
      </c>
      <c r="O2200">
        <v>6890.5</v>
      </c>
      <c r="P2200" t="s">
        <v>2111</v>
      </c>
      <c r="Q2200" t="s">
        <v>23</v>
      </c>
    </row>
    <row r="2201" spans="1:17" x14ac:dyDescent="0.3">
      <c r="A2201" t="s">
        <v>1464</v>
      </c>
      <c r="B2201" t="s">
        <v>1463</v>
      </c>
      <c r="C2201" s="1">
        <v>46141</v>
      </c>
      <c r="D2201" t="s">
        <v>16</v>
      </c>
      <c r="E2201" t="s">
        <v>17</v>
      </c>
      <c r="F2201" t="s">
        <v>22</v>
      </c>
      <c r="G2201" t="s">
        <v>91</v>
      </c>
      <c r="H2201" t="s">
        <v>92</v>
      </c>
      <c r="I2201" t="s">
        <v>37</v>
      </c>
      <c r="J2201">
        <v>1899</v>
      </c>
      <c r="K2201">
        <v>3</v>
      </c>
      <c r="L2201">
        <v>1930.47</v>
      </c>
      <c r="M2201">
        <v>579.14</v>
      </c>
      <c r="N2201">
        <v>5791.41</v>
      </c>
      <c r="O2201">
        <v>5212.2700000000004</v>
      </c>
      <c r="P2201" t="s">
        <v>2111</v>
      </c>
      <c r="Q2201" t="s">
        <v>1170</v>
      </c>
    </row>
    <row r="2202" spans="1:17" x14ac:dyDescent="0.3">
      <c r="A2202" t="s">
        <v>1427</v>
      </c>
      <c r="B2202" t="s">
        <v>1426</v>
      </c>
      <c r="C2202" s="1">
        <v>46138</v>
      </c>
      <c r="D2202" t="s">
        <v>34</v>
      </c>
      <c r="E2202" t="s">
        <v>17</v>
      </c>
      <c r="F2202" t="s">
        <v>47</v>
      </c>
      <c r="G2202" t="s">
        <v>43</v>
      </c>
      <c r="H2202" t="s">
        <v>44</v>
      </c>
      <c r="I2202" t="s">
        <v>45</v>
      </c>
      <c r="J2202">
        <v>3299</v>
      </c>
      <c r="K2202">
        <v>1</v>
      </c>
      <c r="L2202">
        <v>3003.19</v>
      </c>
      <c r="M2202">
        <v>150.16</v>
      </c>
      <c r="N2202">
        <v>3003.19</v>
      </c>
      <c r="O2202">
        <v>2853.03</v>
      </c>
      <c r="P2202" t="s">
        <v>2111</v>
      </c>
      <c r="Q2202" t="s">
        <v>1170</v>
      </c>
    </row>
    <row r="2203" spans="1:17" x14ac:dyDescent="0.3">
      <c r="A2203" t="s">
        <v>208</v>
      </c>
      <c r="B2203" t="s">
        <v>207</v>
      </c>
      <c r="C2203" s="1">
        <v>46031</v>
      </c>
      <c r="D2203" t="s">
        <v>63</v>
      </c>
      <c r="E2203" t="s">
        <v>50</v>
      </c>
      <c r="F2203" t="s">
        <v>60</v>
      </c>
      <c r="G2203" t="s">
        <v>51</v>
      </c>
      <c r="H2203" t="s">
        <v>52</v>
      </c>
      <c r="I2203" t="s">
        <v>20</v>
      </c>
      <c r="J2203">
        <v>999</v>
      </c>
      <c r="K2203">
        <v>1</v>
      </c>
      <c r="L2203">
        <v>966.42</v>
      </c>
      <c r="M2203">
        <v>0</v>
      </c>
      <c r="N2203">
        <v>966.42</v>
      </c>
      <c r="O2203">
        <v>966.42</v>
      </c>
      <c r="P2203" t="s">
        <v>2114</v>
      </c>
      <c r="Q2203" t="s">
        <v>23</v>
      </c>
    </row>
    <row r="2204" spans="1:17" x14ac:dyDescent="0.3">
      <c r="A2204" t="s">
        <v>462</v>
      </c>
      <c r="B2204" t="s">
        <v>461</v>
      </c>
      <c r="C2204" s="1">
        <v>46049</v>
      </c>
      <c r="D2204" t="s">
        <v>41</v>
      </c>
      <c r="E2204" t="s">
        <v>17</v>
      </c>
      <c r="F2204" t="s">
        <v>31</v>
      </c>
      <c r="G2204" t="s">
        <v>51</v>
      </c>
      <c r="H2204" t="s">
        <v>52</v>
      </c>
      <c r="I2204" t="s">
        <v>20</v>
      </c>
      <c r="J2204">
        <v>999</v>
      </c>
      <c r="K2204">
        <v>1</v>
      </c>
      <c r="L2204">
        <v>1049.5899999999999</v>
      </c>
      <c r="M2204">
        <v>0</v>
      </c>
      <c r="N2204">
        <v>1049.5899999999999</v>
      </c>
      <c r="O2204">
        <v>1049.5899999999999</v>
      </c>
      <c r="P2204" t="s">
        <v>2111</v>
      </c>
      <c r="Q2204" t="s">
        <v>23</v>
      </c>
    </row>
    <row r="2205" spans="1:17" x14ac:dyDescent="0.3">
      <c r="A2205" t="s">
        <v>531</v>
      </c>
      <c r="B2205" t="s">
        <v>530</v>
      </c>
      <c r="C2205" s="1">
        <v>46056</v>
      </c>
      <c r="D2205" t="s">
        <v>16</v>
      </c>
      <c r="E2205" t="s">
        <v>17</v>
      </c>
      <c r="F2205" t="s">
        <v>31</v>
      </c>
      <c r="G2205" t="s">
        <v>91</v>
      </c>
      <c r="H2205" t="s">
        <v>92</v>
      </c>
      <c r="I2205" t="s">
        <v>37</v>
      </c>
      <c r="J2205">
        <v>1899</v>
      </c>
      <c r="K2205">
        <v>2</v>
      </c>
      <c r="L2205">
        <v>1820.89</v>
      </c>
      <c r="M2205">
        <v>546.27</v>
      </c>
      <c r="N2205">
        <v>3641.78</v>
      </c>
      <c r="O2205">
        <v>3095.51</v>
      </c>
      <c r="P2205" t="s">
        <v>2111</v>
      </c>
      <c r="Q2205" t="s">
        <v>498</v>
      </c>
    </row>
    <row r="2206" spans="1:17" x14ac:dyDescent="0.3">
      <c r="A2206" t="s">
        <v>2932</v>
      </c>
      <c r="B2206" t="s">
        <v>2933</v>
      </c>
      <c r="C2206" s="1">
        <v>46121</v>
      </c>
      <c r="D2206" t="s">
        <v>34</v>
      </c>
      <c r="E2206" t="s">
        <v>17</v>
      </c>
      <c r="F2206" t="s">
        <v>22</v>
      </c>
      <c r="G2206" t="s">
        <v>86</v>
      </c>
      <c r="H2206" t="s">
        <v>87</v>
      </c>
      <c r="I2206" t="s">
        <v>82</v>
      </c>
      <c r="J2206">
        <v>3499</v>
      </c>
      <c r="K2206">
        <v>4</v>
      </c>
      <c r="L2206">
        <v>3683.26</v>
      </c>
      <c r="M2206">
        <v>1473.3</v>
      </c>
      <c r="N2206">
        <v>14733.04</v>
      </c>
      <c r="O2206">
        <v>13259.74</v>
      </c>
      <c r="P2206" t="s">
        <v>2111</v>
      </c>
      <c r="Q2206" t="s">
        <v>1170</v>
      </c>
    </row>
    <row r="2207" spans="1:17" x14ac:dyDescent="0.3">
      <c r="A2207" t="s">
        <v>709</v>
      </c>
      <c r="B2207" t="s">
        <v>708</v>
      </c>
      <c r="C2207" s="1">
        <v>46074</v>
      </c>
      <c r="D2207" t="s">
        <v>63</v>
      </c>
      <c r="E2207" t="s">
        <v>17</v>
      </c>
      <c r="F2207" t="s">
        <v>31</v>
      </c>
      <c r="G2207" t="s">
        <v>160</v>
      </c>
      <c r="H2207" t="s">
        <v>161</v>
      </c>
      <c r="I2207" t="s">
        <v>82</v>
      </c>
      <c r="J2207">
        <v>799</v>
      </c>
      <c r="K2207">
        <v>1</v>
      </c>
      <c r="L2207">
        <v>838.23</v>
      </c>
      <c r="M2207">
        <v>83.82</v>
      </c>
      <c r="N2207">
        <v>838.23</v>
      </c>
      <c r="O2207">
        <v>754.41</v>
      </c>
      <c r="P2207" t="s">
        <v>2111</v>
      </c>
      <c r="Q2207" t="s">
        <v>498</v>
      </c>
    </row>
    <row r="2208" spans="1:17" x14ac:dyDescent="0.3">
      <c r="A2208" t="s">
        <v>2143</v>
      </c>
      <c r="B2208" t="s">
        <v>2144</v>
      </c>
      <c r="C2208" s="1">
        <v>46066</v>
      </c>
      <c r="D2208" t="s">
        <v>26</v>
      </c>
      <c r="E2208" t="s">
        <v>50</v>
      </c>
      <c r="F2208" t="s">
        <v>47</v>
      </c>
      <c r="G2208" t="s">
        <v>56</v>
      </c>
      <c r="H2208" t="s">
        <v>57</v>
      </c>
      <c r="I2208" t="s">
        <v>58</v>
      </c>
      <c r="J2208">
        <v>8999</v>
      </c>
      <c r="K2208">
        <v>1</v>
      </c>
      <c r="L2208">
        <v>8541.5400000000009</v>
      </c>
      <c r="M2208">
        <v>1281.23</v>
      </c>
      <c r="N2208">
        <v>8541.5400000000009</v>
      </c>
      <c r="O2208">
        <v>7260.31</v>
      </c>
      <c r="P2208" t="s">
        <v>2111</v>
      </c>
      <c r="Q2208" t="s">
        <v>498</v>
      </c>
    </row>
    <row r="2209" spans="1:17" x14ac:dyDescent="0.3">
      <c r="A2209" t="s">
        <v>1455</v>
      </c>
      <c r="B2209" t="s">
        <v>1454</v>
      </c>
      <c r="C2209" s="1">
        <v>46140</v>
      </c>
      <c r="D2209" t="s">
        <v>34</v>
      </c>
      <c r="E2209" t="s">
        <v>42</v>
      </c>
      <c r="F2209" t="s">
        <v>22</v>
      </c>
      <c r="G2209" t="s">
        <v>126</v>
      </c>
      <c r="H2209" t="s">
        <v>127</v>
      </c>
      <c r="I2209" t="s">
        <v>45</v>
      </c>
      <c r="J2209">
        <v>2499</v>
      </c>
      <c r="K2209">
        <v>3</v>
      </c>
      <c r="L2209">
        <v>2613.37</v>
      </c>
      <c r="M2209">
        <v>1176.02</v>
      </c>
      <c r="N2209">
        <v>7840.11</v>
      </c>
      <c r="O2209">
        <v>6664.09</v>
      </c>
      <c r="P2209" t="s">
        <v>2111</v>
      </c>
      <c r="Q2209" t="s">
        <v>1170</v>
      </c>
    </row>
    <row r="2210" spans="1:17" x14ac:dyDescent="0.3">
      <c r="A2210" t="s">
        <v>2224</v>
      </c>
      <c r="B2210" t="s">
        <v>1706</v>
      </c>
      <c r="C2210" s="1">
        <v>46170</v>
      </c>
      <c r="D2210" t="s">
        <v>63</v>
      </c>
      <c r="E2210" t="s">
        <v>50</v>
      </c>
      <c r="F2210" t="s">
        <v>60</v>
      </c>
      <c r="G2210" t="s">
        <v>191</v>
      </c>
      <c r="H2210" t="s">
        <v>192</v>
      </c>
      <c r="I2210" t="s">
        <v>45</v>
      </c>
      <c r="J2210">
        <v>699</v>
      </c>
      <c r="K2210">
        <v>1</v>
      </c>
      <c r="L2210">
        <v>733.64</v>
      </c>
      <c r="M2210">
        <v>73.36</v>
      </c>
      <c r="N2210">
        <v>733.64</v>
      </c>
      <c r="O2210">
        <v>660.28</v>
      </c>
      <c r="P2210" t="s">
        <v>2111</v>
      </c>
      <c r="Q2210" t="s">
        <v>1479</v>
      </c>
    </row>
    <row r="2211" spans="1:17" x14ac:dyDescent="0.3">
      <c r="A2211" t="s">
        <v>434</v>
      </c>
      <c r="B2211" t="s">
        <v>433</v>
      </c>
      <c r="C2211" s="1">
        <v>46048</v>
      </c>
      <c r="D2211" t="s">
        <v>16</v>
      </c>
      <c r="E2211" t="s">
        <v>17</v>
      </c>
      <c r="F2211" t="s">
        <v>22</v>
      </c>
      <c r="G2211" t="s">
        <v>43</v>
      </c>
      <c r="H2211" t="s">
        <v>44</v>
      </c>
      <c r="I2211" t="s">
        <v>45</v>
      </c>
      <c r="J2211">
        <v>3299</v>
      </c>
      <c r="K2211">
        <v>1</v>
      </c>
      <c r="L2211">
        <v>3231.34</v>
      </c>
      <c r="M2211">
        <v>323.13</v>
      </c>
      <c r="N2211">
        <v>3231.34</v>
      </c>
      <c r="O2211">
        <v>2908.21</v>
      </c>
      <c r="P2211" t="s">
        <v>2111</v>
      </c>
      <c r="Q2211" t="s">
        <v>23</v>
      </c>
    </row>
    <row r="2212" spans="1:17" x14ac:dyDescent="0.3">
      <c r="A2212" t="s">
        <v>2680</v>
      </c>
      <c r="B2212" t="s">
        <v>987</v>
      </c>
      <c r="C2212" s="1">
        <v>46143</v>
      </c>
      <c r="D2212" t="s">
        <v>26</v>
      </c>
      <c r="E2212" t="s">
        <v>17</v>
      </c>
      <c r="F2212" t="s">
        <v>60</v>
      </c>
      <c r="G2212" t="s">
        <v>18</v>
      </c>
      <c r="H2212" t="s">
        <v>19</v>
      </c>
      <c r="I2212" t="s">
        <v>20</v>
      </c>
      <c r="J2212">
        <v>2799</v>
      </c>
      <c r="K2212">
        <v>1</v>
      </c>
      <c r="L2212">
        <v>2636.89</v>
      </c>
      <c r="M2212">
        <v>131.84</v>
      </c>
      <c r="N2212">
        <v>2636.89</v>
      </c>
      <c r="O2212">
        <v>2505.0500000000002</v>
      </c>
      <c r="P2212" t="s">
        <v>2111</v>
      </c>
      <c r="Q2212" t="s">
        <v>1479</v>
      </c>
    </row>
    <row r="2213" spans="1:17" x14ac:dyDescent="0.3">
      <c r="A2213" t="s">
        <v>847</v>
      </c>
      <c r="B2213" t="s">
        <v>846</v>
      </c>
      <c r="C2213" s="1">
        <v>46086</v>
      </c>
      <c r="D2213" t="s">
        <v>16</v>
      </c>
      <c r="E2213" t="s">
        <v>50</v>
      </c>
      <c r="F2213" t="s">
        <v>74</v>
      </c>
      <c r="G2213" t="s">
        <v>112</v>
      </c>
      <c r="H2213" t="s">
        <v>113</v>
      </c>
      <c r="I2213" t="s">
        <v>37</v>
      </c>
      <c r="J2213">
        <v>1499</v>
      </c>
      <c r="K2213">
        <v>1</v>
      </c>
      <c r="L2213">
        <v>1505.38</v>
      </c>
      <c r="M2213">
        <v>225.81</v>
      </c>
      <c r="N2213">
        <v>1505.38</v>
      </c>
      <c r="O2213">
        <v>1279.57</v>
      </c>
      <c r="P2213" t="s">
        <v>2111</v>
      </c>
      <c r="Q2213" t="s">
        <v>789</v>
      </c>
    </row>
    <row r="2214" spans="1:17" x14ac:dyDescent="0.3">
      <c r="A2214" t="s">
        <v>462</v>
      </c>
      <c r="B2214" t="s">
        <v>461</v>
      </c>
      <c r="C2214" s="1">
        <v>46049</v>
      </c>
      <c r="D2214" t="s">
        <v>41</v>
      </c>
      <c r="E2214" t="s">
        <v>17</v>
      </c>
      <c r="F2214" t="s">
        <v>31</v>
      </c>
      <c r="G2214" t="s">
        <v>35</v>
      </c>
      <c r="H2214" t="s">
        <v>36</v>
      </c>
      <c r="I2214" t="s">
        <v>37</v>
      </c>
      <c r="J2214">
        <v>799</v>
      </c>
      <c r="K2214">
        <v>2</v>
      </c>
      <c r="L2214">
        <v>866.34</v>
      </c>
      <c r="M2214">
        <v>173.27</v>
      </c>
      <c r="N2214">
        <v>1732.68</v>
      </c>
      <c r="O2214">
        <v>1559.41</v>
      </c>
      <c r="P2214" t="s">
        <v>2111</v>
      </c>
      <c r="Q2214" t="s">
        <v>23</v>
      </c>
    </row>
    <row r="2215" spans="1:17" x14ac:dyDescent="0.3">
      <c r="A2215" t="s">
        <v>2934</v>
      </c>
      <c r="B2215" t="s">
        <v>1014</v>
      </c>
      <c r="C2215" s="1">
        <v>46142</v>
      </c>
      <c r="D2215" t="s">
        <v>26</v>
      </c>
      <c r="E2215" t="s">
        <v>17</v>
      </c>
      <c r="F2215" t="s">
        <v>60</v>
      </c>
      <c r="G2215" t="s">
        <v>43</v>
      </c>
      <c r="H2215" t="s">
        <v>44</v>
      </c>
      <c r="I2215" t="s">
        <v>45</v>
      </c>
      <c r="J2215">
        <v>3299</v>
      </c>
      <c r="K2215">
        <v>2</v>
      </c>
      <c r="L2215">
        <v>3391.12</v>
      </c>
      <c r="M2215">
        <v>1356.45</v>
      </c>
      <c r="N2215">
        <v>6782.24</v>
      </c>
      <c r="O2215">
        <v>5425.79</v>
      </c>
      <c r="P2215" t="s">
        <v>2111</v>
      </c>
      <c r="Q2215" t="s">
        <v>1170</v>
      </c>
    </row>
    <row r="2216" spans="1:17" x14ac:dyDescent="0.3">
      <c r="A2216" t="s">
        <v>2935</v>
      </c>
      <c r="B2216" t="s">
        <v>95</v>
      </c>
      <c r="C2216" s="1">
        <v>46094</v>
      </c>
      <c r="D2216" t="s">
        <v>16</v>
      </c>
      <c r="E2216" t="s">
        <v>17</v>
      </c>
      <c r="F2216" t="s">
        <v>22</v>
      </c>
      <c r="G2216" t="s">
        <v>43</v>
      </c>
      <c r="H2216" t="s">
        <v>44</v>
      </c>
      <c r="I2216" t="s">
        <v>45</v>
      </c>
      <c r="J2216">
        <v>3299</v>
      </c>
      <c r="K2216">
        <v>1</v>
      </c>
      <c r="L2216">
        <v>3083.19</v>
      </c>
      <c r="M2216">
        <v>616.64</v>
      </c>
      <c r="N2216">
        <v>3083.19</v>
      </c>
      <c r="O2216">
        <v>2466.5500000000002</v>
      </c>
      <c r="P2216" t="s">
        <v>2111</v>
      </c>
      <c r="Q2216" t="s">
        <v>789</v>
      </c>
    </row>
    <row r="2217" spans="1:17" x14ac:dyDescent="0.3">
      <c r="A2217" t="s">
        <v>900</v>
      </c>
      <c r="B2217" t="s">
        <v>899</v>
      </c>
      <c r="C2217" s="1">
        <v>46089</v>
      </c>
      <c r="D2217" t="s">
        <v>16</v>
      </c>
      <c r="E2217" t="s">
        <v>17</v>
      </c>
      <c r="F2217" t="s">
        <v>74</v>
      </c>
      <c r="G2217" t="s">
        <v>51</v>
      </c>
      <c r="H2217" t="s">
        <v>52</v>
      </c>
      <c r="I2217" t="s">
        <v>20</v>
      </c>
      <c r="J2217">
        <v>999</v>
      </c>
      <c r="K2217">
        <v>1</v>
      </c>
      <c r="L2217">
        <v>1035.51</v>
      </c>
      <c r="M2217">
        <v>0</v>
      </c>
      <c r="N2217">
        <v>1035.51</v>
      </c>
      <c r="O2217">
        <v>1035.51</v>
      </c>
      <c r="P2217" t="s">
        <v>2111</v>
      </c>
      <c r="Q2217" t="s">
        <v>789</v>
      </c>
    </row>
    <row r="2218" spans="1:17" x14ac:dyDescent="0.3">
      <c r="A2218" t="s">
        <v>640</v>
      </c>
      <c r="B2218" t="s">
        <v>639</v>
      </c>
      <c r="C2218" s="1">
        <v>46066</v>
      </c>
      <c r="D2218" t="s">
        <v>34</v>
      </c>
      <c r="E2218" t="s">
        <v>17</v>
      </c>
      <c r="F2218" t="s">
        <v>47</v>
      </c>
      <c r="G2218" t="s">
        <v>165</v>
      </c>
      <c r="H2218" t="s">
        <v>166</v>
      </c>
      <c r="I2218" t="s">
        <v>29</v>
      </c>
      <c r="J2218">
        <v>449</v>
      </c>
      <c r="K2218">
        <v>2</v>
      </c>
      <c r="L2218">
        <v>442.46</v>
      </c>
      <c r="M2218">
        <v>0</v>
      </c>
      <c r="N2218">
        <v>884.92</v>
      </c>
      <c r="O2218">
        <v>884.92</v>
      </c>
      <c r="P2218" t="s">
        <v>2111</v>
      </c>
      <c r="Q2218" t="s">
        <v>498</v>
      </c>
    </row>
    <row r="2219" spans="1:17" x14ac:dyDescent="0.3">
      <c r="A2219" t="s">
        <v>1108</v>
      </c>
      <c r="B2219" t="s">
        <v>1107</v>
      </c>
      <c r="C2219" s="1">
        <v>46107</v>
      </c>
      <c r="D2219" t="s">
        <v>41</v>
      </c>
      <c r="E2219" t="s">
        <v>42</v>
      </c>
      <c r="F2219" t="s">
        <v>22</v>
      </c>
      <c r="G2219" t="s">
        <v>43</v>
      </c>
      <c r="H2219" t="s">
        <v>44</v>
      </c>
      <c r="I2219" t="s">
        <v>45</v>
      </c>
      <c r="J2219">
        <v>3299</v>
      </c>
      <c r="K2219">
        <v>1</v>
      </c>
      <c r="L2219">
        <v>3359.39</v>
      </c>
      <c r="M2219">
        <v>503.91</v>
      </c>
      <c r="N2219">
        <v>3359.39</v>
      </c>
      <c r="O2219">
        <v>2855.48</v>
      </c>
      <c r="P2219" t="s">
        <v>2114</v>
      </c>
      <c r="Q2219" t="s">
        <v>789</v>
      </c>
    </row>
    <row r="2220" spans="1:17" x14ac:dyDescent="0.3">
      <c r="A2220" t="s">
        <v>2773</v>
      </c>
      <c r="B2220" t="s">
        <v>779</v>
      </c>
      <c r="C2220" s="1">
        <v>46200</v>
      </c>
      <c r="D2220" t="s">
        <v>34</v>
      </c>
      <c r="E2220" t="s">
        <v>17</v>
      </c>
      <c r="F2220" t="s">
        <v>60</v>
      </c>
      <c r="G2220" t="s">
        <v>86</v>
      </c>
      <c r="H2220" t="s">
        <v>87</v>
      </c>
      <c r="I2220" t="s">
        <v>82</v>
      </c>
      <c r="J2220">
        <v>3499</v>
      </c>
      <c r="K2220">
        <v>3</v>
      </c>
      <c r="L2220">
        <v>3662.8</v>
      </c>
      <c r="M2220">
        <v>549.41999999999996</v>
      </c>
      <c r="N2220">
        <v>10988.4</v>
      </c>
      <c r="O2220">
        <v>10438.98</v>
      </c>
      <c r="P2220" t="s">
        <v>2111</v>
      </c>
      <c r="Q2220" t="s">
        <v>1809</v>
      </c>
    </row>
    <row r="2221" spans="1:17" x14ac:dyDescent="0.3">
      <c r="A2221" t="s">
        <v>1566</v>
      </c>
      <c r="B2221" t="s">
        <v>1565</v>
      </c>
      <c r="C2221" s="1">
        <v>46150</v>
      </c>
      <c r="D2221" t="s">
        <v>16</v>
      </c>
      <c r="E2221" t="s">
        <v>42</v>
      </c>
      <c r="F2221" t="s">
        <v>31</v>
      </c>
      <c r="G2221" t="s">
        <v>91</v>
      </c>
      <c r="H2221" t="s">
        <v>92</v>
      </c>
      <c r="I2221" t="s">
        <v>37</v>
      </c>
      <c r="J2221">
        <v>1899</v>
      </c>
      <c r="K2221">
        <v>1</v>
      </c>
      <c r="L2221">
        <v>1904.68</v>
      </c>
      <c r="M2221">
        <v>0</v>
      </c>
      <c r="N2221">
        <v>1904.68</v>
      </c>
      <c r="O2221">
        <v>1904.68</v>
      </c>
      <c r="P2221" t="s">
        <v>2111</v>
      </c>
      <c r="Q2221" t="s">
        <v>1479</v>
      </c>
    </row>
    <row r="2222" spans="1:17" x14ac:dyDescent="0.3">
      <c r="A2222" t="s">
        <v>2936</v>
      </c>
      <c r="B2222" t="s">
        <v>1224</v>
      </c>
      <c r="C2222" s="1">
        <v>46084</v>
      </c>
      <c r="D2222" t="s">
        <v>63</v>
      </c>
      <c r="E2222" t="s">
        <v>50</v>
      </c>
      <c r="F2222" t="s">
        <v>47</v>
      </c>
      <c r="G2222" t="s">
        <v>106</v>
      </c>
      <c r="H2222" t="s">
        <v>107</v>
      </c>
      <c r="I2222" t="s">
        <v>108</v>
      </c>
      <c r="J2222">
        <v>599</v>
      </c>
      <c r="K2222">
        <v>1</v>
      </c>
      <c r="L2222">
        <v>636.62</v>
      </c>
      <c r="M2222">
        <v>127.32</v>
      </c>
      <c r="N2222">
        <v>636.62</v>
      </c>
      <c r="O2222">
        <v>509.3</v>
      </c>
      <c r="P2222" t="s">
        <v>2111</v>
      </c>
      <c r="Q2222" t="s">
        <v>789</v>
      </c>
    </row>
    <row r="2223" spans="1:17" x14ac:dyDescent="0.3">
      <c r="A2223" t="s">
        <v>2490</v>
      </c>
      <c r="B2223" t="s">
        <v>1125</v>
      </c>
      <c r="C2223" s="1">
        <v>46158</v>
      </c>
      <c r="D2223" t="s">
        <v>34</v>
      </c>
      <c r="E2223" t="s">
        <v>50</v>
      </c>
      <c r="F2223" t="s">
        <v>47</v>
      </c>
      <c r="G2223" t="s">
        <v>191</v>
      </c>
      <c r="H2223" t="s">
        <v>192</v>
      </c>
      <c r="I2223" t="s">
        <v>45</v>
      </c>
      <c r="J2223">
        <v>699</v>
      </c>
      <c r="K2223">
        <v>3</v>
      </c>
      <c r="L2223">
        <v>730.06</v>
      </c>
      <c r="M2223">
        <v>109.51</v>
      </c>
      <c r="N2223">
        <v>2190.1799999999998</v>
      </c>
      <c r="O2223">
        <v>2080.67</v>
      </c>
      <c r="P2223" t="s">
        <v>2111</v>
      </c>
      <c r="Q2223" t="s">
        <v>1479</v>
      </c>
    </row>
    <row r="2224" spans="1:17" x14ac:dyDescent="0.3">
      <c r="A2224" t="s">
        <v>2639</v>
      </c>
      <c r="B2224" t="s">
        <v>2640</v>
      </c>
      <c r="C2224" s="1">
        <v>46196</v>
      </c>
      <c r="D2224" t="s">
        <v>63</v>
      </c>
      <c r="E2224" t="s">
        <v>50</v>
      </c>
      <c r="F2224" t="s">
        <v>47</v>
      </c>
      <c r="G2224" t="s">
        <v>96</v>
      </c>
      <c r="H2224" t="s">
        <v>97</v>
      </c>
      <c r="I2224" t="s">
        <v>58</v>
      </c>
      <c r="J2224">
        <v>7499</v>
      </c>
      <c r="K2224">
        <v>2</v>
      </c>
      <c r="L2224">
        <v>7671.59</v>
      </c>
      <c r="M2224">
        <v>3068.64</v>
      </c>
      <c r="N2224">
        <v>15343.18</v>
      </c>
      <c r="O2224">
        <v>12274.54</v>
      </c>
      <c r="P2224" t="s">
        <v>2111</v>
      </c>
      <c r="Q2224" t="s">
        <v>1809</v>
      </c>
    </row>
    <row r="2225" spans="1:17" x14ac:dyDescent="0.3">
      <c r="A2225" t="s">
        <v>2932</v>
      </c>
      <c r="B2225" t="s">
        <v>2933</v>
      </c>
      <c r="C2225" s="1">
        <v>46121</v>
      </c>
      <c r="D2225" t="s">
        <v>34</v>
      </c>
      <c r="E2225" t="s">
        <v>17</v>
      </c>
      <c r="F2225" t="s">
        <v>22</v>
      </c>
      <c r="G2225" t="s">
        <v>191</v>
      </c>
      <c r="H2225" t="s">
        <v>192</v>
      </c>
      <c r="I2225" t="s">
        <v>45</v>
      </c>
      <c r="J2225">
        <v>699</v>
      </c>
      <c r="K2225">
        <v>1</v>
      </c>
      <c r="L2225">
        <v>650.17999999999995</v>
      </c>
      <c r="M2225">
        <v>97.53</v>
      </c>
      <c r="N2225">
        <v>650.17999999999995</v>
      </c>
      <c r="O2225">
        <v>552.65</v>
      </c>
      <c r="P2225" t="s">
        <v>2111</v>
      </c>
      <c r="Q2225" t="s">
        <v>1170</v>
      </c>
    </row>
    <row r="2226" spans="1:17" x14ac:dyDescent="0.3">
      <c r="A2226" t="s">
        <v>1738</v>
      </c>
      <c r="B2226" t="s">
        <v>1737</v>
      </c>
      <c r="C2226" s="1">
        <v>46166</v>
      </c>
      <c r="D2226" t="s">
        <v>34</v>
      </c>
      <c r="E2226" t="s">
        <v>50</v>
      </c>
      <c r="F2226" t="s">
        <v>31</v>
      </c>
      <c r="G2226" t="s">
        <v>51</v>
      </c>
      <c r="H2226" t="s">
        <v>52</v>
      </c>
      <c r="I2226" t="s">
        <v>20</v>
      </c>
      <c r="J2226">
        <v>999</v>
      </c>
      <c r="K2226">
        <v>2</v>
      </c>
      <c r="L2226">
        <v>1066.1199999999999</v>
      </c>
      <c r="M2226">
        <v>319.83999999999997</v>
      </c>
      <c r="N2226">
        <v>2132.2399999999998</v>
      </c>
      <c r="O2226">
        <v>1812.4</v>
      </c>
      <c r="P2226" t="s">
        <v>2111</v>
      </c>
      <c r="Q2226" t="s">
        <v>1479</v>
      </c>
    </row>
    <row r="2227" spans="1:17" x14ac:dyDescent="0.3">
      <c r="A2227" t="s">
        <v>2718</v>
      </c>
      <c r="B2227" t="s">
        <v>2719</v>
      </c>
      <c r="C2227" s="1">
        <v>46034</v>
      </c>
      <c r="D2227" t="s">
        <v>34</v>
      </c>
      <c r="E2227" t="s">
        <v>17</v>
      </c>
      <c r="F2227" t="s">
        <v>22</v>
      </c>
      <c r="G2227" t="s">
        <v>112</v>
      </c>
      <c r="H2227" t="s">
        <v>113</v>
      </c>
      <c r="I2227" t="s">
        <v>37</v>
      </c>
      <c r="J2227">
        <v>1499</v>
      </c>
      <c r="K2227">
        <v>1</v>
      </c>
      <c r="L2227">
        <v>1629.68</v>
      </c>
      <c r="M2227">
        <v>81.48</v>
      </c>
      <c r="N2227">
        <v>1629.68</v>
      </c>
      <c r="O2227">
        <v>1548.2</v>
      </c>
      <c r="P2227" t="s">
        <v>2111</v>
      </c>
      <c r="Q2227" t="s">
        <v>23</v>
      </c>
    </row>
    <row r="2228" spans="1:17" x14ac:dyDescent="0.3">
      <c r="A2228" t="s">
        <v>1418</v>
      </c>
      <c r="B2228" t="s">
        <v>1417</v>
      </c>
      <c r="C2228" s="1">
        <v>46137</v>
      </c>
      <c r="D2228" t="s">
        <v>63</v>
      </c>
      <c r="E2228" t="s">
        <v>50</v>
      </c>
      <c r="F2228" t="s">
        <v>31</v>
      </c>
      <c r="G2228" t="s">
        <v>106</v>
      </c>
      <c r="H2228" t="s">
        <v>107</v>
      </c>
      <c r="I2228" t="s">
        <v>108</v>
      </c>
      <c r="J2228">
        <v>599</v>
      </c>
      <c r="K2228">
        <v>1</v>
      </c>
      <c r="L2228">
        <v>555.51</v>
      </c>
      <c r="M2228">
        <v>27.78</v>
      </c>
      <c r="N2228">
        <v>555.51</v>
      </c>
      <c r="O2228">
        <v>527.73</v>
      </c>
      <c r="P2228" t="s">
        <v>2111</v>
      </c>
      <c r="Q2228" t="s">
        <v>1170</v>
      </c>
    </row>
    <row r="2229" spans="1:17" x14ac:dyDescent="0.3">
      <c r="A2229" t="s">
        <v>1094</v>
      </c>
      <c r="B2229" t="s">
        <v>1093</v>
      </c>
      <c r="C2229" s="1">
        <v>46105</v>
      </c>
      <c r="D2229" t="s">
        <v>63</v>
      </c>
      <c r="E2229" t="s">
        <v>17</v>
      </c>
      <c r="F2229" t="s">
        <v>47</v>
      </c>
      <c r="G2229" t="s">
        <v>355</v>
      </c>
      <c r="H2229" t="s">
        <v>356</v>
      </c>
      <c r="I2229" t="s">
        <v>82</v>
      </c>
      <c r="J2229">
        <v>499</v>
      </c>
      <c r="K2229">
        <v>4</v>
      </c>
      <c r="L2229">
        <v>497.83</v>
      </c>
      <c r="M2229">
        <v>199.13</v>
      </c>
      <c r="N2229">
        <v>1991.32</v>
      </c>
      <c r="O2229">
        <v>1792.19</v>
      </c>
      <c r="P2229" t="s">
        <v>2111</v>
      </c>
      <c r="Q2229" t="s">
        <v>789</v>
      </c>
    </row>
    <row r="2230" spans="1:17" x14ac:dyDescent="0.3">
      <c r="A2230" t="s">
        <v>2683</v>
      </c>
      <c r="B2230" t="s">
        <v>2684</v>
      </c>
      <c r="C2230" s="1">
        <v>46086</v>
      </c>
      <c r="D2230" t="s">
        <v>26</v>
      </c>
      <c r="E2230" t="s">
        <v>17</v>
      </c>
      <c r="F2230" t="s">
        <v>60</v>
      </c>
      <c r="G2230" t="s">
        <v>355</v>
      </c>
      <c r="H2230" t="s">
        <v>356</v>
      </c>
      <c r="I2230" t="s">
        <v>82</v>
      </c>
      <c r="J2230">
        <v>499</v>
      </c>
      <c r="K2230">
        <v>2</v>
      </c>
      <c r="L2230">
        <v>474.94</v>
      </c>
      <c r="M2230">
        <v>0</v>
      </c>
      <c r="N2230">
        <v>949.88</v>
      </c>
      <c r="O2230">
        <v>949.88</v>
      </c>
      <c r="P2230" t="s">
        <v>2111</v>
      </c>
      <c r="Q2230" t="s">
        <v>789</v>
      </c>
    </row>
    <row r="2231" spans="1:17" x14ac:dyDescent="0.3">
      <c r="A2231" t="s">
        <v>73</v>
      </c>
      <c r="B2231" t="s">
        <v>72</v>
      </c>
      <c r="C2231" s="1">
        <v>46024</v>
      </c>
      <c r="D2231" t="s">
        <v>63</v>
      </c>
      <c r="E2231" t="s">
        <v>42</v>
      </c>
      <c r="F2231" t="s">
        <v>22</v>
      </c>
      <c r="G2231" t="s">
        <v>160</v>
      </c>
      <c r="H2231" t="s">
        <v>161</v>
      </c>
      <c r="I2231" t="s">
        <v>82</v>
      </c>
      <c r="J2231">
        <v>799</v>
      </c>
      <c r="K2231">
        <v>2</v>
      </c>
      <c r="L2231">
        <v>839.67</v>
      </c>
      <c r="M2231">
        <v>83.97</v>
      </c>
      <c r="N2231">
        <v>1679.34</v>
      </c>
      <c r="O2231">
        <v>1595.37</v>
      </c>
      <c r="P2231" t="s">
        <v>2111</v>
      </c>
      <c r="Q2231" t="s">
        <v>23</v>
      </c>
    </row>
    <row r="2232" spans="1:17" x14ac:dyDescent="0.3">
      <c r="A2232" t="s">
        <v>1181</v>
      </c>
      <c r="B2232" t="s">
        <v>243</v>
      </c>
      <c r="C2232" s="1">
        <v>46115</v>
      </c>
      <c r="D2232" t="s">
        <v>34</v>
      </c>
      <c r="E2232" t="s">
        <v>17</v>
      </c>
      <c r="F2232" t="s">
        <v>74</v>
      </c>
      <c r="G2232" t="s">
        <v>80</v>
      </c>
      <c r="H2232" t="s">
        <v>81</v>
      </c>
      <c r="I2232" t="s">
        <v>82</v>
      </c>
      <c r="J2232">
        <v>4299</v>
      </c>
      <c r="K2232">
        <v>1</v>
      </c>
      <c r="L2232">
        <v>4489.5600000000004</v>
      </c>
      <c r="M2232">
        <v>224.48</v>
      </c>
      <c r="N2232">
        <v>4489.5600000000004</v>
      </c>
      <c r="O2232">
        <v>4265.08</v>
      </c>
      <c r="P2232" t="s">
        <v>2111</v>
      </c>
      <c r="Q2232" t="s">
        <v>1170</v>
      </c>
    </row>
    <row r="2233" spans="1:17" x14ac:dyDescent="0.3">
      <c r="A2233" t="s">
        <v>2765</v>
      </c>
      <c r="B2233" t="s">
        <v>2766</v>
      </c>
      <c r="C2233" s="1">
        <v>46067</v>
      </c>
      <c r="D2233" t="s">
        <v>16</v>
      </c>
      <c r="E2233" t="s">
        <v>17</v>
      </c>
      <c r="F2233" t="s">
        <v>60</v>
      </c>
      <c r="G2233" t="s">
        <v>160</v>
      </c>
      <c r="H2233" t="s">
        <v>161</v>
      </c>
      <c r="I2233" t="s">
        <v>82</v>
      </c>
      <c r="J2233">
        <v>799</v>
      </c>
      <c r="K2233">
        <v>1</v>
      </c>
      <c r="L2233">
        <v>741.61</v>
      </c>
      <c r="M2233">
        <v>0</v>
      </c>
      <c r="N2233">
        <v>741.61</v>
      </c>
      <c r="O2233">
        <v>741.61</v>
      </c>
      <c r="P2233" t="s">
        <v>2111</v>
      </c>
      <c r="Q2233" t="s">
        <v>498</v>
      </c>
    </row>
    <row r="2234" spans="1:17" x14ac:dyDescent="0.3">
      <c r="A2234" t="s">
        <v>1184</v>
      </c>
      <c r="B2234" t="s">
        <v>1183</v>
      </c>
      <c r="C2234" s="1">
        <v>46115</v>
      </c>
      <c r="D2234" t="s">
        <v>34</v>
      </c>
      <c r="E2234" t="s">
        <v>17</v>
      </c>
      <c r="F2234" t="s">
        <v>22</v>
      </c>
      <c r="G2234" t="s">
        <v>112</v>
      </c>
      <c r="H2234" t="s">
        <v>113</v>
      </c>
      <c r="I2234" t="s">
        <v>37</v>
      </c>
      <c r="J2234">
        <v>1499</v>
      </c>
      <c r="K2234">
        <v>1</v>
      </c>
      <c r="L2234">
        <v>1612.03</v>
      </c>
      <c r="M2234">
        <v>80.599999999999994</v>
      </c>
      <c r="N2234">
        <v>1612.03</v>
      </c>
      <c r="O2234">
        <v>1531.43</v>
      </c>
      <c r="P2234" t="s">
        <v>2111</v>
      </c>
      <c r="Q2234" t="s">
        <v>1170</v>
      </c>
    </row>
    <row r="2235" spans="1:17" x14ac:dyDescent="0.3">
      <c r="A2235" t="s">
        <v>2479</v>
      </c>
      <c r="B2235" t="s">
        <v>1020</v>
      </c>
      <c r="C2235" s="1">
        <v>46104</v>
      </c>
      <c r="D2235" t="s">
        <v>34</v>
      </c>
      <c r="E2235" t="s">
        <v>17</v>
      </c>
      <c r="F2235" t="s">
        <v>74</v>
      </c>
      <c r="G2235" t="s">
        <v>165</v>
      </c>
      <c r="H2235" t="s">
        <v>166</v>
      </c>
      <c r="I2235" t="s">
        <v>29</v>
      </c>
      <c r="J2235">
        <v>449</v>
      </c>
      <c r="K2235">
        <v>1</v>
      </c>
      <c r="L2235">
        <v>420.35</v>
      </c>
      <c r="M2235">
        <v>63.05</v>
      </c>
      <c r="N2235">
        <v>420.35</v>
      </c>
      <c r="O2235">
        <v>357.3</v>
      </c>
      <c r="P2235" t="s">
        <v>2111</v>
      </c>
      <c r="Q2235" t="s">
        <v>789</v>
      </c>
    </row>
    <row r="2236" spans="1:17" x14ac:dyDescent="0.3">
      <c r="A2236" t="s">
        <v>2634</v>
      </c>
      <c r="B2236" t="s">
        <v>2270</v>
      </c>
      <c r="C2236" s="1">
        <v>46039</v>
      </c>
      <c r="D2236" t="s">
        <v>16</v>
      </c>
      <c r="E2236" t="s">
        <v>17</v>
      </c>
      <c r="F2236" t="s">
        <v>60</v>
      </c>
      <c r="G2236" t="s">
        <v>250</v>
      </c>
      <c r="H2236" t="s">
        <v>251</v>
      </c>
      <c r="I2236" t="s">
        <v>108</v>
      </c>
      <c r="J2236">
        <v>899</v>
      </c>
      <c r="K2236">
        <v>2</v>
      </c>
      <c r="L2236">
        <v>952.45</v>
      </c>
      <c r="M2236">
        <v>0</v>
      </c>
      <c r="N2236">
        <v>1904.9</v>
      </c>
      <c r="O2236">
        <v>1904.9</v>
      </c>
      <c r="P2236" t="s">
        <v>2111</v>
      </c>
      <c r="Q2236" t="s">
        <v>23</v>
      </c>
    </row>
    <row r="2237" spans="1:17" x14ac:dyDescent="0.3">
      <c r="A2237" t="s">
        <v>2704</v>
      </c>
      <c r="B2237" t="s">
        <v>2705</v>
      </c>
      <c r="C2237" s="1">
        <v>46069</v>
      </c>
      <c r="D2237" t="s">
        <v>16</v>
      </c>
      <c r="E2237" t="s">
        <v>50</v>
      </c>
      <c r="F2237" t="s">
        <v>60</v>
      </c>
      <c r="G2237" t="s">
        <v>86</v>
      </c>
      <c r="H2237" t="s">
        <v>87</v>
      </c>
      <c r="I2237" t="s">
        <v>82</v>
      </c>
      <c r="J2237">
        <v>3499</v>
      </c>
      <c r="K2237">
        <v>1</v>
      </c>
      <c r="L2237">
        <v>3468.89</v>
      </c>
      <c r="M2237">
        <v>0</v>
      </c>
      <c r="N2237">
        <v>3468.89</v>
      </c>
      <c r="O2237">
        <v>3468.89</v>
      </c>
      <c r="P2237" t="s">
        <v>2111</v>
      </c>
      <c r="Q2237" t="s">
        <v>498</v>
      </c>
    </row>
    <row r="2238" spans="1:17" x14ac:dyDescent="0.3">
      <c r="A2238" t="s">
        <v>2851</v>
      </c>
      <c r="B2238" t="s">
        <v>1186</v>
      </c>
      <c r="C2238" s="1">
        <v>46127</v>
      </c>
      <c r="D2238" t="s">
        <v>16</v>
      </c>
      <c r="E2238" t="s">
        <v>17</v>
      </c>
      <c r="F2238" t="s">
        <v>74</v>
      </c>
      <c r="G2238" t="s">
        <v>112</v>
      </c>
      <c r="H2238" t="s">
        <v>113</v>
      </c>
      <c r="I2238" t="s">
        <v>37</v>
      </c>
      <c r="J2238">
        <v>1499</v>
      </c>
      <c r="K2238">
        <v>2</v>
      </c>
      <c r="L2238">
        <v>1447.52</v>
      </c>
      <c r="M2238">
        <v>289.5</v>
      </c>
      <c r="N2238">
        <v>2895.04</v>
      </c>
      <c r="O2238">
        <v>2605.54</v>
      </c>
      <c r="P2238" t="s">
        <v>2111</v>
      </c>
      <c r="Q2238" t="s">
        <v>1170</v>
      </c>
    </row>
    <row r="2239" spans="1:17" x14ac:dyDescent="0.3">
      <c r="A2239" t="s">
        <v>2512</v>
      </c>
      <c r="B2239" t="s">
        <v>2513</v>
      </c>
      <c r="C2239" s="1">
        <v>46150</v>
      </c>
      <c r="D2239" t="s">
        <v>34</v>
      </c>
      <c r="E2239" t="s">
        <v>50</v>
      </c>
      <c r="F2239" t="s">
        <v>31</v>
      </c>
      <c r="G2239" t="s">
        <v>149</v>
      </c>
      <c r="H2239" t="s">
        <v>150</v>
      </c>
      <c r="I2239" t="s">
        <v>37</v>
      </c>
      <c r="J2239">
        <v>2999</v>
      </c>
      <c r="K2239">
        <v>1</v>
      </c>
      <c r="L2239">
        <v>2794.01</v>
      </c>
      <c r="M2239">
        <v>698.5</v>
      </c>
      <c r="N2239">
        <v>2794.01</v>
      </c>
      <c r="O2239">
        <v>2095.5100000000002</v>
      </c>
      <c r="P2239" t="s">
        <v>2114</v>
      </c>
      <c r="Q2239" t="s">
        <v>1479</v>
      </c>
    </row>
    <row r="2240" spans="1:17" x14ac:dyDescent="0.3">
      <c r="A2240" t="s">
        <v>1962</v>
      </c>
      <c r="B2240" t="s">
        <v>557</v>
      </c>
      <c r="C2240" s="1">
        <v>46190</v>
      </c>
      <c r="D2240" t="s">
        <v>16</v>
      </c>
      <c r="E2240" t="s">
        <v>17</v>
      </c>
      <c r="F2240" t="s">
        <v>22</v>
      </c>
      <c r="G2240" t="s">
        <v>165</v>
      </c>
      <c r="H2240" t="s">
        <v>166</v>
      </c>
      <c r="I2240" t="s">
        <v>29</v>
      </c>
      <c r="J2240">
        <v>449</v>
      </c>
      <c r="K2240">
        <v>1</v>
      </c>
      <c r="L2240">
        <v>419.15</v>
      </c>
      <c r="M2240">
        <v>20.96</v>
      </c>
      <c r="N2240">
        <v>419.15</v>
      </c>
      <c r="O2240">
        <v>398.19</v>
      </c>
      <c r="P2240" t="s">
        <v>2111</v>
      </c>
      <c r="Q2240" t="s">
        <v>1809</v>
      </c>
    </row>
    <row r="2241" spans="1:17" x14ac:dyDescent="0.3">
      <c r="A2241" t="s">
        <v>2716</v>
      </c>
      <c r="B2241" t="s">
        <v>2717</v>
      </c>
      <c r="C2241" s="1">
        <v>46064</v>
      </c>
      <c r="D2241" t="s">
        <v>16</v>
      </c>
      <c r="E2241" t="s">
        <v>17</v>
      </c>
      <c r="F2241" t="s">
        <v>31</v>
      </c>
      <c r="G2241" t="s">
        <v>18</v>
      </c>
      <c r="H2241" t="s">
        <v>19</v>
      </c>
      <c r="I2241" t="s">
        <v>20</v>
      </c>
      <c r="J2241">
        <v>2799</v>
      </c>
      <c r="K2241">
        <v>1</v>
      </c>
      <c r="L2241">
        <v>2889.63</v>
      </c>
      <c r="M2241">
        <v>0</v>
      </c>
      <c r="N2241">
        <v>2889.63</v>
      </c>
      <c r="O2241">
        <v>2889.63</v>
      </c>
      <c r="P2241" t="s">
        <v>2111</v>
      </c>
      <c r="Q2241" t="s">
        <v>498</v>
      </c>
    </row>
    <row r="2242" spans="1:17" x14ac:dyDescent="0.3">
      <c r="A2242" t="s">
        <v>1195</v>
      </c>
      <c r="B2242" t="s">
        <v>514</v>
      </c>
      <c r="C2242" s="1">
        <v>46116</v>
      </c>
      <c r="D2242" t="s">
        <v>34</v>
      </c>
      <c r="E2242" t="s">
        <v>50</v>
      </c>
      <c r="F2242" t="s">
        <v>31</v>
      </c>
      <c r="G2242" t="s">
        <v>56</v>
      </c>
      <c r="H2242" t="s">
        <v>57</v>
      </c>
      <c r="I2242" t="s">
        <v>58</v>
      </c>
      <c r="J2242">
        <v>8999</v>
      </c>
      <c r="K2242">
        <v>1</v>
      </c>
      <c r="L2242">
        <v>9089.76</v>
      </c>
      <c r="M2242">
        <v>908.98</v>
      </c>
      <c r="N2242">
        <v>9089.76</v>
      </c>
      <c r="O2242">
        <v>8180.78</v>
      </c>
      <c r="P2242" t="s">
        <v>2111</v>
      </c>
      <c r="Q2242" t="s">
        <v>1170</v>
      </c>
    </row>
    <row r="2243" spans="1:17" x14ac:dyDescent="0.3">
      <c r="A2243" t="s">
        <v>2372</v>
      </c>
      <c r="B2243" t="s">
        <v>571</v>
      </c>
      <c r="C2243" s="1">
        <v>46129</v>
      </c>
      <c r="D2243" t="s">
        <v>26</v>
      </c>
      <c r="E2243" t="s">
        <v>42</v>
      </c>
      <c r="F2243" t="s">
        <v>60</v>
      </c>
      <c r="G2243" t="s">
        <v>56</v>
      </c>
      <c r="H2243" t="s">
        <v>57</v>
      </c>
      <c r="I2243" t="s">
        <v>58</v>
      </c>
      <c r="J2243">
        <v>8999</v>
      </c>
      <c r="K2243">
        <v>1</v>
      </c>
      <c r="L2243">
        <v>8318.83</v>
      </c>
      <c r="M2243">
        <v>1663.77</v>
      </c>
      <c r="N2243">
        <v>8318.83</v>
      </c>
      <c r="O2243">
        <v>6655.06</v>
      </c>
      <c r="P2243" t="s">
        <v>2111</v>
      </c>
      <c r="Q2243" t="s">
        <v>1170</v>
      </c>
    </row>
    <row r="2244" spans="1:17" x14ac:dyDescent="0.3">
      <c r="A2244" t="s">
        <v>1933</v>
      </c>
      <c r="B2244" t="s">
        <v>1932</v>
      </c>
      <c r="C2244" s="1">
        <v>46185</v>
      </c>
      <c r="D2244" t="s">
        <v>41</v>
      </c>
      <c r="E2244" t="s">
        <v>17</v>
      </c>
      <c r="F2244" t="s">
        <v>22</v>
      </c>
      <c r="G2244" t="s">
        <v>35</v>
      </c>
      <c r="H2244" t="s">
        <v>36</v>
      </c>
      <c r="I2244" t="s">
        <v>37</v>
      </c>
      <c r="J2244">
        <v>799</v>
      </c>
      <c r="K2244">
        <v>3</v>
      </c>
      <c r="L2244">
        <v>737.11</v>
      </c>
      <c r="M2244">
        <v>331.7</v>
      </c>
      <c r="N2244">
        <v>2211.33</v>
      </c>
      <c r="O2244">
        <v>1879.63</v>
      </c>
      <c r="P2244" t="s">
        <v>2111</v>
      </c>
      <c r="Q2244" t="s">
        <v>1809</v>
      </c>
    </row>
    <row r="2245" spans="1:17" x14ac:dyDescent="0.3">
      <c r="A2245" t="s">
        <v>1283</v>
      </c>
      <c r="B2245" t="s">
        <v>1282</v>
      </c>
      <c r="C2245" s="1">
        <v>46125</v>
      </c>
      <c r="D2245" t="s">
        <v>41</v>
      </c>
      <c r="E2245" t="s">
        <v>50</v>
      </c>
      <c r="F2245" t="s">
        <v>22</v>
      </c>
      <c r="G2245" t="s">
        <v>149</v>
      </c>
      <c r="H2245" t="s">
        <v>150</v>
      </c>
      <c r="I2245" t="s">
        <v>37</v>
      </c>
      <c r="J2245">
        <v>2999</v>
      </c>
      <c r="K2245">
        <v>1</v>
      </c>
      <c r="L2245">
        <v>2742.47</v>
      </c>
      <c r="M2245">
        <v>274.25</v>
      </c>
      <c r="N2245">
        <v>2742.47</v>
      </c>
      <c r="O2245">
        <v>2468.2199999999998</v>
      </c>
      <c r="P2245" t="s">
        <v>2111</v>
      </c>
      <c r="Q2245" t="s">
        <v>1170</v>
      </c>
    </row>
    <row r="2246" spans="1:17" x14ac:dyDescent="0.3">
      <c r="A2246" t="s">
        <v>1444</v>
      </c>
      <c r="B2246" t="s">
        <v>1443</v>
      </c>
      <c r="C2246" s="1">
        <v>46139</v>
      </c>
      <c r="D2246" t="s">
        <v>41</v>
      </c>
      <c r="E2246" t="s">
        <v>17</v>
      </c>
      <c r="F2246" t="s">
        <v>31</v>
      </c>
      <c r="G2246" t="s">
        <v>165</v>
      </c>
      <c r="H2246" t="s">
        <v>166</v>
      </c>
      <c r="I2246" t="s">
        <v>29</v>
      </c>
      <c r="J2246">
        <v>449</v>
      </c>
      <c r="K2246">
        <v>3</v>
      </c>
      <c r="L2246">
        <v>470.89</v>
      </c>
      <c r="M2246">
        <v>70.63</v>
      </c>
      <c r="N2246">
        <v>1412.67</v>
      </c>
      <c r="O2246">
        <v>1342.04</v>
      </c>
      <c r="P2246" t="s">
        <v>2111</v>
      </c>
      <c r="Q2246" t="s">
        <v>1170</v>
      </c>
    </row>
    <row r="2247" spans="1:17" x14ac:dyDescent="0.3">
      <c r="A2247" t="s">
        <v>2748</v>
      </c>
      <c r="B2247" t="s">
        <v>2749</v>
      </c>
      <c r="C2247" s="1">
        <v>46164</v>
      </c>
      <c r="D2247" t="s">
        <v>16</v>
      </c>
      <c r="E2247" t="s">
        <v>50</v>
      </c>
      <c r="F2247" t="s">
        <v>31</v>
      </c>
      <c r="G2247" t="s">
        <v>106</v>
      </c>
      <c r="H2247" t="s">
        <v>107</v>
      </c>
      <c r="I2247" t="s">
        <v>108</v>
      </c>
      <c r="J2247">
        <v>599</v>
      </c>
      <c r="K2247">
        <v>1</v>
      </c>
      <c r="L2247">
        <v>624.38</v>
      </c>
      <c r="M2247">
        <v>62.44</v>
      </c>
      <c r="N2247">
        <v>624.38</v>
      </c>
      <c r="O2247">
        <v>561.94000000000005</v>
      </c>
      <c r="P2247" t="s">
        <v>2111</v>
      </c>
      <c r="Q2247" t="s">
        <v>1479</v>
      </c>
    </row>
    <row r="2248" spans="1:17" x14ac:dyDescent="0.3">
      <c r="A2248" t="s">
        <v>431</v>
      </c>
      <c r="B2248" t="s">
        <v>430</v>
      </c>
      <c r="C2248" s="1">
        <v>46048</v>
      </c>
      <c r="D2248" t="s">
        <v>41</v>
      </c>
      <c r="E2248" t="s">
        <v>17</v>
      </c>
      <c r="F2248" t="s">
        <v>60</v>
      </c>
      <c r="G2248" t="s">
        <v>160</v>
      </c>
      <c r="H2248" t="s">
        <v>161</v>
      </c>
      <c r="I2248" t="s">
        <v>82</v>
      </c>
      <c r="J2248">
        <v>799</v>
      </c>
      <c r="K2248">
        <v>4</v>
      </c>
      <c r="L2248">
        <v>728.44</v>
      </c>
      <c r="M2248">
        <v>0</v>
      </c>
      <c r="N2248">
        <v>2913.76</v>
      </c>
      <c r="O2248">
        <v>2913.76</v>
      </c>
      <c r="P2248" t="s">
        <v>2111</v>
      </c>
      <c r="Q2248" t="s">
        <v>23</v>
      </c>
    </row>
    <row r="2249" spans="1:17" x14ac:dyDescent="0.3">
      <c r="A2249" t="s">
        <v>2867</v>
      </c>
      <c r="B2249" t="s">
        <v>1053</v>
      </c>
      <c r="C2249" s="1">
        <v>46053</v>
      </c>
      <c r="D2249" t="s">
        <v>34</v>
      </c>
      <c r="E2249" t="s">
        <v>17</v>
      </c>
      <c r="F2249" t="s">
        <v>60</v>
      </c>
      <c r="G2249" t="s">
        <v>149</v>
      </c>
      <c r="H2249" t="s">
        <v>150</v>
      </c>
      <c r="I2249" t="s">
        <v>37</v>
      </c>
      <c r="J2249">
        <v>2999</v>
      </c>
      <c r="K2249">
        <v>1</v>
      </c>
      <c r="L2249">
        <v>3035.15</v>
      </c>
      <c r="M2249">
        <v>455.27</v>
      </c>
      <c r="N2249">
        <v>3035.15</v>
      </c>
      <c r="O2249">
        <v>2579.88</v>
      </c>
      <c r="P2249" t="s">
        <v>2111</v>
      </c>
      <c r="Q2249" t="s">
        <v>23</v>
      </c>
    </row>
    <row r="2250" spans="1:17" x14ac:dyDescent="0.3">
      <c r="A2250" t="s">
        <v>2730</v>
      </c>
      <c r="B2250" t="s">
        <v>530</v>
      </c>
      <c r="C2250" s="1">
        <v>46034</v>
      </c>
      <c r="D2250" t="s">
        <v>26</v>
      </c>
      <c r="E2250" t="s">
        <v>42</v>
      </c>
      <c r="F2250" t="s">
        <v>47</v>
      </c>
      <c r="G2250" t="s">
        <v>160</v>
      </c>
      <c r="H2250" t="s">
        <v>161</v>
      </c>
      <c r="I2250" t="s">
        <v>82</v>
      </c>
      <c r="J2250">
        <v>799</v>
      </c>
      <c r="K2250">
        <v>3</v>
      </c>
      <c r="L2250">
        <v>732.63</v>
      </c>
      <c r="M2250">
        <v>329.68</v>
      </c>
      <c r="N2250">
        <v>2197.89</v>
      </c>
      <c r="O2250">
        <v>1868.21</v>
      </c>
      <c r="P2250" t="s">
        <v>2111</v>
      </c>
      <c r="Q2250" t="s">
        <v>23</v>
      </c>
    </row>
    <row r="2251" spans="1:17" x14ac:dyDescent="0.3">
      <c r="A2251" t="s">
        <v>2643</v>
      </c>
      <c r="B2251" t="s">
        <v>846</v>
      </c>
      <c r="C2251" s="1">
        <v>46150</v>
      </c>
      <c r="D2251" t="s">
        <v>34</v>
      </c>
      <c r="E2251" t="s">
        <v>17</v>
      </c>
      <c r="F2251" t="s">
        <v>47</v>
      </c>
      <c r="G2251" t="s">
        <v>56</v>
      </c>
      <c r="H2251" t="s">
        <v>57</v>
      </c>
      <c r="I2251" t="s">
        <v>58</v>
      </c>
      <c r="J2251">
        <v>8999</v>
      </c>
      <c r="K2251">
        <v>1</v>
      </c>
      <c r="L2251">
        <v>9725.66</v>
      </c>
      <c r="M2251">
        <v>2431.42</v>
      </c>
      <c r="N2251">
        <v>9725.66</v>
      </c>
      <c r="O2251">
        <v>7294.24</v>
      </c>
      <c r="P2251" t="s">
        <v>2114</v>
      </c>
      <c r="Q2251" t="s">
        <v>1479</v>
      </c>
    </row>
    <row r="2252" spans="1:17" x14ac:dyDescent="0.3">
      <c r="A2252" t="s">
        <v>1452</v>
      </c>
      <c r="B2252" t="s">
        <v>978</v>
      </c>
      <c r="C2252" s="1">
        <v>46140</v>
      </c>
      <c r="D2252" t="s">
        <v>16</v>
      </c>
      <c r="E2252" t="s">
        <v>50</v>
      </c>
      <c r="F2252" t="s">
        <v>31</v>
      </c>
      <c r="G2252" t="s">
        <v>96</v>
      </c>
      <c r="H2252" t="s">
        <v>97</v>
      </c>
      <c r="I2252" t="s">
        <v>58</v>
      </c>
      <c r="J2252">
        <v>7499</v>
      </c>
      <c r="K2252">
        <v>2</v>
      </c>
      <c r="L2252">
        <v>8109.59</v>
      </c>
      <c r="M2252">
        <v>810.96</v>
      </c>
      <c r="N2252">
        <v>16219.18</v>
      </c>
      <c r="O2252">
        <v>15408.22</v>
      </c>
      <c r="P2252" t="s">
        <v>2114</v>
      </c>
      <c r="Q2252" t="s">
        <v>1170</v>
      </c>
    </row>
    <row r="2253" spans="1:17" x14ac:dyDescent="0.3">
      <c r="A2253" t="s">
        <v>2894</v>
      </c>
      <c r="B2253" t="s">
        <v>2895</v>
      </c>
      <c r="C2253" s="1">
        <v>46099</v>
      </c>
      <c r="D2253" t="s">
        <v>16</v>
      </c>
      <c r="E2253" t="s">
        <v>17</v>
      </c>
      <c r="F2253" t="s">
        <v>31</v>
      </c>
      <c r="G2253" t="s">
        <v>56</v>
      </c>
      <c r="H2253" t="s">
        <v>57</v>
      </c>
      <c r="I2253" t="s">
        <v>58</v>
      </c>
      <c r="J2253">
        <v>8999</v>
      </c>
      <c r="K2253">
        <v>3</v>
      </c>
      <c r="L2253">
        <v>9355.7800000000007</v>
      </c>
      <c r="M2253">
        <v>0</v>
      </c>
      <c r="N2253">
        <v>28067.34</v>
      </c>
      <c r="O2253">
        <v>28067.34</v>
      </c>
      <c r="P2253" t="s">
        <v>2111</v>
      </c>
      <c r="Q2253" t="s">
        <v>789</v>
      </c>
    </row>
    <row r="2254" spans="1:17" x14ac:dyDescent="0.3">
      <c r="A2254" t="s">
        <v>503</v>
      </c>
      <c r="B2254" t="s">
        <v>308</v>
      </c>
      <c r="C2254" s="1">
        <v>46054</v>
      </c>
      <c r="D2254" t="s">
        <v>63</v>
      </c>
      <c r="E2254" t="s">
        <v>17</v>
      </c>
      <c r="F2254" t="s">
        <v>47</v>
      </c>
      <c r="G2254" t="s">
        <v>51</v>
      </c>
      <c r="H2254" t="s">
        <v>52</v>
      </c>
      <c r="I2254" t="s">
        <v>20</v>
      </c>
      <c r="J2254">
        <v>999</v>
      </c>
      <c r="K2254">
        <v>1</v>
      </c>
      <c r="L2254">
        <v>1084.1500000000001</v>
      </c>
      <c r="M2254">
        <v>108.42</v>
      </c>
      <c r="N2254">
        <v>1084.1500000000001</v>
      </c>
      <c r="O2254">
        <v>975.73</v>
      </c>
      <c r="P2254" t="s">
        <v>2111</v>
      </c>
      <c r="Q2254" t="s">
        <v>498</v>
      </c>
    </row>
    <row r="2255" spans="1:17" x14ac:dyDescent="0.3">
      <c r="A2255" t="s">
        <v>2185</v>
      </c>
      <c r="B2255" t="s">
        <v>2186</v>
      </c>
      <c r="C2255" s="1">
        <v>46174</v>
      </c>
      <c r="D2255" t="s">
        <v>16</v>
      </c>
      <c r="E2255" t="s">
        <v>17</v>
      </c>
      <c r="F2255" t="s">
        <v>22</v>
      </c>
      <c r="G2255" t="s">
        <v>80</v>
      </c>
      <c r="H2255" t="s">
        <v>81</v>
      </c>
      <c r="I2255" t="s">
        <v>82</v>
      </c>
      <c r="J2255">
        <v>4299</v>
      </c>
      <c r="K2255">
        <v>1</v>
      </c>
      <c r="L2255">
        <v>4566.79</v>
      </c>
      <c r="M2255">
        <v>685.02</v>
      </c>
      <c r="N2255">
        <v>4566.79</v>
      </c>
      <c r="O2255">
        <v>3881.77</v>
      </c>
      <c r="P2255" t="s">
        <v>2111</v>
      </c>
      <c r="Q2255" t="s">
        <v>1809</v>
      </c>
    </row>
    <row r="2256" spans="1:17" x14ac:dyDescent="0.3">
      <c r="A2256" t="s">
        <v>2798</v>
      </c>
      <c r="B2256" t="s">
        <v>2799</v>
      </c>
      <c r="C2256" s="1">
        <v>46045</v>
      </c>
      <c r="D2256" t="s">
        <v>34</v>
      </c>
      <c r="E2256" t="s">
        <v>50</v>
      </c>
      <c r="F2256" t="s">
        <v>74</v>
      </c>
      <c r="G2256" t="s">
        <v>86</v>
      </c>
      <c r="H2256" t="s">
        <v>87</v>
      </c>
      <c r="I2256" t="s">
        <v>82</v>
      </c>
      <c r="J2256">
        <v>3499</v>
      </c>
      <c r="K2256">
        <v>1</v>
      </c>
      <c r="L2256">
        <v>3728.91</v>
      </c>
      <c r="M2256">
        <v>559.34</v>
      </c>
      <c r="N2256">
        <v>3728.91</v>
      </c>
      <c r="O2256">
        <v>3169.57</v>
      </c>
      <c r="P2256" t="s">
        <v>2111</v>
      </c>
      <c r="Q2256" t="s">
        <v>23</v>
      </c>
    </row>
    <row r="2257" spans="1:17" x14ac:dyDescent="0.3">
      <c r="A2257" t="s">
        <v>2303</v>
      </c>
      <c r="B2257" t="s">
        <v>2304</v>
      </c>
      <c r="C2257" s="1">
        <v>46057</v>
      </c>
      <c r="D2257" t="s">
        <v>16</v>
      </c>
      <c r="E2257" t="s">
        <v>50</v>
      </c>
      <c r="F2257" t="s">
        <v>74</v>
      </c>
      <c r="G2257" t="s">
        <v>96</v>
      </c>
      <c r="H2257" t="s">
        <v>97</v>
      </c>
      <c r="I2257" t="s">
        <v>58</v>
      </c>
      <c r="J2257">
        <v>7499</v>
      </c>
      <c r="K2257">
        <v>3</v>
      </c>
      <c r="L2257">
        <v>7603.55</v>
      </c>
      <c r="M2257">
        <v>0</v>
      </c>
      <c r="N2257">
        <v>22810.65</v>
      </c>
      <c r="O2257">
        <v>22810.65</v>
      </c>
      <c r="P2257" t="s">
        <v>2111</v>
      </c>
      <c r="Q2257" t="s">
        <v>498</v>
      </c>
    </row>
    <row r="2258" spans="1:17" x14ac:dyDescent="0.3">
      <c r="A2258" t="s">
        <v>1077</v>
      </c>
      <c r="B2258" t="s">
        <v>975</v>
      </c>
      <c r="C2258" s="1">
        <v>46104</v>
      </c>
      <c r="D2258" t="s">
        <v>16</v>
      </c>
      <c r="E2258" t="s">
        <v>17</v>
      </c>
      <c r="F2258" t="s">
        <v>60</v>
      </c>
      <c r="G2258" t="s">
        <v>56</v>
      </c>
      <c r="H2258" t="s">
        <v>57</v>
      </c>
      <c r="I2258" t="s">
        <v>58</v>
      </c>
      <c r="J2258">
        <v>8999</v>
      </c>
      <c r="K2258">
        <v>1</v>
      </c>
      <c r="L2258">
        <v>8649.9500000000007</v>
      </c>
      <c r="M2258">
        <v>432.5</v>
      </c>
      <c r="N2258">
        <v>8649.9500000000007</v>
      </c>
      <c r="O2258">
        <v>8217.4500000000007</v>
      </c>
      <c r="P2258" t="s">
        <v>2111</v>
      </c>
      <c r="Q2258" t="s">
        <v>789</v>
      </c>
    </row>
    <row r="2259" spans="1:17" x14ac:dyDescent="0.3">
      <c r="A2259" t="s">
        <v>1990</v>
      </c>
      <c r="B2259" t="s">
        <v>1989</v>
      </c>
      <c r="C2259" s="1">
        <v>46193</v>
      </c>
      <c r="D2259" t="s">
        <v>63</v>
      </c>
      <c r="E2259" t="s">
        <v>17</v>
      </c>
      <c r="F2259" t="s">
        <v>22</v>
      </c>
      <c r="G2259" t="s">
        <v>191</v>
      </c>
      <c r="H2259" t="s">
        <v>192</v>
      </c>
      <c r="I2259" t="s">
        <v>45</v>
      </c>
      <c r="J2259">
        <v>699</v>
      </c>
      <c r="K2259">
        <v>1</v>
      </c>
      <c r="L2259">
        <v>659.55</v>
      </c>
      <c r="M2259">
        <v>65.959999999999994</v>
      </c>
      <c r="N2259">
        <v>659.55</v>
      </c>
      <c r="O2259">
        <v>593.59</v>
      </c>
      <c r="P2259" t="s">
        <v>2111</v>
      </c>
      <c r="Q2259" t="s">
        <v>1809</v>
      </c>
    </row>
    <row r="2260" spans="1:17" x14ac:dyDescent="0.3">
      <c r="A2260" t="s">
        <v>2726</v>
      </c>
      <c r="B2260" t="s">
        <v>1504</v>
      </c>
      <c r="C2260" s="1">
        <v>46158</v>
      </c>
      <c r="D2260" t="s">
        <v>26</v>
      </c>
      <c r="E2260" t="s">
        <v>17</v>
      </c>
      <c r="F2260" t="s">
        <v>74</v>
      </c>
      <c r="G2260" t="s">
        <v>126</v>
      </c>
      <c r="H2260" t="s">
        <v>127</v>
      </c>
      <c r="I2260" t="s">
        <v>45</v>
      </c>
      <c r="J2260">
        <v>2499</v>
      </c>
      <c r="K2260">
        <v>1</v>
      </c>
      <c r="L2260">
        <v>2412.63</v>
      </c>
      <c r="M2260">
        <v>120.63</v>
      </c>
      <c r="N2260">
        <v>2412.63</v>
      </c>
      <c r="O2260">
        <v>2292</v>
      </c>
      <c r="P2260" t="s">
        <v>2111</v>
      </c>
      <c r="Q2260" t="s">
        <v>1479</v>
      </c>
    </row>
    <row r="2261" spans="1:17" x14ac:dyDescent="0.3">
      <c r="A2261" t="s">
        <v>2247</v>
      </c>
      <c r="B2261" t="s">
        <v>827</v>
      </c>
      <c r="C2261" s="1">
        <v>46049</v>
      </c>
      <c r="D2261" t="s">
        <v>16</v>
      </c>
      <c r="E2261" t="s">
        <v>50</v>
      </c>
      <c r="F2261" t="s">
        <v>47</v>
      </c>
      <c r="G2261" t="s">
        <v>149</v>
      </c>
      <c r="H2261" t="s">
        <v>150</v>
      </c>
      <c r="I2261" t="s">
        <v>37</v>
      </c>
      <c r="J2261">
        <v>2999</v>
      </c>
      <c r="K2261">
        <v>1</v>
      </c>
      <c r="L2261">
        <v>3076.07</v>
      </c>
      <c r="M2261">
        <v>615.21</v>
      </c>
      <c r="N2261">
        <v>3076.07</v>
      </c>
      <c r="O2261">
        <v>2460.86</v>
      </c>
      <c r="P2261" t="s">
        <v>2114</v>
      </c>
      <c r="Q2261" t="s">
        <v>23</v>
      </c>
    </row>
    <row r="2262" spans="1:17" x14ac:dyDescent="0.3">
      <c r="A2262" t="s">
        <v>2731</v>
      </c>
      <c r="B2262" t="s">
        <v>861</v>
      </c>
      <c r="C2262" s="1">
        <v>46051</v>
      </c>
      <c r="D2262" t="s">
        <v>34</v>
      </c>
      <c r="E2262" t="s">
        <v>42</v>
      </c>
      <c r="F2262" t="s">
        <v>60</v>
      </c>
      <c r="G2262" t="s">
        <v>91</v>
      </c>
      <c r="H2262" t="s">
        <v>92</v>
      </c>
      <c r="I2262" t="s">
        <v>37</v>
      </c>
      <c r="J2262">
        <v>1899</v>
      </c>
      <c r="K2262">
        <v>2</v>
      </c>
      <c r="L2262">
        <v>1774.67</v>
      </c>
      <c r="M2262">
        <v>354.93</v>
      </c>
      <c r="N2262">
        <v>3549.34</v>
      </c>
      <c r="O2262">
        <v>3194.41</v>
      </c>
      <c r="P2262" t="s">
        <v>2111</v>
      </c>
      <c r="Q2262" t="s">
        <v>23</v>
      </c>
    </row>
    <row r="2263" spans="1:17" x14ac:dyDescent="0.3">
      <c r="A2263" t="s">
        <v>2410</v>
      </c>
      <c r="B2263" t="s">
        <v>2411</v>
      </c>
      <c r="C2263" s="1">
        <v>46086</v>
      </c>
      <c r="D2263" t="s">
        <v>41</v>
      </c>
      <c r="E2263" t="s">
        <v>17</v>
      </c>
      <c r="F2263" t="s">
        <v>60</v>
      </c>
      <c r="G2263" t="s">
        <v>149</v>
      </c>
      <c r="H2263" t="s">
        <v>150</v>
      </c>
      <c r="I2263" t="s">
        <v>37</v>
      </c>
      <c r="J2263">
        <v>2999</v>
      </c>
      <c r="K2263">
        <v>1</v>
      </c>
      <c r="L2263">
        <v>2854.23</v>
      </c>
      <c r="M2263">
        <v>428.13</v>
      </c>
      <c r="N2263">
        <v>2854.23</v>
      </c>
      <c r="O2263">
        <v>2426.1</v>
      </c>
      <c r="P2263" t="s">
        <v>2111</v>
      </c>
      <c r="Q2263" t="s">
        <v>789</v>
      </c>
    </row>
    <row r="2264" spans="1:17" x14ac:dyDescent="0.3">
      <c r="A2264" t="s">
        <v>151</v>
      </c>
      <c r="B2264" t="s">
        <v>148</v>
      </c>
      <c r="C2264" s="1">
        <v>46028</v>
      </c>
      <c r="D2264" t="s">
        <v>41</v>
      </c>
      <c r="E2264" t="s">
        <v>17</v>
      </c>
      <c r="F2264" t="s">
        <v>31</v>
      </c>
      <c r="G2264" t="s">
        <v>91</v>
      </c>
      <c r="H2264" t="s">
        <v>92</v>
      </c>
      <c r="I2264" t="s">
        <v>37</v>
      </c>
      <c r="J2264">
        <v>1899</v>
      </c>
      <c r="K2264">
        <v>2</v>
      </c>
      <c r="L2264">
        <v>1886.87</v>
      </c>
      <c r="M2264">
        <v>377.37</v>
      </c>
      <c r="N2264">
        <v>3773.74</v>
      </c>
      <c r="O2264">
        <v>3396.37</v>
      </c>
      <c r="P2264" t="s">
        <v>2111</v>
      </c>
      <c r="Q2264" t="s">
        <v>23</v>
      </c>
    </row>
    <row r="2265" spans="1:17" x14ac:dyDescent="0.3">
      <c r="A2265" t="s">
        <v>2392</v>
      </c>
      <c r="B2265" t="s">
        <v>2393</v>
      </c>
      <c r="C2265" s="1">
        <v>46073</v>
      </c>
      <c r="D2265" t="s">
        <v>63</v>
      </c>
      <c r="E2265" t="s">
        <v>17</v>
      </c>
      <c r="F2265" t="s">
        <v>22</v>
      </c>
      <c r="G2265" t="s">
        <v>56</v>
      </c>
      <c r="H2265" t="s">
        <v>57</v>
      </c>
      <c r="I2265" t="s">
        <v>58</v>
      </c>
      <c r="J2265">
        <v>8999</v>
      </c>
      <c r="K2265">
        <v>3</v>
      </c>
      <c r="L2265">
        <v>8518.5400000000009</v>
      </c>
      <c r="M2265">
        <v>3833.34</v>
      </c>
      <c r="N2265">
        <v>25555.62</v>
      </c>
      <c r="O2265">
        <v>21722.28</v>
      </c>
      <c r="P2265" t="s">
        <v>2111</v>
      </c>
      <c r="Q2265" t="s">
        <v>498</v>
      </c>
    </row>
    <row r="2266" spans="1:17" x14ac:dyDescent="0.3">
      <c r="A2266" t="s">
        <v>2937</v>
      </c>
      <c r="B2266" t="s">
        <v>2893</v>
      </c>
      <c r="C2266" s="1">
        <v>46105</v>
      </c>
      <c r="D2266" t="s">
        <v>63</v>
      </c>
      <c r="E2266" t="s">
        <v>17</v>
      </c>
      <c r="F2266" t="s">
        <v>31</v>
      </c>
      <c r="G2266" t="s">
        <v>106</v>
      </c>
      <c r="H2266" t="s">
        <v>107</v>
      </c>
      <c r="I2266" t="s">
        <v>108</v>
      </c>
      <c r="J2266">
        <v>599</v>
      </c>
      <c r="K2266">
        <v>1</v>
      </c>
      <c r="L2266">
        <v>609.62</v>
      </c>
      <c r="M2266">
        <v>30.48</v>
      </c>
      <c r="N2266">
        <v>609.62</v>
      </c>
      <c r="O2266">
        <v>579.14</v>
      </c>
      <c r="P2266" t="s">
        <v>2111</v>
      </c>
      <c r="Q2266" t="s">
        <v>789</v>
      </c>
    </row>
    <row r="2267" spans="1:17" x14ac:dyDescent="0.3">
      <c r="A2267" t="s">
        <v>2003</v>
      </c>
      <c r="B2267" t="s">
        <v>2002</v>
      </c>
      <c r="C2267" s="1">
        <v>46195</v>
      </c>
      <c r="D2267" t="s">
        <v>63</v>
      </c>
      <c r="E2267" t="s">
        <v>17</v>
      </c>
      <c r="F2267" t="s">
        <v>31</v>
      </c>
      <c r="G2267" t="s">
        <v>250</v>
      </c>
      <c r="H2267" t="s">
        <v>251</v>
      </c>
      <c r="I2267" t="s">
        <v>108</v>
      </c>
      <c r="J2267">
        <v>899</v>
      </c>
      <c r="K2267">
        <v>2</v>
      </c>
      <c r="L2267">
        <v>975.09</v>
      </c>
      <c r="M2267">
        <v>390.04</v>
      </c>
      <c r="N2267">
        <v>1950.18</v>
      </c>
      <c r="O2267">
        <v>1560.14</v>
      </c>
      <c r="P2267" t="s">
        <v>2111</v>
      </c>
      <c r="Q2267" t="s">
        <v>1809</v>
      </c>
    </row>
    <row r="2268" spans="1:17" x14ac:dyDescent="0.3">
      <c r="A2268" t="s">
        <v>2752</v>
      </c>
      <c r="B2268" t="s">
        <v>2753</v>
      </c>
      <c r="C2268" s="1">
        <v>46180</v>
      </c>
      <c r="D2268" t="s">
        <v>26</v>
      </c>
      <c r="E2268" t="s">
        <v>17</v>
      </c>
      <c r="F2268" t="s">
        <v>60</v>
      </c>
      <c r="G2268" t="s">
        <v>56</v>
      </c>
      <c r="H2268" t="s">
        <v>57</v>
      </c>
      <c r="I2268" t="s">
        <v>58</v>
      </c>
      <c r="J2268">
        <v>8999</v>
      </c>
      <c r="K2268">
        <v>1</v>
      </c>
      <c r="L2268">
        <v>9445.51</v>
      </c>
      <c r="M2268">
        <v>472.28</v>
      </c>
      <c r="N2268">
        <v>9445.51</v>
      </c>
      <c r="O2268">
        <v>8973.23</v>
      </c>
      <c r="P2268" t="s">
        <v>2111</v>
      </c>
      <c r="Q2268" t="s">
        <v>1809</v>
      </c>
    </row>
    <row r="2269" spans="1:17" x14ac:dyDescent="0.3">
      <c r="A2269" t="s">
        <v>176</v>
      </c>
      <c r="B2269" t="s">
        <v>175</v>
      </c>
      <c r="C2269" s="1">
        <v>46029</v>
      </c>
      <c r="D2269" t="s">
        <v>63</v>
      </c>
      <c r="E2269" t="s">
        <v>17</v>
      </c>
      <c r="F2269" t="s">
        <v>74</v>
      </c>
      <c r="G2269" t="s">
        <v>96</v>
      </c>
      <c r="H2269" t="s">
        <v>97</v>
      </c>
      <c r="I2269" t="s">
        <v>58</v>
      </c>
      <c r="J2269">
        <v>7499</v>
      </c>
      <c r="K2269">
        <v>1</v>
      </c>
      <c r="L2269">
        <v>7748.61</v>
      </c>
      <c r="M2269">
        <v>774.86</v>
      </c>
      <c r="N2269">
        <v>7748.61</v>
      </c>
      <c r="O2269">
        <v>6973.75</v>
      </c>
      <c r="P2269" t="s">
        <v>2114</v>
      </c>
      <c r="Q2269" t="s">
        <v>23</v>
      </c>
    </row>
    <row r="2270" spans="1:17" x14ac:dyDescent="0.3">
      <c r="A2270" t="s">
        <v>2507</v>
      </c>
      <c r="B2270" t="s">
        <v>2508</v>
      </c>
      <c r="C2270" s="1">
        <v>46046</v>
      </c>
      <c r="D2270" t="s">
        <v>34</v>
      </c>
      <c r="E2270" t="s">
        <v>42</v>
      </c>
      <c r="F2270" t="s">
        <v>60</v>
      </c>
      <c r="G2270" t="s">
        <v>126</v>
      </c>
      <c r="H2270" t="s">
        <v>127</v>
      </c>
      <c r="I2270" t="s">
        <v>45</v>
      </c>
      <c r="J2270">
        <v>2499</v>
      </c>
      <c r="K2270">
        <v>1</v>
      </c>
      <c r="L2270">
        <v>2540.34</v>
      </c>
      <c r="M2270">
        <v>127.02</v>
      </c>
      <c r="N2270">
        <v>2540.34</v>
      </c>
      <c r="O2270">
        <v>2413.3200000000002</v>
      </c>
      <c r="P2270" t="s">
        <v>2111</v>
      </c>
      <c r="Q2270" t="s">
        <v>23</v>
      </c>
    </row>
    <row r="2271" spans="1:17" x14ac:dyDescent="0.3">
      <c r="A2271" t="s">
        <v>2688</v>
      </c>
      <c r="B2271" t="s">
        <v>2689</v>
      </c>
      <c r="C2271" s="1">
        <v>46120</v>
      </c>
      <c r="D2271" t="s">
        <v>16</v>
      </c>
      <c r="E2271" t="s">
        <v>17</v>
      </c>
      <c r="F2271" t="s">
        <v>31</v>
      </c>
      <c r="G2271" t="s">
        <v>106</v>
      </c>
      <c r="H2271" t="s">
        <v>107</v>
      </c>
      <c r="I2271" t="s">
        <v>108</v>
      </c>
      <c r="J2271">
        <v>599</v>
      </c>
      <c r="K2271">
        <v>2</v>
      </c>
      <c r="L2271">
        <v>597.55999999999995</v>
      </c>
      <c r="M2271">
        <v>119.51</v>
      </c>
      <c r="N2271">
        <v>1195.1199999999999</v>
      </c>
      <c r="O2271">
        <v>1075.6099999999999</v>
      </c>
      <c r="P2271" t="s">
        <v>2111</v>
      </c>
      <c r="Q2271" t="s">
        <v>1170</v>
      </c>
    </row>
    <row r="2272" spans="1:17" x14ac:dyDescent="0.3">
      <c r="A2272" t="s">
        <v>2354</v>
      </c>
      <c r="B2272" t="s">
        <v>2355</v>
      </c>
      <c r="C2272" s="1">
        <v>46201</v>
      </c>
      <c r="D2272" t="s">
        <v>34</v>
      </c>
      <c r="E2272" t="s">
        <v>17</v>
      </c>
      <c r="F2272" t="s">
        <v>74</v>
      </c>
      <c r="G2272" t="s">
        <v>80</v>
      </c>
      <c r="H2272" t="s">
        <v>81</v>
      </c>
      <c r="I2272" t="s">
        <v>82</v>
      </c>
      <c r="J2272">
        <v>4299</v>
      </c>
      <c r="K2272">
        <v>1</v>
      </c>
      <c r="L2272">
        <v>4029.51</v>
      </c>
      <c r="M2272">
        <v>201.48</v>
      </c>
      <c r="N2272">
        <v>4029.51</v>
      </c>
      <c r="O2272">
        <v>3828.03</v>
      </c>
      <c r="P2272" t="s">
        <v>2114</v>
      </c>
      <c r="Q2272" t="s">
        <v>1809</v>
      </c>
    </row>
    <row r="2273" spans="1:17" x14ac:dyDescent="0.3">
      <c r="A2273" t="s">
        <v>1097</v>
      </c>
      <c r="B2273" t="s">
        <v>1096</v>
      </c>
      <c r="C2273" s="1">
        <v>46105</v>
      </c>
      <c r="D2273" t="s">
        <v>63</v>
      </c>
      <c r="E2273" t="s">
        <v>50</v>
      </c>
      <c r="F2273" t="s">
        <v>22</v>
      </c>
      <c r="G2273" t="s">
        <v>43</v>
      </c>
      <c r="H2273" t="s">
        <v>44</v>
      </c>
      <c r="I2273" t="s">
        <v>45</v>
      </c>
      <c r="J2273">
        <v>3299</v>
      </c>
      <c r="K2273">
        <v>1</v>
      </c>
      <c r="L2273">
        <v>3559.43</v>
      </c>
      <c r="M2273">
        <v>177.97</v>
      </c>
      <c r="N2273">
        <v>3559.43</v>
      </c>
      <c r="O2273">
        <v>3381.46</v>
      </c>
      <c r="P2273" t="s">
        <v>2111</v>
      </c>
      <c r="Q2273" t="s">
        <v>789</v>
      </c>
    </row>
    <row r="2274" spans="1:17" x14ac:dyDescent="0.3">
      <c r="A2274" t="s">
        <v>2938</v>
      </c>
      <c r="B2274" t="s">
        <v>2939</v>
      </c>
      <c r="C2274" s="1">
        <v>46050</v>
      </c>
      <c r="D2274" t="s">
        <v>34</v>
      </c>
      <c r="E2274" t="s">
        <v>50</v>
      </c>
      <c r="F2274" t="s">
        <v>60</v>
      </c>
      <c r="G2274" t="s">
        <v>191</v>
      </c>
      <c r="H2274" t="s">
        <v>192</v>
      </c>
      <c r="I2274" t="s">
        <v>45</v>
      </c>
      <c r="J2274">
        <v>699</v>
      </c>
      <c r="K2274">
        <v>1</v>
      </c>
      <c r="L2274">
        <v>663.85</v>
      </c>
      <c r="M2274">
        <v>165.96</v>
      </c>
      <c r="N2274">
        <v>663.85</v>
      </c>
      <c r="O2274">
        <v>497.89</v>
      </c>
      <c r="P2274" t="s">
        <v>2111</v>
      </c>
      <c r="Q2274" t="s">
        <v>23</v>
      </c>
    </row>
    <row r="2275" spans="1:17" x14ac:dyDescent="0.3">
      <c r="A2275" t="s">
        <v>2794</v>
      </c>
      <c r="B2275" t="s">
        <v>55</v>
      </c>
      <c r="C2275" s="1">
        <v>46121</v>
      </c>
      <c r="D2275" t="s">
        <v>16</v>
      </c>
      <c r="E2275" t="s">
        <v>42</v>
      </c>
      <c r="F2275" t="s">
        <v>22</v>
      </c>
      <c r="G2275" t="s">
        <v>86</v>
      </c>
      <c r="H2275" t="s">
        <v>87</v>
      </c>
      <c r="I2275" t="s">
        <v>82</v>
      </c>
      <c r="J2275">
        <v>3499</v>
      </c>
      <c r="K2275">
        <v>1</v>
      </c>
      <c r="L2275">
        <v>3213</v>
      </c>
      <c r="M2275">
        <v>0</v>
      </c>
      <c r="N2275">
        <v>3213</v>
      </c>
      <c r="O2275">
        <v>3213</v>
      </c>
      <c r="P2275" t="s">
        <v>2111</v>
      </c>
      <c r="Q2275" t="s">
        <v>1170</v>
      </c>
    </row>
    <row r="2276" spans="1:17" x14ac:dyDescent="0.3">
      <c r="A2276" t="s">
        <v>2363</v>
      </c>
      <c r="B2276" t="s">
        <v>1573</v>
      </c>
      <c r="C2276" s="1">
        <v>46075</v>
      </c>
      <c r="D2276" t="s">
        <v>16</v>
      </c>
      <c r="E2276" t="s">
        <v>50</v>
      </c>
      <c r="F2276" t="s">
        <v>60</v>
      </c>
      <c r="G2276" t="s">
        <v>160</v>
      </c>
      <c r="H2276" t="s">
        <v>161</v>
      </c>
      <c r="I2276" t="s">
        <v>82</v>
      </c>
      <c r="J2276">
        <v>799</v>
      </c>
      <c r="K2276">
        <v>2</v>
      </c>
      <c r="L2276">
        <v>838.95</v>
      </c>
      <c r="M2276">
        <v>251.68</v>
      </c>
      <c r="N2276">
        <v>1677.9</v>
      </c>
      <c r="O2276">
        <v>1426.22</v>
      </c>
      <c r="P2276" t="s">
        <v>2111</v>
      </c>
      <c r="Q2276" t="s">
        <v>498</v>
      </c>
    </row>
    <row r="2277" spans="1:17" x14ac:dyDescent="0.3">
      <c r="A2277" t="s">
        <v>1268</v>
      </c>
      <c r="B2277" t="s">
        <v>1267</v>
      </c>
      <c r="C2277" s="1">
        <v>46123</v>
      </c>
      <c r="D2277" t="s">
        <v>34</v>
      </c>
      <c r="E2277" t="s">
        <v>17</v>
      </c>
      <c r="F2277" t="s">
        <v>74</v>
      </c>
      <c r="G2277" t="s">
        <v>149</v>
      </c>
      <c r="H2277" t="s">
        <v>150</v>
      </c>
      <c r="I2277" t="s">
        <v>37</v>
      </c>
      <c r="J2277">
        <v>2999</v>
      </c>
      <c r="K2277">
        <v>1</v>
      </c>
      <c r="L2277">
        <v>2804.43</v>
      </c>
      <c r="M2277">
        <v>701.11</v>
      </c>
      <c r="N2277">
        <v>2804.43</v>
      </c>
      <c r="O2277">
        <v>2103.3200000000002</v>
      </c>
      <c r="P2277" t="s">
        <v>2111</v>
      </c>
      <c r="Q2277" t="s">
        <v>1170</v>
      </c>
    </row>
    <row r="2278" spans="1:17" x14ac:dyDescent="0.3">
      <c r="A2278" t="s">
        <v>2765</v>
      </c>
      <c r="B2278" t="s">
        <v>2766</v>
      </c>
      <c r="C2278" s="1">
        <v>46067</v>
      </c>
      <c r="D2278" t="s">
        <v>16</v>
      </c>
      <c r="E2278" t="s">
        <v>17</v>
      </c>
      <c r="F2278" t="s">
        <v>60</v>
      </c>
      <c r="G2278" t="s">
        <v>191</v>
      </c>
      <c r="H2278" t="s">
        <v>192</v>
      </c>
      <c r="I2278" t="s">
        <v>45</v>
      </c>
      <c r="J2278">
        <v>699</v>
      </c>
      <c r="K2278">
        <v>2</v>
      </c>
      <c r="L2278">
        <v>681.09</v>
      </c>
      <c r="M2278">
        <v>0</v>
      </c>
      <c r="N2278">
        <v>1362.18</v>
      </c>
      <c r="O2278">
        <v>1362.18</v>
      </c>
      <c r="P2278" t="s">
        <v>2111</v>
      </c>
      <c r="Q2278" t="s">
        <v>498</v>
      </c>
    </row>
    <row r="2279" spans="1:17" x14ac:dyDescent="0.3">
      <c r="A2279" t="s">
        <v>2715</v>
      </c>
      <c r="B2279" t="s">
        <v>243</v>
      </c>
      <c r="C2279" s="1">
        <v>46197</v>
      </c>
      <c r="D2279" t="s">
        <v>26</v>
      </c>
      <c r="E2279" t="s">
        <v>17</v>
      </c>
      <c r="F2279" t="s">
        <v>47</v>
      </c>
      <c r="G2279" t="s">
        <v>112</v>
      </c>
      <c r="H2279" t="s">
        <v>113</v>
      </c>
      <c r="I2279" t="s">
        <v>37</v>
      </c>
      <c r="J2279">
        <v>1499</v>
      </c>
      <c r="K2279">
        <v>1</v>
      </c>
      <c r="L2279">
        <v>1357.58</v>
      </c>
      <c r="M2279">
        <v>203.64</v>
      </c>
      <c r="N2279">
        <v>1357.58</v>
      </c>
      <c r="O2279">
        <v>1153.94</v>
      </c>
      <c r="P2279" t="s">
        <v>2111</v>
      </c>
      <c r="Q2279" t="s">
        <v>1809</v>
      </c>
    </row>
    <row r="2280" spans="1:17" x14ac:dyDescent="0.3">
      <c r="A2280" t="s">
        <v>2771</v>
      </c>
      <c r="B2280" t="s">
        <v>2772</v>
      </c>
      <c r="C2280" s="1">
        <v>46084</v>
      </c>
      <c r="D2280" t="s">
        <v>41</v>
      </c>
      <c r="E2280" t="s">
        <v>17</v>
      </c>
      <c r="F2280" t="s">
        <v>31</v>
      </c>
      <c r="G2280" t="s">
        <v>43</v>
      </c>
      <c r="H2280" t="s">
        <v>44</v>
      </c>
      <c r="I2280" t="s">
        <v>45</v>
      </c>
      <c r="J2280">
        <v>3299</v>
      </c>
      <c r="K2280">
        <v>2</v>
      </c>
      <c r="L2280">
        <v>3059.54</v>
      </c>
      <c r="M2280">
        <v>305.95</v>
      </c>
      <c r="N2280">
        <v>6119.08</v>
      </c>
      <c r="O2280">
        <v>5813.13</v>
      </c>
      <c r="P2280" t="s">
        <v>2111</v>
      </c>
      <c r="Q2280" t="s">
        <v>789</v>
      </c>
    </row>
    <row r="2281" spans="1:17" x14ac:dyDescent="0.3">
      <c r="A2281" t="s">
        <v>2446</v>
      </c>
      <c r="B2281" t="s">
        <v>322</v>
      </c>
      <c r="C2281" s="1">
        <v>46141</v>
      </c>
      <c r="D2281" t="s">
        <v>34</v>
      </c>
      <c r="E2281" t="s">
        <v>17</v>
      </c>
      <c r="F2281" t="s">
        <v>31</v>
      </c>
      <c r="G2281" t="s">
        <v>149</v>
      </c>
      <c r="H2281" t="s">
        <v>150</v>
      </c>
      <c r="I2281" t="s">
        <v>37</v>
      </c>
      <c r="J2281">
        <v>2999</v>
      </c>
      <c r="K2281">
        <v>1</v>
      </c>
      <c r="L2281">
        <v>2802.99</v>
      </c>
      <c r="M2281">
        <v>0</v>
      </c>
      <c r="N2281">
        <v>2802.99</v>
      </c>
      <c r="O2281">
        <v>2802.99</v>
      </c>
      <c r="P2281" t="s">
        <v>2111</v>
      </c>
      <c r="Q2281" t="s">
        <v>1170</v>
      </c>
    </row>
    <row r="2282" spans="1:17" x14ac:dyDescent="0.3">
      <c r="A2282" t="s">
        <v>2183</v>
      </c>
      <c r="B2282" t="s">
        <v>2184</v>
      </c>
      <c r="C2282" s="1">
        <v>46062</v>
      </c>
      <c r="D2282" t="s">
        <v>26</v>
      </c>
      <c r="E2282" t="s">
        <v>50</v>
      </c>
      <c r="F2282" t="s">
        <v>47</v>
      </c>
      <c r="G2282" t="s">
        <v>250</v>
      </c>
      <c r="H2282" t="s">
        <v>251</v>
      </c>
      <c r="I2282" t="s">
        <v>108</v>
      </c>
      <c r="J2282">
        <v>899</v>
      </c>
      <c r="K2282">
        <v>1</v>
      </c>
      <c r="L2282">
        <v>818.88</v>
      </c>
      <c r="M2282">
        <v>81.89</v>
      </c>
      <c r="N2282">
        <v>818.88</v>
      </c>
      <c r="O2282">
        <v>736.99</v>
      </c>
      <c r="P2282" t="s">
        <v>2111</v>
      </c>
      <c r="Q2282" t="s">
        <v>498</v>
      </c>
    </row>
    <row r="2283" spans="1:17" x14ac:dyDescent="0.3">
      <c r="A2283" t="s">
        <v>2674</v>
      </c>
      <c r="B2283" t="s">
        <v>2675</v>
      </c>
      <c r="C2283" s="1">
        <v>46184</v>
      </c>
      <c r="D2283" t="s">
        <v>34</v>
      </c>
      <c r="E2283" t="s">
        <v>50</v>
      </c>
      <c r="F2283" t="s">
        <v>74</v>
      </c>
      <c r="G2283" t="s">
        <v>96</v>
      </c>
      <c r="H2283" t="s">
        <v>97</v>
      </c>
      <c r="I2283" t="s">
        <v>58</v>
      </c>
      <c r="J2283">
        <v>7499</v>
      </c>
      <c r="K2283">
        <v>1</v>
      </c>
      <c r="L2283">
        <v>7733.95</v>
      </c>
      <c r="M2283">
        <v>1546.79</v>
      </c>
      <c r="N2283">
        <v>7733.95</v>
      </c>
      <c r="O2283">
        <v>6187.16</v>
      </c>
      <c r="P2283" t="s">
        <v>2111</v>
      </c>
      <c r="Q2283" t="s">
        <v>1809</v>
      </c>
    </row>
    <row r="2284" spans="1:17" x14ac:dyDescent="0.3">
      <c r="A2284" t="s">
        <v>303</v>
      </c>
      <c r="B2284" t="s">
        <v>302</v>
      </c>
      <c r="C2284" s="1">
        <v>46037</v>
      </c>
      <c r="D2284" t="s">
        <v>63</v>
      </c>
      <c r="E2284" t="s">
        <v>17</v>
      </c>
      <c r="F2284" t="s">
        <v>22</v>
      </c>
      <c r="G2284" t="s">
        <v>112</v>
      </c>
      <c r="H2284" t="s">
        <v>113</v>
      </c>
      <c r="I2284" t="s">
        <v>37</v>
      </c>
      <c r="J2284">
        <v>1499</v>
      </c>
      <c r="K2284">
        <v>2</v>
      </c>
      <c r="L2284">
        <v>1600.03</v>
      </c>
      <c r="M2284">
        <v>0</v>
      </c>
      <c r="N2284">
        <v>3200.06</v>
      </c>
      <c r="O2284">
        <v>3200.06</v>
      </c>
      <c r="P2284" t="s">
        <v>2114</v>
      </c>
      <c r="Q2284" t="s">
        <v>23</v>
      </c>
    </row>
    <row r="2285" spans="1:17" x14ac:dyDescent="0.3">
      <c r="A2285" t="s">
        <v>2244</v>
      </c>
      <c r="B2285" t="s">
        <v>2245</v>
      </c>
      <c r="C2285" s="1">
        <v>46176</v>
      </c>
      <c r="D2285" t="s">
        <v>26</v>
      </c>
      <c r="E2285" t="s">
        <v>50</v>
      </c>
      <c r="F2285" t="s">
        <v>22</v>
      </c>
      <c r="G2285" t="s">
        <v>106</v>
      </c>
      <c r="H2285" t="s">
        <v>107</v>
      </c>
      <c r="I2285" t="s">
        <v>108</v>
      </c>
      <c r="J2285">
        <v>599</v>
      </c>
      <c r="K2285">
        <v>1</v>
      </c>
      <c r="L2285">
        <v>583.82000000000005</v>
      </c>
      <c r="M2285">
        <v>58.38</v>
      </c>
      <c r="N2285">
        <v>583.82000000000005</v>
      </c>
      <c r="O2285">
        <v>525.44000000000005</v>
      </c>
      <c r="P2285" t="s">
        <v>2111</v>
      </c>
      <c r="Q2285" t="s">
        <v>1809</v>
      </c>
    </row>
    <row r="2286" spans="1:17" x14ac:dyDescent="0.3">
      <c r="A2286" t="s">
        <v>2522</v>
      </c>
      <c r="B2286" t="s">
        <v>1819</v>
      </c>
      <c r="C2286" s="1">
        <v>46066</v>
      </c>
      <c r="D2286" t="s">
        <v>63</v>
      </c>
      <c r="E2286" t="s">
        <v>50</v>
      </c>
      <c r="F2286" t="s">
        <v>74</v>
      </c>
      <c r="G2286" t="s">
        <v>101</v>
      </c>
      <c r="H2286" t="s">
        <v>102</v>
      </c>
      <c r="I2286" t="s">
        <v>45</v>
      </c>
      <c r="J2286">
        <v>4999</v>
      </c>
      <c r="K2286">
        <v>3</v>
      </c>
      <c r="L2286">
        <v>5373.5</v>
      </c>
      <c r="M2286">
        <v>1612.05</v>
      </c>
      <c r="N2286">
        <v>16120.5</v>
      </c>
      <c r="O2286">
        <v>14508.45</v>
      </c>
      <c r="P2286" t="s">
        <v>2111</v>
      </c>
      <c r="Q2286" t="s">
        <v>498</v>
      </c>
    </row>
    <row r="2287" spans="1:17" x14ac:dyDescent="0.3">
      <c r="A2287" t="s">
        <v>2134</v>
      </c>
      <c r="B2287" t="s">
        <v>2135</v>
      </c>
      <c r="C2287" s="1">
        <v>46170</v>
      </c>
      <c r="D2287" t="s">
        <v>16</v>
      </c>
      <c r="E2287" t="s">
        <v>17</v>
      </c>
      <c r="F2287" t="s">
        <v>22</v>
      </c>
      <c r="G2287" t="s">
        <v>355</v>
      </c>
      <c r="H2287" t="s">
        <v>356</v>
      </c>
      <c r="I2287" t="s">
        <v>82</v>
      </c>
      <c r="J2287">
        <v>499</v>
      </c>
      <c r="K2287">
        <v>3</v>
      </c>
      <c r="L2287">
        <v>470.39</v>
      </c>
      <c r="M2287">
        <v>282.23</v>
      </c>
      <c r="N2287">
        <v>1411.17</v>
      </c>
      <c r="O2287">
        <v>1128.94</v>
      </c>
      <c r="P2287" t="s">
        <v>2111</v>
      </c>
      <c r="Q2287" t="s">
        <v>1479</v>
      </c>
    </row>
    <row r="2288" spans="1:17" x14ac:dyDescent="0.3">
      <c r="A2288" t="s">
        <v>2573</v>
      </c>
      <c r="B2288" t="s">
        <v>2574</v>
      </c>
      <c r="C2288" s="1">
        <v>46076</v>
      </c>
      <c r="D2288" t="s">
        <v>26</v>
      </c>
      <c r="E2288" t="s">
        <v>42</v>
      </c>
      <c r="F2288" t="s">
        <v>47</v>
      </c>
      <c r="G2288" t="s">
        <v>355</v>
      </c>
      <c r="H2288" t="s">
        <v>356</v>
      </c>
      <c r="I2288" t="s">
        <v>82</v>
      </c>
      <c r="J2288">
        <v>499</v>
      </c>
      <c r="K2288">
        <v>1</v>
      </c>
      <c r="L2288">
        <v>481.57</v>
      </c>
      <c r="M2288">
        <v>0</v>
      </c>
      <c r="N2288">
        <v>481.57</v>
      </c>
      <c r="O2288">
        <v>481.57</v>
      </c>
      <c r="P2288" t="s">
        <v>2111</v>
      </c>
      <c r="Q2288" t="s">
        <v>498</v>
      </c>
    </row>
    <row r="2289" spans="1:17" x14ac:dyDescent="0.3">
      <c r="A2289" t="s">
        <v>581</v>
      </c>
      <c r="B2289" t="s">
        <v>580</v>
      </c>
      <c r="C2289" s="1">
        <v>46061</v>
      </c>
      <c r="D2289" t="s">
        <v>26</v>
      </c>
      <c r="E2289" t="s">
        <v>50</v>
      </c>
      <c r="F2289" t="s">
        <v>22</v>
      </c>
      <c r="G2289" t="s">
        <v>149</v>
      </c>
      <c r="H2289" t="s">
        <v>150</v>
      </c>
      <c r="I2289" t="s">
        <v>37</v>
      </c>
      <c r="J2289">
        <v>2999</v>
      </c>
      <c r="K2289">
        <v>1</v>
      </c>
      <c r="L2289">
        <v>2789.51</v>
      </c>
      <c r="M2289">
        <v>418.43</v>
      </c>
      <c r="N2289">
        <v>2789.51</v>
      </c>
      <c r="O2289">
        <v>2371.08</v>
      </c>
      <c r="P2289" t="s">
        <v>2111</v>
      </c>
      <c r="Q2289" t="s">
        <v>498</v>
      </c>
    </row>
    <row r="2290" spans="1:17" x14ac:dyDescent="0.3">
      <c r="A2290" t="s">
        <v>2940</v>
      </c>
      <c r="B2290" t="s">
        <v>613</v>
      </c>
      <c r="C2290" s="1">
        <v>46128</v>
      </c>
      <c r="D2290" t="s">
        <v>41</v>
      </c>
      <c r="E2290" t="s">
        <v>17</v>
      </c>
      <c r="F2290" t="s">
        <v>31</v>
      </c>
      <c r="G2290" t="s">
        <v>96</v>
      </c>
      <c r="H2290" t="s">
        <v>97</v>
      </c>
      <c r="I2290" t="s">
        <v>58</v>
      </c>
      <c r="J2290">
        <v>7499</v>
      </c>
      <c r="K2290">
        <v>1</v>
      </c>
      <c r="L2290">
        <v>7679.81</v>
      </c>
      <c r="M2290">
        <v>1151.97</v>
      </c>
      <c r="N2290">
        <v>7679.81</v>
      </c>
      <c r="O2290">
        <v>6527.84</v>
      </c>
      <c r="P2290" t="s">
        <v>2111</v>
      </c>
      <c r="Q2290" t="s">
        <v>1170</v>
      </c>
    </row>
    <row r="2291" spans="1:17" x14ac:dyDescent="0.3">
      <c r="A2291" t="s">
        <v>2729</v>
      </c>
      <c r="B2291" t="s">
        <v>2578</v>
      </c>
      <c r="C2291" s="1">
        <v>46113</v>
      </c>
      <c r="D2291" t="s">
        <v>41</v>
      </c>
      <c r="E2291" t="s">
        <v>17</v>
      </c>
      <c r="F2291" t="s">
        <v>47</v>
      </c>
      <c r="G2291" t="s">
        <v>355</v>
      </c>
      <c r="H2291" t="s">
        <v>356</v>
      </c>
      <c r="I2291" t="s">
        <v>82</v>
      </c>
      <c r="J2291">
        <v>499</v>
      </c>
      <c r="K2291">
        <v>1</v>
      </c>
      <c r="L2291">
        <v>491</v>
      </c>
      <c r="M2291">
        <v>73.650000000000006</v>
      </c>
      <c r="N2291">
        <v>491</v>
      </c>
      <c r="O2291">
        <v>417.35</v>
      </c>
      <c r="P2291" t="s">
        <v>2111</v>
      </c>
      <c r="Q2291" t="s">
        <v>1170</v>
      </c>
    </row>
    <row r="2292" spans="1:17" x14ac:dyDescent="0.3">
      <c r="A2292" t="s">
        <v>238</v>
      </c>
      <c r="B2292" t="s">
        <v>237</v>
      </c>
      <c r="C2292" s="1">
        <v>46033</v>
      </c>
      <c r="D2292" t="s">
        <v>41</v>
      </c>
      <c r="E2292" t="s">
        <v>17</v>
      </c>
      <c r="F2292" t="s">
        <v>31</v>
      </c>
      <c r="G2292" t="s">
        <v>96</v>
      </c>
      <c r="H2292" t="s">
        <v>97</v>
      </c>
      <c r="I2292" t="s">
        <v>58</v>
      </c>
      <c r="J2292">
        <v>7499</v>
      </c>
      <c r="K2292">
        <v>2</v>
      </c>
      <c r="L2292">
        <v>7668.9</v>
      </c>
      <c r="M2292">
        <v>3067.56</v>
      </c>
      <c r="N2292">
        <v>15337.8</v>
      </c>
      <c r="O2292">
        <v>12270.24</v>
      </c>
      <c r="P2292" t="s">
        <v>2111</v>
      </c>
      <c r="Q2292" t="s">
        <v>23</v>
      </c>
    </row>
    <row r="2293" spans="1:17" x14ac:dyDescent="0.3">
      <c r="A2293" t="s">
        <v>2910</v>
      </c>
      <c r="B2293" t="s">
        <v>2911</v>
      </c>
      <c r="C2293" s="1">
        <v>46051</v>
      </c>
      <c r="D2293" t="s">
        <v>41</v>
      </c>
      <c r="E2293" t="s">
        <v>17</v>
      </c>
      <c r="F2293" t="s">
        <v>47</v>
      </c>
      <c r="G2293" t="s">
        <v>165</v>
      </c>
      <c r="H2293" t="s">
        <v>166</v>
      </c>
      <c r="I2293" t="s">
        <v>29</v>
      </c>
      <c r="J2293">
        <v>449</v>
      </c>
      <c r="K2293">
        <v>2</v>
      </c>
      <c r="L2293">
        <v>472.5</v>
      </c>
      <c r="M2293">
        <v>141.75</v>
      </c>
      <c r="N2293">
        <v>945</v>
      </c>
      <c r="O2293">
        <v>803.25</v>
      </c>
      <c r="P2293" t="s">
        <v>2111</v>
      </c>
      <c r="Q2293" t="s">
        <v>23</v>
      </c>
    </row>
    <row r="2294" spans="1:17" x14ac:dyDescent="0.3">
      <c r="A2294" t="s">
        <v>2416</v>
      </c>
      <c r="B2294" t="s">
        <v>1085</v>
      </c>
      <c r="C2294" s="1">
        <v>46083</v>
      </c>
      <c r="D2294" t="s">
        <v>16</v>
      </c>
      <c r="E2294" t="s">
        <v>17</v>
      </c>
      <c r="F2294" t="s">
        <v>47</v>
      </c>
      <c r="G2294" t="s">
        <v>96</v>
      </c>
      <c r="H2294" t="s">
        <v>97</v>
      </c>
      <c r="I2294" t="s">
        <v>58</v>
      </c>
      <c r="J2294">
        <v>7499</v>
      </c>
      <c r="K2294">
        <v>2</v>
      </c>
      <c r="L2294">
        <v>7567.55</v>
      </c>
      <c r="M2294">
        <v>0</v>
      </c>
      <c r="N2294">
        <v>15135.1</v>
      </c>
      <c r="O2294">
        <v>15135.1</v>
      </c>
      <c r="P2294" t="s">
        <v>2111</v>
      </c>
      <c r="Q2294" t="s">
        <v>789</v>
      </c>
    </row>
    <row r="2295" spans="1:17" x14ac:dyDescent="0.3">
      <c r="A2295" t="s">
        <v>1283</v>
      </c>
      <c r="B2295" t="s">
        <v>1282</v>
      </c>
      <c r="C2295" s="1">
        <v>46125</v>
      </c>
      <c r="D2295" t="s">
        <v>41</v>
      </c>
      <c r="E2295" t="s">
        <v>50</v>
      </c>
      <c r="F2295" t="s">
        <v>22</v>
      </c>
      <c r="G2295" t="s">
        <v>35</v>
      </c>
      <c r="H2295" t="s">
        <v>36</v>
      </c>
      <c r="I2295" t="s">
        <v>37</v>
      </c>
      <c r="J2295">
        <v>799</v>
      </c>
      <c r="K2295">
        <v>1</v>
      </c>
      <c r="L2295">
        <v>819.4</v>
      </c>
      <c r="M2295">
        <v>81.94</v>
      </c>
      <c r="N2295">
        <v>819.4</v>
      </c>
      <c r="O2295">
        <v>737.46</v>
      </c>
      <c r="P2295" t="s">
        <v>2111</v>
      </c>
      <c r="Q2295" t="s">
        <v>1170</v>
      </c>
    </row>
    <row r="2296" spans="1:17" x14ac:dyDescent="0.3">
      <c r="A2296" t="s">
        <v>2443</v>
      </c>
      <c r="B2296" t="s">
        <v>607</v>
      </c>
      <c r="C2296" s="1">
        <v>46098</v>
      </c>
      <c r="D2296" t="s">
        <v>63</v>
      </c>
      <c r="E2296" t="s">
        <v>17</v>
      </c>
      <c r="F2296" t="s">
        <v>47</v>
      </c>
      <c r="G2296" t="s">
        <v>112</v>
      </c>
      <c r="H2296" t="s">
        <v>113</v>
      </c>
      <c r="I2296" t="s">
        <v>37</v>
      </c>
      <c r="J2296">
        <v>1499</v>
      </c>
      <c r="K2296">
        <v>1</v>
      </c>
      <c r="L2296">
        <v>1629.49</v>
      </c>
      <c r="M2296">
        <v>162.94999999999999</v>
      </c>
      <c r="N2296">
        <v>1629.49</v>
      </c>
      <c r="O2296">
        <v>1466.54</v>
      </c>
      <c r="P2296" t="s">
        <v>2111</v>
      </c>
      <c r="Q2296" t="s">
        <v>789</v>
      </c>
    </row>
    <row r="2297" spans="1:17" x14ac:dyDescent="0.3">
      <c r="A2297" t="s">
        <v>1129</v>
      </c>
      <c r="B2297" t="s">
        <v>1128</v>
      </c>
      <c r="C2297" s="1">
        <v>46109</v>
      </c>
      <c r="D2297" t="s">
        <v>63</v>
      </c>
      <c r="E2297" t="s">
        <v>50</v>
      </c>
      <c r="F2297" t="s">
        <v>74</v>
      </c>
      <c r="G2297" t="s">
        <v>80</v>
      </c>
      <c r="H2297" t="s">
        <v>81</v>
      </c>
      <c r="I2297" t="s">
        <v>82</v>
      </c>
      <c r="J2297">
        <v>4299</v>
      </c>
      <c r="K2297">
        <v>1</v>
      </c>
      <c r="L2297">
        <v>4126.24</v>
      </c>
      <c r="M2297">
        <v>206.31</v>
      </c>
      <c r="N2297">
        <v>4126.24</v>
      </c>
      <c r="O2297">
        <v>3919.93</v>
      </c>
      <c r="P2297" t="s">
        <v>2111</v>
      </c>
      <c r="Q2297" t="s">
        <v>789</v>
      </c>
    </row>
    <row r="2298" spans="1:17" x14ac:dyDescent="0.3">
      <c r="A2298" t="s">
        <v>1755</v>
      </c>
      <c r="B2298" t="s">
        <v>995</v>
      </c>
      <c r="C2298" s="1">
        <v>46168</v>
      </c>
      <c r="D2298" t="s">
        <v>16</v>
      </c>
      <c r="E2298" t="s">
        <v>50</v>
      </c>
      <c r="F2298" t="s">
        <v>47</v>
      </c>
      <c r="G2298" t="s">
        <v>191</v>
      </c>
      <c r="H2298" t="s">
        <v>192</v>
      </c>
      <c r="I2298" t="s">
        <v>45</v>
      </c>
      <c r="J2298">
        <v>699</v>
      </c>
      <c r="K2298">
        <v>2</v>
      </c>
      <c r="L2298">
        <v>679.31</v>
      </c>
      <c r="M2298">
        <v>135.86000000000001</v>
      </c>
      <c r="N2298">
        <v>1358.62</v>
      </c>
      <c r="O2298">
        <v>1222.76</v>
      </c>
      <c r="P2298" t="s">
        <v>2111</v>
      </c>
      <c r="Q2298" t="s">
        <v>1479</v>
      </c>
    </row>
    <row r="2299" spans="1:17" x14ac:dyDescent="0.3">
      <c r="A2299" t="s">
        <v>839</v>
      </c>
      <c r="B2299" t="s">
        <v>269</v>
      </c>
      <c r="C2299" s="1">
        <v>46085</v>
      </c>
      <c r="D2299" t="s">
        <v>16</v>
      </c>
      <c r="E2299" t="s">
        <v>17</v>
      </c>
      <c r="F2299" t="s">
        <v>60</v>
      </c>
      <c r="G2299" t="s">
        <v>91</v>
      </c>
      <c r="H2299" t="s">
        <v>92</v>
      </c>
      <c r="I2299" t="s">
        <v>37</v>
      </c>
      <c r="J2299">
        <v>1899</v>
      </c>
      <c r="K2299">
        <v>1</v>
      </c>
      <c r="L2299">
        <v>1981.68</v>
      </c>
      <c r="M2299">
        <v>198.17</v>
      </c>
      <c r="N2299">
        <v>1981.68</v>
      </c>
      <c r="O2299">
        <v>1783.51</v>
      </c>
      <c r="P2299" t="s">
        <v>2111</v>
      </c>
      <c r="Q2299" t="s">
        <v>789</v>
      </c>
    </row>
    <row r="2300" spans="1:17" x14ac:dyDescent="0.3">
      <c r="A2300" t="s">
        <v>2061</v>
      </c>
      <c r="B2300" t="s">
        <v>2060</v>
      </c>
      <c r="C2300" s="1">
        <v>46199</v>
      </c>
      <c r="D2300" t="s">
        <v>41</v>
      </c>
      <c r="E2300" t="s">
        <v>17</v>
      </c>
      <c r="F2300" t="s">
        <v>31</v>
      </c>
      <c r="G2300" t="s">
        <v>18</v>
      </c>
      <c r="H2300" t="s">
        <v>19</v>
      </c>
      <c r="I2300" t="s">
        <v>20</v>
      </c>
      <c r="J2300">
        <v>2799</v>
      </c>
      <c r="K2300">
        <v>2</v>
      </c>
      <c r="L2300">
        <v>2861.31</v>
      </c>
      <c r="M2300">
        <v>572.26</v>
      </c>
      <c r="N2300">
        <v>5722.62</v>
      </c>
      <c r="O2300">
        <v>5150.3599999999997</v>
      </c>
      <c r="P2300" t="s">
        <v>2111</v>
      </c>
      <c r="Q2300" t="s">
        <v>1809</v>
      </c>
    </row>
    <row r="2301" spans="1:17" x14ac:dyDescent="0.3">
      <c r="A2301" t="s">
        <v>2383</v>
      </c>
      <c r="B2301" t="s">
        <v>2384</v>
      </c>
      <c r="C2301" s="1">
        <v>46148</v>
      </c>
      <c r="D2301" t="s">
        <v>63</v>
      </c>
      <c r="E2301" t="s">
        <v>17</v>
      </c>
      <c r="F2301" t="s">
        <v>74</v>
      </c>
      <c r="G2301" t="s">
        <v>101</v>
      </c>
      <c r="H2301" t="s">
        <v>102</v>
      </c>
      <c r="I2301" t="s">
        <v>45</v>
      </c>
      <c r="J2301">
        <v>4999</v>
      </c>
      <c r="K2301">
        <v>1</v>
      </c>
      <c r="L2301">
        <v>4677.6000000000004</v>
      </c>
      <c r="M2301">
        <v>1169.4000000000001</v>
      </c>
      <c r="N2301">
        <v>4677.6000000000004</v>
      </c>
      <c r="O2301">
        <v>3508.2</v>
      </c>
      <c r="P2301" t="s">
        <v>2111</v>
      </c>
      <c r="Q2301" t="s">
        <v>1479</v>
      </c>
    </row>
    <row r="2302" spans="1:17" x14ac:dyDescent="0.3">
      <c r="A2302" t="s">
        <v>2798</v>
      </c>
      <c r="B2302" t="s">
        <v>2799</v>
      </c>
      <c r="C2302" s="1">
        <v>46045</v>
      </c>
      <c r="D2302" t="s">
        <v>34</v>
      </c>
      <c r="E2302" t="s">
        <v>50</v>
      </c>
      <c r="F2302" t="s">
        <v>74</v>
      </c>
      <c r="G2302" t="s">
        <v>106</v>
      </c>
      <c r="H2302" t="s">
        <v>107</v>
      </c>
      <c r="I2302" t="s">
        <v>108</v>
      </c>
      <c r="J2302">
        <v>599</v>
      </c>
      <c r="K2302">
        <v>1</v>
      </c>
      <c r="L2302">
        <v>584.16</v>
      </c>
      <c r="M2302">
        <v>0</v>
      </c>
      <c r="N2302">
        <v>584.16</v>
      </c>
      <c r="O2302">
        <v>584.16</v>
      </c>
      <c r="P2302" t="s">
        <v>2111</v>
      </c>
      <c r="Q2302" t="s">
        <v>23</v>
      </c>
    </row>
    <row r="2303" spans="1:17" x14ac:dyDescent="0.3">
      <c r="A2303" t="s">
        <v>341</v>
      </c>
      <c r="B2303" t="s">
        <v>340</v>
      </c>
      <c r="C2303" s="1">
        <v>46040</v>
      </c>
      <c r="D2303" t="s">
        <v>41</v>
      </c>
      <c r="E2303" t="s">
        <v>17</v>
      </c>
      <c r="F2303" t="s">
        <v>22</v>
      </c>
      <c r="G2303" t="s">
        <v>160</v>
      </c>
      <c r="H2303" t="s">
        <v>161</v>
      </c>
      <c r="I2303" t="s">
        <v>82</v>
      </c>
      <c r="J2303">
        <v>799</v>
      </c>
      <c r="K2303">
        <v>1</v>
      </c>
      <c r="L2303">
        <v>793.86</v>
      </c>
      <c r="M2303">
        <v>158.77000000000001</v>
      </c>
      <c r="N2303">
        <v>793.86</v>
      </c>
      <c r="O2303">
        <v>635.09</v>
      </c>
      <c r="P2303" t="s">
        <v>2111</v>
      </c>
      <c r="Q2303" t="s">
        <v>23</v>
      </c>
    </row>
    <row r="2304" spans="1:17" x14ac:dyDescent="0.3">
      <c r="A2304" t="s">
        <v>2771</v>
      </c>
      <c r="B2304" t="s">
        <v>2772</v>
      </c>
      <c r="C2304" s="1">
        <v>46084</v>
      </c>
      <c r="D2304" t="s">
        <v>41</v>
      </c>
      <c r="E2304" t="s">
        <v>17</v>
      </c>
      <c r="F2304" t="s">
        <v>31</v>
      </c>
      <c r="G2304" t="s">
        <v>80</v>
      </c>
      <c r="H2304" t="s">
        <v>81</v>
      </c>
      <c r="I2304" t="s">
        <v>82</v>
      </c>
      <c r="J2304">
        <v>4299</v>
      </c>
      <c r="K2304">
        <v>1</v>
      </c>
      <c r="L2304">
        <v>4229.6899999999996</v>
      </c>
      <c r="M2304">
        <v>422.97</v>
      </c>
      <c r="N2304">
        <v>4229.6899999999996</v>
      </c>
      <c r="O2304">
        <v>3806.72</v>
      </c>
      <c r="P2304" t="s">
        <v>2111</v>
      </c>
      <c r="Q2304" t="s">
        <v>789</v>
      </c>
    </row>
    <row r="2305" spans="1:17" x14ac:dyDescent="0.3">
      <c r="A2305" t="s">
        <v>1141</v>
      </c>
      <c r="B2305" t="s">
        <v>1140</v>
      </c>
      <c r="C2305" s="1">
        <v>46109</v>
      </c>
      <c r="D2305" t="s">
        <v>63</v>
      </c>
      <c r="E2305" t="s">
        <v>17</v>
      </c>
      <c r="F2305" t="s">
        <v>22</v>
      </c>
      <c r="G2305" t="s">
        <v>355</v>
      </c>
      <c r="H2305" t="s">
        <v>356</v>
      </c>
      <c r="I2305" t="s">
        <v>82</v>
      </c>
      <c r="J2305">
        <v>499</v>
      </c>
      <c r="K2305">
        <v>1</v>
      </c>
      <c r="L2305">
        <v>466.89</v>
      </c>
      <c r="M2305">
        <v>46.69</v>
      </c>
      <c r="N2305">
        <v>466.89</v>
      </c>
      <c r="O2305">
        <v>420.2</v>
      </c>
      <c r="P2305" t="s">
        <v>2111</v>
      </c>
      <c r="Q2305" t="s">
        <v>789</v>
      </c>
    </row>
    <row r="2306" spans="1:17" x14ac:dyDescent="0.3">
      <c r="A2306" t="s">
        <v>2716</v>
      </c>
      <c r="B2306" t="s">
        <v>2717</v>
      </c>
      <c r="C2306" s="1">
        <v>46064</v>
      </c>
      <c r="D2306" t="s">
        <v>16</v>
      </c>
      <c r="E2306" t="s">
        <v>17</v>
      </c>
      <c r="F2306" t="s">
        <v>31</v>
      </c>
      <c r="G2306" t="s">
        <v>160</v>
      </c>
      <c r="H2306" t="s">
        <v>161</v>
      </c>
      <c r="I2306" t="s">
        <v>82</v>
      </c>
      <c r="J2306">
        <v>799</v>
      </c>
      <c r="K2306">
        <v>2</v>
      </c>
      <c r="L2306">
        <v>866.82</v>
      </c>
      <c r="M2306">
        <v>346.73</v>
      </c>
      <c r="N2306">
        <v>1733.64</v>
      </c>
      <c r="O2306">
        <v>1386.91</v>
      </c>
      <c r="P2306" t="s">
        <v>2111</v>
      </c>
      <c r="Q2306" t="s">
        <v>498</v>
      </c>
    </row>
    <row r="2307" spans="1:17" x14ac:dyDescent="0.3">
      <c r="A2307" t="s">
        <v>2524</v>
      </c>
      <c r="B2307" t="s">
        <v>2525</v>
      </c>
      <c r="C2307" s="1">
        <v>46064</v>
      </c>
      <c r="D2307" t="s">
        <v>41</v>
      </c>
      <c r="E2307" t="s">
        <v>17</v>
      </c>
      <c r="F2307" t="s">
        <v>31</v>
      </c>
      <c r="G2307" t="s">
        <v>160</v>
      </c>
      <c r="H2307" t="s">
        <v>161</v>
      </c>
      <c r="I2307" t="s">
        <v>82</v>
      </c>
      <c r="J2307">
        <v>799</v>
      </c>
      <c r="K2307">
        <v>3</v>
      </c>
      <c r="L2307">
        <v>840.92</v>
      </c>
      <c r="M2307">
        <v>126.14</v>
      </c>
      <c r="N2307">
        <v>2522.7600000000002</v>
      </c>
      <c r="O2307">
        <v>2396.62</v>
      </c>
      <c r="P2307" t="s">
        <v>2111</v>
      </c>
      <c r="Q2307" t="s">
        <v>498</v>
      </c>
    </row>
    <row r="2308" spans="1:17" x14ac:dyDescent="0.3">
      <c r="A2308" t="s">
        <v>2941</v>
      </c>
      <c r="B2308" t="s">
        <v>2942</v>
      </c>
      <c r="C2308" s="1">
        <v>46180</v>
      </c>
      <c r="D2308" t="s">
        <v>34</v>
      </c>
      <c r="E2308" t="s">
        <v>50</v>
      </c>
      <c r="F2308" t="s">
        <v>31</v>
      </c>
      <c r="G2308" t="s">
        <v>96</v>
      </c>
      <c r="H2308" t="s">
        <v>97</v>
      </c>
      <c r="I2308" t="s">
        <v>58</v>
      </c>
      <c r="J2308">
        <v>7499</v>
      </c>
      <c r="K2308">
        <v>1</v>
      </c>
      <c r="L2308">
        <v>7471.04</v>
      </c>
      <c r="M2308">
        <v>747.1</v>
      </c>
      <c r="N2308">
        <v>7471.04</v>
      </c>
      <c r="O2308">
        <v>6723.94</v>
      </c>
      <c r="P2308" t="s">
        <v>2114</v>
      </c>
      <c r="Q2308" t="s">
        <v>1809</v>
      </c>
    </row>
    <row r="2309" spans="1:17" x14ac:dyDescent="0.3">
      <c r="A2309" t="s">
        <v>1820</v>
      </c>
      <c r="B2309" t="s">
        <v>1819</v>
      </c>
      <c r="C2309" s="1">
        <v>46174</v>
      </c>
      <c r="D2309" t="s">
        <v>26</v>
      </c>
      <c r="E2309" t="s">
        <v>50</v>
      </c>
      <c r="F2309" t="s">
        <v>74</v>
      </c>
      <c r="G2309" t="s">
        <v>250</v>
      </c>
      <c r="H2309" t="s">
        <v>251</v>
      </c>
      <c r="I2309" t="s">
        <v>108</v>
      </c>
      <c r="J2309">
        <v>899</v>
      </c>
      <c r="K2309">
        <v>1</v>
      </c>
      <c r="L2309">
        <v>931.37</v>
      </c>
      <c r="M2309">
        <v>93.14</v>
      </c>
      <c r="N2309">
        <v>931.37</v>
      </c>
      <c r="O2309">
        <v>838.23</v>
      </c>
      <c r="P2309" t="s">
        <v>2111</v>
      </c>
      <c r="Q2309" t="s">
        <v>1809</v>
      </c>
    </row>
    <row r="2310" spans="1:17" x14ac:dyDescent="0.3">
      <c r="A2310" t="s">
        <v>1118</v>
      </c>
      <c r="B2310" t="s">
        <v>1117</v>
      </c>
      <c r="C2310" s="1">
        <v>46108</v>
      </c>
      <c r="D2310" t="s">
        <v>26</v>
      </c>
      <c r="E2310" t="s">
        <v>17</v>
      </c>
      <c r="F2310" t="s">
        <v>22</v>
      </c>
      <c r="G2310" t="s">
        <v>91</v>
      </c>
      <c r="H2310" t="s">
        <v>92</v>
      </c>
      <c r="I2310" t="s">
        <v>37</v>
      </c>
      <c r="J2310">
        <v>1899</v>
      </c>
      <c r="K2310">
        <v>1</v>
      </c>
      <c r="L2310">
        <v>2049.89</v>
      </c>
      <c r="M2310">
        <v>102.49</v>
      </c>
      <c r="N2310">
        <v>2049.89</v>
      </c>
      <c r="O2310">
        <v>1947.4</v>
      </c>
      <c r="P2310" t="s">
        <v>2111</v>
      </c>
      <c r="Q2310" t="s">
        <v>789</v>
      </c>
    </row>
    <row r="2311" spans="1:17" x14ac:dyDescent="0.3">
      <c r="A2311" t="s">
        <v>1740</v>
      </c>
      <c r="B2311" t="s">
        <v>479</v>
      </c>
      <c r="C2311" s="1">
        <v>46166</v>
      </c>
      <c r="D2311" t="s">
        <v>34</v>
      </c>
      <c r="E2311" t="s">
        <v>17</v>
      </c>
      <c r="F2311" t="s">
        <v>22</v>
      </c>
      <c r="G2311" t="s">
        <v>160</v>
      </c>
      <c r="H2311" t="s">
        <v>161</v>
      </c>
      <c r="I2311" t="s">
        <v>82</v>
      </c>
      <c r="J2311">
        <v>799</v>
      </c>
      <c r="K2311">
        <v>3</v>
      </c>
      <c r="L2311">
        <v>740.86</v>
      </c>
      <c r="M2311">
        <v>444.52</v>
      </c>
      <c r="N2311">
        <v>2222.58</v>
      </c>
      <c r="O2311">
        <v>1778.06</v>
      </c>
      <c r="P2311" t="s">
        <v>2111</v>
      </c>
      <c r="Q2311" t="s">
        <v>1479</v>
      </c>
    </row>
    <row r="2312" spans="1:17" x14ac:dyDescent="0.3">
      <c r="A2312" t="s">
        <v>2548</v>
      </c>
      <c r="B2312" t="s">
        <v>1068</v>
      </c>
      <c r="C2312" s="1">
        <v>46133</v>
      </c>
      <c r="D2312" t="s">
        <v>26</v>
      </c>
      <c r="E2312" t="s">
        <v>17</v>
      </c>
      <c r="F2312" t="s">
        <v>22</v>
      </c>
      <c r="G2312" t="s">
        <v>91</v>
      </c>
      <c r="H2312" t="s">
        <v>92</v>
      </c>
      <c r="I2312" t="s">
        <v>37</v>
      </c>
      <c r="J2312">
        <v>1899</v>
      </c>
      <c r="K2312">
        <v>1</v>
      </c>
      <c r="L2312">
        <v>1804.19</v>
      </c>
      <c r="M2312">
        <v>270.63</v>
      </c>
      <c r="N2312">
        <v>1804.19</v>
      </c>
      <c r="O2312">
        <v>1533.56</v>
      </c>
      <c r="P2312" t="s">
        <v>2111</v>
      </c>
      <c r="Q2312" t="s">
        <v>1170</v>
      </c>
    </row>
    <row r="2313" spans="1:17" x14ac:dyDescent="0.3">
      <c r="A2313" t="s">
        <v>2718</v>
      </c>
      <c r="B2313" t="s">
        <v>2719</v>
      </c>
      <c r="C2313" s="1">
        <v>46034</v>
      </c>
      <c r="D2313" t="s">
        <v>34</v>
      </c>
      <c r="E2313" t="s">
        <v>17</v>
      </c>
      <c r="F2313" t="s">
        <v>22</v>
      </c>
      <c r="G2313" t="s">
        <v>112</v>
      </c>
      <c r="H2313" t="s">
        <v>113</v>
      </c>
      <c r="I2313" t="s">
        <v>37</v>
      </c>
      <c r="J2313">
        <v>1499</v>
      </c>
      <c r="K2313">
        <v>3</v>
      </c>
      <c r="L2313">
        <v>1511.8</v>
      </c>
      <c r="M2313">
        <v>0</v>
      </c>
      <c r="N2313">
        <v>4535.3999999999996</v>
      </c>
      <c r="O2313">
        <v>4535.3999999999996</v>
      </c>
      <c r="P2313" t="s">
        <v>2111</v>
      </c>
      <c r="Q2313" t="s">
        <v>23</v>
      </c>
    </row>
    <row r="2314" spans="1:17" x14ac:dyDescent="0.3">
      <c r="A2314" t="s">
        <v>1838</v>
      </c>
      <c r="B2314" t="s">
        <v>1604</v>
      </c>
      <c r="C2314" s="1">
        <v>46176</v>
      </c>
      <c r="D2314" t="s">
        <v>16</v>
      </c>
      <c r="E2314" t="s">
        <v>42</v>
      </c>
      <c r="F2314" t="s">
        <v>60</v>
      </c>
      <c r="G2314" t="s">
        <v>56</v>
      </c>
      <c r="H2314" t="s">
        <v>57</v>
      </c>
      <c r="I2314" t="s">
        <v>58</v>
      </c>
      <c r="J2314">
        <v>8999</v>
      </c>
      <c r="K2314">
        <v>1</v>
      </c>
      <c r="L2314">
        <v>9537.16</v>
      </c>
      <c r="M2314">
        <v>0</v>
      </c>
      <c r="N2314">
        <v>9537.16</v>
      </c>
      <c r="O2314">
        <v>9537.16</v>
      </c>
      <c r="P2314" t="s">
        <v>2111</v>
      </c>
      <c r="Q2314" t="s">
        <v>1809</v>
      </c>
    </row>
    <row r="2315" spans="1:17" x14ac:dyDescent="0.3">
      <c r="A2315" t="s">
        <v>2943</v>
      </c>
      <c r="B2315" t="s">
        <v>1634</v>
      </c>
      <c r="C2315" s="1">
        <v>46083</v>
      </c>
      <c r="D2315" t="s">
        <v>41</v>
      </c>
      <c r="E2315" t="s">
        <v>50</v>
      </c>
      <c r="F2315" t="s">
        <v>22</v>
      </c>
      <c r="G2315" t="s">
        <v>80</v>
      </c>
      <c r="H2315" t="s">
        <v>81</v>
      </c>
      <c r="I2315" t="s">
        <v>82</v>
      </c>
      <c r="J2315">
        <v>4299</v>
      </c>
      <c r="K2315">
        <v>1</v>
      </c>
      <c r="L2315">
        <v>3900.27</v>
      </c>
      <c r="M2315">
        <v>390.03</v>
      </c>
      <c r="N2315">
        <v>3900.27</v>
      </c>
      <c r="O2315">
        <v>3510.24</v>
      </c>
      <c r="P2315" t="s">
        <v>2111</v>
      </c>
      <c r="Q2315" t="s">
        <v>789</v>
      </c>
    </row>
    <row r="2316" spans="1:17" x14ac:dyDescent="0.3">
      <c r="A2316" t="s">
        <v>2785</v>
      </c>
      <c r="B2316" t="s">
        <v>2135</v>
      </c>
      <c r="C2316" s="1">
        <v>46197</v>
      </c>
      <c r="D2316" t="s">
        <v>41</v>
      </c>
      <c r="E2316" t="s">
        <v>50</v>
      </c>
      <c r="F2316" t="s">
        <v>31</v>
      </c>
      <c r="G2316" t="s">
        <v>43</v>
      </c>
      <c r="H2316" t="s">
        <v>44</v>
      </c>
      <c r="I2316" t="s">
        <v>45</v>
      </c>
      <c r="J2316">
        <v>3299</v>
      </c>
      <c r="K2316">
        <v>3</v>
      </c>
      <c r="L2316">
        <v>3618.36</v>
      </c>
      <c r="M2316">
        <v>0</v>
      </c>
      <c r="N2316">
        <v>10855.08</v>
      </c>
      <c r="O2316">
        <v>10855.08</v>
      </c>
      <c r="P2316" t="s">
        <v>2114</v>
      </c>
      <c r="Q2316" t="s">
        <v>1809</v>
      </c>
    </row>
    <row r="2317" spans="1:17" x14ac:dyDescent="0.3">
      <c r="A2317" t="s">
        <v>1582</v>
      </c>
      <c r="B2317" t="s">
        <v>1581</v>
      </c>
      <c r="C2317" s="1">
        <v>46151</v>
      </c>
      <c r="D2317" t="s">
        <v>16</v>
      </c>
      <c r="E2317" t="s">
        <v>17</v>
      </c>
      <c r="F2317" t="s">
        <v>47</v>
      </c>
      <c r="G2317" t="s">
        <v>191</v>
      </c>
      <c r="H2317" t="s">
        <v>192</v>
      </c>
      <c r="I2317" t="s">
        <v>45</v>
      </c>
      <c r="J2317">
        <v>699</v>
      </c>
      <c r="K2317">
        <v>1</v>
      </c>
      <c r="L2317">
        <v>692.7</v>
      </c>
      <c r="M2317">
        <v>69.27</v>
      </c>
      <c r="N2317">
        <v>692.7</v>
      </c>
      <c r="O2317">
        <v>623.42999999999995</v>
      </c>
      <c r="P2317" t="s">
        <v>2111</v>
      </c>
      <c r="Q2317" t="s">
        <v>1479</v>
      </c>
    </row>
    <row r="2318" spans="1:17" x14ac:dyDescent="0.3">
      <c r="A2318" t="s">
        <v>459</v>
      </c>
      <c r="B2318" t="s">
        <v>314</v>
      </c>
      <c r="C2318" s="1">
        <v>46049</v>
      </c>
      <c r="D2318" t="s">
        <v>26</v>
      </c>
      <c r="E2318" t="s">
        <v>17</v>
      </c>
      <c r="F2318" t="s">
        <v>47</v>
      </c>
      <c r="G2318" t="s">
        <v>96</v>
      </c>
      <c r="H2318" t="s">
        <v>97</v>
      </c>
      <c r="I2318" t="s">
        <v>58</v>
      </c>
      <c r="J2318">
        <v>7499</v>
      </c>
      <c r="K2318">
        <v>1</v>
      </c>
      <c r="L2318">
        <v>7287.87</v>
      </c>
      <c r="M2318">
        <v>0</v>
      </c>
      <c r="N2318">
        <v>7287.87</v>
      </c>
      <c r="O2318">
        <v>7287.87</v>
      </c>
      <c r="P2318" t="s">
        <v>2114</v>
      </c>
      <c r="Q2318" t="s">
        <v>23</v>
      </c>
    </row>
    <row r="2319" spans="1:17" x14ac:dyDescent="0.3">
      <c r="A2319" t="s">
        <v>2510</v>
      </c>
      <c r="B2319" t="s">
        <v>2511</v>
      </c>
      <c r="C2319" s="1">
        <v>46192</v>
      </c>
      <c r="D2319" t="s">
        <v>63</v>
      </c>
      <c r="E2319" t="s">
        <v>50</v>
      </c>
      <c r="F2319" t="s">
        <v>31</v>
      </c>
      <c r="G2319" t="s">
        <v>160</v>
      </c>
      <c r="H2319" t="s">
        <v>161</v>
      </c>
      <c r="I2319" t="s">
        <v>82</v>
      </c>
      <c r="J2319">
        <v>799</v>
      </c>
      <c r="K2319">
        <v>1</v>
      </c>
      <c r="L2319">
        <v>765.88</v>
      </c>
      <c r="M2319">
        <v>76.59</v>
      </c>
      <c r="N2319">
        <v>765.88</v>
      </c>
      <c r="O2319">
        <v>689.29</v>
      </c>
      <c r="P2319" t="s">
        <v>2111</v>
      </c>
      <c r="Q2319" t="s">
        <v>1809</v>
      </c>
    </row>
    <row r="2320" spans="1:17" x14ac:dyDescent="0.3">
      <c r="A2320" t="s">
        <v>1294</v>
      </c>
      <c r="B2320" t="s">
        <v>1293</v>
      </c>
      <c r="C2320" s="1">
        <v>46127</v>
      </c>
      <c r="D2320" t="s">
        <v>63</v>
      </c>
      <c r="E2320" t="s">
        <v>17</v>
      </c>
      <c r="F2320" t="s">
        <v>60</v>
      </c>
      <c r="G2320" t="s">
        <v>149</v>
      </c>
      <c r="H2320" t="s">
        <v>150</v>
      </c>
      <c r="I2320" t="s">
        <v>37</v>
      </c>
      <c r="J2320">
        <v>2999</v>
      </c>
      <c r="K2320">
        <v>1</v>
      </c>
      <c r="L2320">
        <v>2803.68</v>
      </c>
      <c r="M2320">
        <v>0</v>
      </c>
      <c r="N2320">
        <v>2803.68</v>
      </c>
      <c r="O2320">
        <v>2803.68</v>
      </c>
      <c r="P2320" t="s">
        <v>2111</v>
      </c>
      <c r="Q2320" t="s">
        <v>1170</v>
      </c>
    </row>
    <row r="2321" spans="1:17" x14ac:dyDescent="0.3">
      <c r="A2321" t="s">
        <v>1441</v>
      </c>
      <c r="B2321" t="s">
        <v>1440</v>
      </c>
      <c r="C2321" s="1">
        <v>46139</v>
      </c>
      <c r="D2321" t="s">
        <v>41</v>
      </c>
      <c r="E2321" t="s">
        <v>17</v>
      </c>
      <c r="F2321" t="s">
        <v>60</v>
      </c>
      <c r="G2321" t="s">
        <v>149</v>
      </c>
      <c r="H2321" t="s">
        <v>150</v>
      </c>
      <c r="I2321" t="s">
        <v>37</v>
      </c>
      <c r="J2321">
        <v>2999</v>
      </c>
      <c r="K2321">
        <v>1</v>
      </c>
      <c r="L2321">
        <v>3173.89</v>
      </c>
      <c r="M2321">
        <v>158.69</v>
      </c>
      <c r="N2321">
        <v>3173.89</v>
      </c>
      <c r="O2321">
        <v>3015.2</v>
      </c>
      <c r="P2321" t="s">
        <v>2111</v>
      </c>
      <c r="Q2321" t="s">
        <v>1170</v>
      </c>
    </row>
    <row r="2322" spans="1:17" x14ac:dyDescent="0.3">
      <c r="A2322" t="s">
        <v>2462</v>
      </c>
      <c r="B2322" t="s">
        <v>1559</v>
      </c>
      <c r="C2322" s="1">
        <v>46151</v>
      </c>
      <c r="D2322" t="s">
        <v>41</v>
      </c>
      <c r="E2322" t="s">
        <v>50</v>
      </c>
      <c r="F2322" t="s">
        <v>22</v>
      </c>
      <c r="G2322" t="s">
        <v>165</v>
      </c>
      <c r="H2322" t="s">
        <v>166</v>
      </c>
      <c r="I2322" t="s">
        <v>29</v>
      </c>
      <c r="J2322">
        <v>449</v>
      </c>
      <c r="K2322">
        <v>2</v>
      </c>
      <c r="L2322">
        <v>489.9</v>
      </c>
      <c r="M2322">
        <v>146.97</v>
      </c>
      <c r="N2322">
        <v>979.8</v>
      </c>
      <c r="O2322">
        <v>832.83</v>
      </c>
      <c r="P2322" t="s">
        <v>2111</v>
      </c>
      <c r="Q2322" t="s">
        <v>1479</v>
      </c>
    </row>
    <row r="2323" spans="1:17" x14ac:dyDescent="0.3">
      <c r="A2323" t="s">
        <v>2773</v>
      </c>
      <c r="B2323" t="s">
        <v>779</v>
      </c>
      <c r="C2323" s="1">
        <v>46200</v>
      </c>
      <c r="D2323" t="s">
        <v>34</v>
      </c>
      <c r="E2323" t="s">
        <v>17</v>
      </c>
      <c r="F2323" t="s">
        <v>60</v>
      </c>
      <c r="G2323" t="s">
        <v>80</v>
      </c>
      <c r="H2323" t="s">
        <v>81</v>
      </c>
      <c r="I2323" t="s">
        <v>82</v>
      </c>
      <c r="J2323">
        <v>4299</v>
      </c>
      <c r="K2323">
        <v>2</v>
      </c>
      <c r="L2323">
        <v>4224.75</v>
      </c>
      <c r="M2323">
        <v>844.95</v>
      </c>
      <c r="N2323">
        <v>8449.5</v>
      </c>
      <c r="O2323">
        <v>7604.55</v>
      </c>
      <c r="P2323" t="s">
        <v>2111</v>
      </c>
      <c r="Q2323" t="s">
        <v>1809</v>
      </c>
    </row>
    <row r="2324" spans="1:17" x14ac:dyDescent="0.3">
      <c r="A2324" t="s">
        <v>828</v>
      </c>
      <c r="B2324" t="s">
        <v>827</v>
      </c>
      <c r="C2324" s="1">
        <v>46084</v>
      </c>
      <c r="D2324" t="s">
        <v>16</v>
      </c>
      <c r="E2324" t="s">
        <v>50</v>
      </c>
      <c r="F2324" t="s">
        <v>31</v>
      </c>
      <c r="G2324" t="s">
        <v>18</v>
      </c>
      <c r="H2324" t="s">
        <v>19</v>
      </c>
      <c r="I2324" t="s">
        <v>20</v>
      </c>
      <c r="J2324">
        <v>2799</v>
      </c>
      <c r="K2324">
        <v>1</v>
      </c>
      <c r="L2324">
        <v>3052.27</v>
      </c>
      <c r="M2324">
        <v>763.07</v>
      </c>
      <c r="N2324">
        <v>3052.27</v>
      </c>
      <c r="O2324">
        <v>2289.1999999999998</v>
      </c>
      <c r="P2324" t="s">
        <v>2111</v>
      </c>
      <c r="Q2324" t="s">
        <v>789</v>
      </c>
    </row>
    <row r="2325" spans="1:17" x14ac:dyDescent="0.3">
      <c r="A2325" t="s">
        <v>1365</v>
      </c>
      <c r="B2325" t="s">
        <v>1042</v>
      </c>
      <c r="C2325" s="1">
        <v>46133</v>
      </c>
      <c r="D2325" t="s">
        <v>26</v>
      </c>
      <c r="E2325" t="s">
        <v>42</v>
      </c>
      <c r="F2325" t="s">
        <v>31</v>
      </c>
      <c r="G2325" t="s">
        <v>250</v>
      </c>
      <c r="H2325" t="s">
        <v>251</v>
      </c>
      <c r="I2325" t="s">
        <v>108</v>
      </c>
      <c r="J2325">
        <v>899</v>
      </c>
      <c r="K2325">
        <v>3</v>
      </c>
      <c r="L2325">
        <v>957.22</v>
      </c>
      <c r="M2325">
        <v>574.33000000000004</v>
      </c>
      <c r="N2325">
        <v>2871.66</v>
      </c>
      <c r="O2325">
        <v>2297.33</v>
      </c>
      <c r="P2325" t="s">
        <v>2111</v>
      </c>
      <c r="Q2325" t="s">
        <v>1170</v>
      </c>
    </row>
    <row r="2326" spans="1:17" x14ac:dyDescent="0.3">
      <c r="A2326" t="s">
        <v>909</v>
      </c>
      <c r="B2326" t="s">
        <v>908</v>
      </c>
      <c r="C2326" s="1">
        <v>46090</v>
      </c>
      <c r="D2326" t="s">
        <v>34</v>
      </c>
      <c r="E2326" t="s">
        <v>17</v>
      </c>
      <c r="F2326" t="s">
        <v>47</v>
      </c>
      <c r="G2326" t="s">
        <v>250</v>
      </c>
      <c r="H2326" t="s">
        <v>251</v>
      </c>
      <c r="I2326" t="s">
        <v>108</v>
      </c>
      <c r="J2326">
        <v>899</v>
      </c>
      <c r="K2326">
        <v>1</v>
      </c>
      <c r="L2326">
        <v>895.59</v>
      </c>
      <c r="M2326">
        <v>44.78</v>
      </c>
      <c r="N2326">
        <v>895.59</v>
      </c>
      <c r="O2326">
        <v>850.81</v>
      </c>
      <c r="P2326" t="s">
        <v>2111</v>
      </c>
      <c r="Q2326" t="s">
        <v>789</v>
      </c>
    </row>
    <row r="2327" spans="1:17" x14ac:dyDescent="0.3">
      <c r="A2327" t="s">
        <v>2687</v>
      </c>
      <c r="B2327" t="s">
        <v>2645</v>
      </c>
      <c r="C2327" s="1">
        <v>46147</v>
      </c>
      <c r="D2327" t="s">
        <v>16</v>
      </c>
      <c r="E2327" t="s">
        <v>50</v>
      </c>
      <c r="F2327" t="s">
        <v>47</v>
      </c>
      <c r="G2327" t="s">
        <v>35</v>
      </c>
      <c r="H2327" t="s">
        <v>36</v>
      </c>
      <c r="I2327" t="s">
        <v>37</v>
      </c>
      <c r="J2327">
        <v>799</v>
      </c>
      <c r="K2327">
        <v>1</v>
      </c>
      <c r="L2327">
        <v>826.81</v>
      </c>
      <c r="M2327">
        <v>0</v>
      </c>
      <c r="N2327">
        <v>826.81</v>
      </c>
      <c r="O2327">
        <v>826.81</v>
      </c>
      <c r="P2327" t="s">
        <v>2111</v>
      </c>
      <c r="Q2327" t="s">
        <v>1479</v>
      </c>
    </row>
    <row r="2328" spans="1:17" x14ac:dyDescent="0.3">
      <c r="A2328" t="s">
        <v>1719</v>
      </c>
      <c r="B2328" t="s">
        <v>1718</v>
      </c>
      <c r="C2328" s="1">
        <v>46164</v>
      </c>
      <c r="D2328" t="s">
        <v>34</v>
      </c>
      <c r="E2328" t="s">
        <v>17</v>
      </c>
      <c r="F2328" t="s">
        <v>74</v>
      </c>
      <c r="G2328" t="s">
        <v>43</v>
      </c>
      <c r="H2328" t="s">
        <v>44</v>
      </c>
      <c r="I2328" t="s">
        <v>45</v>
      </c>
      <c r="J2328">
        <v>3299</v>
      </c>
      <c r="K2328">
        <v>1</v>
      </c>
      <c r="L2328">
        <v>3256.1</v>
      </c>
      <c r="M2328">
        <v>651.22</v>
      </c>
      <c r="N2328">
        <v>3256.1</v>
      </c>
      <c r="O2328">
        <v>2604.88</v>
      </c>
      <c r="P2328" t="s">
        <v>2111</v>
      </c>
      <c r="Q2328" t="s">
        <v>1479</v>
      </c>
    </row>
    <row r="2329" spans="1:17" x14ac:dyDescent="0.3">
      <c r="A2329" t="s">
        <v>1363</v>
      </c>
      <c r="B2329" t="s">
        <v>343</v>
      </c>
      <c r="C2329" s="1">
        <v>46133</v>
      </c>
      <c r="D2329" t="s">
        <v>26</v>
      </c>
      <c r="E2329" t="s">
        <v>17</v>
      </c>
      <c r="F2329" t="s">
        <v>47</v>
      </c>
      <c r="G2329" t="s">
        <v>106</v>
      </c>
      <c r="H2329" t="s">
        <v>107</v>
      </c>
      <c r="I2329" t="s">
        <v>108</v>
      </c>
      <c r="J2329">
        <v>599</v>
      </c>
      <c r="K2329">
        <v>1</v>
      </c>
      <c r="L2329">
        <v>606.04</v>
      </c>
      <c r="M2329">
        <v>121.21</v>
      </c>
      <c r="N2329">
        <v>606.04</v>
      </c>
      <c r="O2329">
        <v>484.83</v>
      </c>
      <c r="P2329" t="s">
        <v>2114</v>
      </c>
      <c r="Q2329" t="s">
        <v>1170</v>
      </c>
    </row>
    <row r="2330" spans="1:17" x14ac:dyDescent="0.3">
      <c r="A2330" t="s">
        <v>2809</v>
      </c>
      <c r="B2330" t="s">
        <v>2810</v>
      </c>
      <c r="C2330" s="1">
        <v>46098</v>
      </c>
      <c r="D2330" t="s">
        <v>34</v>
      </c>
      <c r="E2330" t="s">
        <v>17</v>
      </c>
      <c r="F2330" t="s">
        <v>22</v>
      </c>
      <c r="G2330" t="s">
        <v>91</v>
      </c>
      <c r="H2330" t="s">
        <v>92</v>
      </c>
      <c r="I2330" t="s">
        <v>37</v>
      </c>
      <c r="J2330">
        <v>1899</v>
      </c>
      <c r="K2330">
        <v>1</v>
      </c>
      <c r="L2330">
        <v>1731.15</v>
      </c>
      <c r="M2330">
        <v>259.67</v>
      </c>
      <c r="N2330">
        <v>1731.15</v>
      </c>
      <c r="O2330">
        <v>1471.48</v>
      </c>
      <c r="P2330" t="s">
        <v>2111</v>
      </c>
      <c r="Q2330" t="s">
        <v>789</v>
      </c>
    </row>
    <row r="2331" spans="1:17" x14ac:dyDescent="0.3">
      <c r="A2331" t="s">
        <v>2853</v>
      </c>
      <c r="B2331" t="s">
        <v>379</v>
      </c>
      <c r="C2331" s="1">
        <v>46165</v>
      </c>
      <c r="D2331" t="s">
        <v>26</v>
      </c>
      <c r="E2331" t="s">
        <v>17</v>
      </c>
      <c r="F2331" t="s">
        <v>31</v>
      </c>
      <c r="G2331" t="s">
        <v>191</v>
      </c>
      <c r="H2331" t="s">
        <v>192</v>
      </c>
      <c r="I2331" t="s">
        <v>45</v>
      </c>
      <c r="J2331">
        <v>699</v>
      </c>
      <c r="K2331">
        <v>4</v>
      </c>
      <c r="L2331">
        <v>726.44</v>
      </c>
      <c r="M2331">
        <v>0</v>
      </c>
      <c r="N2331">
        <v>2905.76</v>
      </c>
      <c r="O2331">
        <v>2905.76</v>
      </c>
      <c r="P2331" t="s">
        <v>2111</v>
      </c>
      <c r="Q2331" t="s">
        <v>1479</v>
      </c>
    </row>
    <row r="2332" spans="1:17" x14ac:dyDescent="0.3">
      <c r="A2332" t="s">
        <v>2136</v>
      </c>
      <c r="B2332" t="s">
        <v>2137</v>
      </c>
      <c r="C2332" s="1">
        <v>46106</v>
      </c>
      <c r="D2332" t="s">
        <v>26</v>
      </c>
      <c r="E2332" t="s">
        <v>17</v>
      </c>
      <c r="F2332" t="s">
        <v>47</v>
      </c>
      <c r="G2332" t="s">
        <v>160</v>
      </c>
      <c r="H2332" t="s">
        <v>161</v>
      </c>
      <c r="I2332" t="s">
        <v>82</v>
      </c>
      <c r="J2332">
        <v>799</v>
      </c>
      <c r="K2332">
        <v>1</v>
      </c>
      <c r="L2332">
        <v>727.54</v>
      </c>
      <c r="M2332">
        <v>181.88</v>
      </c>
      <c r="N2332">
        <v>727.54</v>
      </c>
      <c r="O2332">
        <v>545.66</v>
      </c>
      <c r="P2332" t="s">
        <v>2111</v>
      </c>
      <c r="Q2332" t="s">
        <v>789</v>
      </c>
    </row>
    <row r="2333" spans="1:17" x14ac:dyDescent="0.3">
      <c r="A2333" t="s">
        <v>1391</v>
      </c>
      <c r="B2333" t="s">
        <v>1390</v>
      </c>
      <c r="C2333" s="1">
        <v>46135</v>
      </c>
      <c r="D2333" t="s">
        <v>16</v>
      </c>
      <c r="E2333" t="s">
        <v>17</v>
      </c>
      <c r="F2333" t="s">
        <v>31</v>
      </c>
      <c r="G2333" t="s">
        <v>160</v>
      </c>
      <c r="H2333" t="s">
        <v>161</v>
      </c>
      <c r="I2333" t="s">
        <v>82</v>
      </c>
      <c r="J2333">
        <v>799</v>
      </c>
      <c r="K2333">
        <v>1</v>
      </c>
      <c r="L2333">
        <v>849.67</v>
      </c>
      <c r="M2333">
        <v>42.48</v>
      </c>
      <c r="N2333">
        <v>849.67</v>
      </c>
      <c r="O2333">
        <v>807.19</v>
      </c>
      <c r="P2333" t="s">
        <v>2111</v>
      </c>
      <c r="Q2333" t="s">
        <v>1170</v>
      </c>
    </row>
    <row r="2334" spans="1:17" x14ac:dyDescent="0.3">
      <c r="A2334" t="s">
        <v>1535</v>
      </c>
      <c r="B2334" t="s">
        <v>1534</v>
      </c>
      <c r="C2334" s="1">
        <v>46147</v>
      </c>
      <c r="D2334" t="s">
        <v>16</v>
      </c>
      <c r="E2334" t="s">
        <v>42</v>
      </c>
      <c r="F2334" t="s">
        <v>60</v>
      </c>
      <c r="G2334" t="s">
        <v>165</v>
      </c>
      <c r="H2334" t="s">
        <v>166</v>
      </c>
      <c r="I2334" t="s">
        <v>29</v>
      </c>
      <c r="J2334">
        <v>449</v>
      </c>
      <c r="K2334">
        <v>1</v>
      </c>
      <c r="L2334">
        <v>478.18</v>
      </c>
      <c r="M2334">
        <v>71.73</v>
      </c>
      <c r="N2334">
        <v>478.18</v>
      </c>
      <c r="O2334">
        <v>406.45</v>
      </c>
      <c r="P2334" t="s">
        <v>2111</v>
      </c>
      <c r="Q2334" t="s">
        <v>1479</v>
      </c>
    </row>
    <row r="2335" spans="1:17" x14ac:dyDescent="0.3">
      <c r="A2335" t="s">
        <v>853</v>
      </c>
      <c r="B2335" t="s">
        <v>852</v>
      </c>
      <c r="C2335" s="1">
        <v>46086</v>
      </c>
      <c r="D2335" t="s">
        <v>16</v>
      </c>
      <c r="E2335" t="s">
        <v>17</v>
      </c>
      <c r="F2335" t="s">
        <v>31</v>
      </c>
      <c r="G2335" t="s">
        <v>56</v>
      </c>
      <c r="H2335" t="s">
        <v>57</v>
      </c>
      <c r="I2335" t="s">
        <v>58</v>
      </c>
      <c r="J2335">
        <v>8999</v>
      </c>
      <c r="K2335">
        <v>2</v>
      </c>
      <c r="L2335">
        <v>8525.7900000000009</v>
      </c>
      <c r="M2335">
        <v>3410.32</v>
      </c>
      <c r="N2335">
        <v>17051.580000000002</v>
      </c>
      <c r="O2335">
        <v>13641.26</v>
      </c>
      <c r="P2335" t="s">
        <v>2111</v>
      </c>
      <c r="Q2335" t="s">
        <v>789</v>
      </c>
    </row>
    <row r="2336" spans="1:17" x14ac:dyDescent="0.3">
      <c r="A2336" t="s">
        <v>1110</v>
      </c>
      <c r="B2336" t="s">
        <v>349</v>
      </c>
      <c r="C2336" s="1">
        <v>46107</v>
      </c>
      <c r="D2336" t="s">
        <v>16</v>
      </c>
      <c r="E2336" t="s">
        <v>17</v>
      </c>
      <c r="F2336" t="s">
        <v>74</v>
      </c>
      <c r="G2336" t="s">
        <v>250</v>
      </c>
      <c r="H2336" t="s">
        <v>251</v>
      </c>
      <c r="I2336" t="s">
        <v>108</v>
      </c>
      <c r="J2336">
        <v>899</v>
      </c>
      <c r="K2336">
        <v>2</v>
      </c>
      <c r="L2336">
        <v>867.29</v>
      </c>
      <c r="M2336">
        <v>86.73</v>
      </c>
      <c r="N2336">
        <v>1734.58</v>
      </c>
      <c r="O2336">
        <v>1647.85</v>
      </c>
      <c r="P2336" t="s">
        <v>2111</v>
      </c>
      <c r="Q2336" t="s">
        <v>789</v>
      </c>
    </row>
    <row r="2337" spans="1:17" x14ac:dyDescent="0.3">
      <c r="A2337" t="s">
        <v>2733</v>
      </c>
      <c r="B2337" t="s">
        <v>111</v>
      </c>
      <c r="C2337" s="1">
        <v>46190</v>
      </c>
      <c r="D2337" t="s">
        <v>34</v>
      </c>
      <c r="E2337" t="s">
        <v>42</v>
      </c>
      <c r="F2337" t="s">
        <v>47</v>
      </c>
      <c r="G2337" t="s">
        <v>191</v>
      </c>
      <c r="H2337" t="s">
        <v>192</v>
      </c>
      <c r="I2337" t="s">
        <v>45</v>
      </c>
      <c r="J2337">
        <v>699</v>
      </c>
      <c r="K2337">
        <v>1</v>
      </c>
      <c r="L2337">
        <v>696.39</v>
      </c>
      <c r="M2337">
        <v>139.28</v>
      </c>
      <c r="N2337">
        <v>696.39</v>
      </c>
      <c r="O2337">
        <v>557.11</v>
      </c>
      <c r="P2337" t="s">
        <v>2111</v>
      </c>
      <c r="Q2337" t="s">
        <v>1809</v>
      </c>
    </row>
    <row r="2338" spans="1:17" x14ac:dyDescent="0.3">
      <c r="A2338" t="s">
        <v>282</v>
      </c>
      <c r="B2338" t="s">
        <v>281</v>
      </c>
      <c r="C2338" s="1">
        <v>46035</v>
      </c>
      <c r="D2338" t="s">
        <v>16</v>
      </c>
      <c r="E2338" t="s">
        <v>50</v>
      </c>
      <c r="F2338" t="s">
        <v>22</v>
      </c>
      <c r="G2338" t="s">
        <v>160</v>
      </c>
      <c r="H2338" t="s">
        <v>161</v>
      </c>
      <c r="I2338" t="s">
        <v>82</v>
      </c>
      <c r="J2338">
        <v>799</v>
      </c>
      <c r="K2338">
        <v>1</v>
      </c>
      <c r="L2338">
        <v>814.45</v>
      </c>
      <c r="M2338">
        <v>40.72</v>
      </c>
      <c r="N2338">
        <v>814.45</v>
      </c>
      <c r="O2338">
        <v>773.73</v>
      </c>
      <c r="P2338" t="s">
        <v>2111</v>
      </c>
      <c r="Q2338" t="s">
        <v>23</v>
      </c>
    </row>
    <row r="2339" spans="1:17" x14ac:dyDescent="0.3">
      <c r="A2339" t="s">
        <v>53</v>
      </c>
      <c r="B2339" t="s">
        <v>49</v>
      </c>
      <c r="C2339" s="1">
        <v>46023</v>
      </c>
      <c r="D2339" t="s">
        <v>16</v>
      </c>
      <c r="E2339" t="s">
        <v>17</v>
      </c>
      <c r="F2339" t="s">
        <v>22</v>
      </c>
      <c r="G2339" t="s">
        <v>355</v>
      </c>
      <c r="H2339" t="s">
        <v>356</v>
      </c>
      <c r="I2339" t="s">
        <v>82</v>
      </c>
      <c r="J2339">
        <v>499</v>
      </c>
      <c r="K2339">
        <v>1</v>
      </c>
      <c r="L2339">
        <v>477.78</v>
      </c>
      <c r="M2339">
        <v>119.44</v>
      </c>
      <c r="N2339">
        <v>477.78</v>
      </c>
      <c r="O2339">
        <v>358.34</v>
      </c>
      <c r="P2339" t="s">
        <v>2114</v>
      </c>
      <c r="Q2339" t="s">
        <v>23</v>
      </c>
    </row>
    <row r="2340" spans="1:17" x14ac:dyDescent="0.3">
      <c r="A2340" t="s">
        <v>1391</v>
      </c>
      <c r="B2340" t="s">
        <v>1390</v>
      </c>
      <c r="C2340" s="1">
        <v>46135</v>
      </c>
      <c r="D2340" t="s">
        <v>16</v>
      </c>
      <c r="E2340" t="s">
        <v>17</v>
      </c>
      <c r="F2340" t="s">
        <v>31</v>
      </c>
      <c r="G2340" t="s">
        <v>86</v>
      </c>
      <c r="H2340" t="s">
        <v>87</v>
      </c>
      <c r="I2340" t="s">
        <v>82</v>
      </c>
      <c r="J2340">
        <v>3499</v>
      </c>
      <c r="K2340">
        <v>1</v>
      </c>
      <c r="L2340">
        <v>3563.72</v>
      </c>
      <c r="M2340">
        <v>178.19</v>
      </c>
      <c r="N2340">
        <v>3563.72</v>
      </c>
      <c r="O2340">
        <v>3385.53</v>
      </c>
      <c r="P2340" t="s">
        <v>2111</v>
      </c>
      <c r="Q2340" t="s">
        <v>1170</v>
      </c>
    </row>
    <row r="2341" spans="1:17" x14ac:dyDescent="0.3">
      <c r="A2341" t="s">
        <v>880</v>
      </c>
      <c r="B2341" t="s">
        <v>879</v>
      </c>
      <c r="C2341" s="1">
        <v>46088</v>
      </c>
      <c r="D2341" t="s">
        <v>16</v>
      </c>
      <c r="E2341" t="s">
        <v>50</v>
      </c>
      <c r="F2341" t="s">
        <v>31</v>
      </c>
      <c r="G2341" t="s">
        <v>126</v>
      </c>
      <c r="H2341" t="s">
        <v>127</v>
      </c>
      <c r="I2341" t="s">
        <v>45</v>
      </c>
      <c r="J2341">
        <v>2499</v>
      </c>
      <c r="K2341">
        <v>1</v>
      </c>
      <c r="L2341">
        <v>2397.9299999999998</v>
      </c>
      <c r="M2341">
        <v>599.48</v>
      </c>
      <c r="N2341">
        <v>2397.9299999999998</v>
      </c>
      <c r="O2341">
        <v>1798.45</v>
      </c>
      <c r="P2341" t="s">
        <v>2111</v>
      </c>
      <c r="Q2341" t="s">
        <v>789</v>
      </c>
    </row>
    <row r="2342" spans="1:17" x14ac:dyDescent="0.3">
      <c r="A2342" t="s">
        <v>2851</v>
      </c>
      <c r="B2342" t="s">
        <v>1186</v>
      </c>
      <c r="C2342" s="1">
        <v>46127</v>
      </c>
      <c r="D2342" t="s">
        <v>16</v>
      </c>
      <c r="E2342" t="s">
        <v>17</v>
      </c>
      <c r="F2342" t="s">
        <v>74</v>
      </c>
      <c r="G2342" t="s">
        <v>96</v>
      </c>
      <c r="H2342" t="s">
        <v>97</v>
      </c>
      <c r="I2342" t="s">
        <v>58</v>
      </c>
      <c r="J2342">
        <v>7499</v>
      </c>
      <c r="K2342">
        <v>1</v>
      </c>
      <c r="L2342">
        <v>6832.32</v>
      </c>
      <c r="M2342">
        <v>0</v>
      </c>
      <c r="N2342">
        <v>6832.32</v>
      </c>
      <c r="O2342">
        <v>6832.32</v>
      </c>
      <c r="P2342" t="s">
        <v>2111</v>
      </c>
      <c r="Q2342" t="s">
        <v>1170</v>
      </c>
    </row>
    <row r="2343" spans="1:17" x14ac:dyDescent="0.3">
      <c r="A2343" t="s">
        <v>2644</v>
      </c>
      <c r="B2343" t="s">
        <v>2645</v>
      </c>
      <c r="C2343" s="1">
        <v>46103</v>
      </c>
      <c r="D2343" t="s">
        <v>16</v>
      </c>
      <c r="E2343" t="s">
        <v>42</v>
      </c>
      <c r="F2343" t="s">
        <v>74</v>
      </c>
      <c r="G2343" t="s">
        <v>27</v>
      </c>
      <c r="H2343" t="s">
        <v>28</v>
      </c>
      <c r="I2343" t="s">
        <v>29</v>
      </c>
      <c r="J2343">
        <v>1599</v>
      </c>
      <c r="K2343">
        <v>1</v>
      </c>
      <c r="L2343">
        <v>1439.91</v>
      </c>
      <c r="M2343">
        <v>215.99</v>
      </c>
      <c r="N2343">
        <v>1439.91</v>
      </c>
      <c r="O2343">
        <v>1223.92</v>
      </c>
      <c r="P2343" t="s">
        <v>2111</v>
      </c>
      <c r="Q2343" t="s">
        <v>789</v>
      </c>
    </row>
    <row r="2344" spans="1:17" x14ac:dyDescent="0.3">
      <c r="A2344" t="s">
        <v>1555</v>
      </c>
      <c r="B2344" t="s">
        <v>1554</v>
      </c>
      <c r="C2344" s="1">
        <v>46150</v>
      </c>
      <c r="D2344" t="s">
        <v>26</v>
      </c>
      <c r="E2344" t="s">
        <v>50</v>
      </c>
      <c r="F2344" t="s">
        <v>47</v>
      </c>
      <c r="G2344" t="s">
        <v>43</v>
      </c>
      <c r="H2344" t="s">
        <v>44</v>
      </c>
      <c r="I2344" t="s">
        <v>45</v>
      </c>
      <c r="J2344">
        <v>3299</v>
      </c>
      <c r="K2344">
        <v>1</v>
      </c>
      <c r="L2344">
        <v>3035.84</v>
      </c>
      <c r="M2344">
        <v>303.58</v>
      </c>
      <c r="N2344">
        <v>3035.84</v>
      </c>
      <c r="O2344">
        <v>2732.26</v>
      </c>
      <c r="P2344" t="s">
        <v>2111</v>
      </c>
      <c r="Q2344" t="s">
        <v>1479</v>
      </c>
    </row>
    <row r="2345" spans="1:17" x14ac:dyDescent="0.3">
      <c r="A2345" t="s">
        <v>2665</v>
      </c>
      <c r="B2345" t="s">
        <v>2666</v>
      </c>
      <c r="C2345" s="1">
        <v>46158</v>
      </c>
      <c r="D2345" t="s">
        <v>16</v>
      </c>
      <c r="E2345" t="s">
        <v>17</v>
      </c>
      <c r="F2345" t="s">
        <v>74</v>
      </c>
      <c r="G2345" t="s">
        <v>51</v>
      </c>
      <c r="H2345" t="s">
        <v>52</v>
      </c>
      <c r="I2345" t="s">
        <v>20</v>
      </c>
      <c r="J2345">
        <v>999</v>
      </c>
      <c r="K2345">
        <v>1</v>
      </c>
      <c r="L2345">
        <v>1057.3900000000001</v>
      </c>
      <c r="M2345">
        <v>105.74</v>
      </c>
      <c r="N2345">
        <v>1057.3900000000001</v>
      </c>
      <c r="O2345">
        <v>951.65</v>
      </c>
      <c r="P2345" t="s">
        <v>2111</v>
      </c>
      <c r="Q2345" t="s">
        <v>1479</v>
      </c>
    </row>
    <row r="2346" spans="1:17" x14ac:dyDescent="0.3">
      <c r="A2346" t="s">
        <v>2044</v>
      </c>
      <c r="B2346" t="s">
        <v>849</v>
      </c>
      <c r="C2346" s="1">
        <v>46199</v>
      </c>
      <c r="D2346" t="s">
        <v>16</v>
      </c>
      <c r="E2346" t="s">
        <v>50</v>
      </c>
      <c r="F2346" t="s">
        <v>47</v>
      </c>
      <c r="G2346" t="s">
        <v>80</v>
      </c>
      <c r="H2346" t="s">
        <v>81</v>
      </c>
      <c r="I2346" t="s">
        <v>82</v>
      </c>
      <c r="J2346">
        <v>4299</v>
      </c>
      <c r="K2346">
        <v>3</v>
      </c>
      <c r="L2346">
        <v>4695.74</v>
      </c>
      <c r="M2346">
        <v>704.36</v>
      </c>
      <c r="N2346">
        <v>14087.22</v>
      </c>
      <c r="O2346">
        <v>13382.86</v>
      </c>
      <c r="P2346" t="s">
        <v>2111</v>
      </c>
      <c r="Q2346" t="s">
        <v>1809</v>
      </c>
    </row>
    <row r="2347" spans="1:17" x14ac:dyDescent="0.3">
      <c r="A2347" t="s">
        <v>1529</v>
      </c>
      <c r="B2347" t="s">
        <v>1528</v>
      </c>
      <c r="C2347" s="1">
        <v>46146</v>
      </c>
      <c r="D2347" t="s">
        <v>26</v>
      </c>
      <c r="E2347" t="s">
        <v>17</v>
      </c>
      <c r="F2347" t="s">
        <v>74</v>
      </c>
      <c r="G2347" t="s">
        <v>35</v>
      </c>
      <c r="H2347" t="s">
        <v>36</v>
      </c>
      <c r="I2347" t="s">
        <v>37</v>
      </c>
      <c r="J2347">
        <v>799</v>
      </c>
      <c r="K2347">
        <v>3</v>
      </c>
      <c r="L2347">
        <v>787.33</v>
      </c>
      <c r="M2347">
        <v>354.3</v>
      </c>
      <c r="N2347">
        <v>2361.9899999999998</v>
      </c>
      <c r="O2347">
        <v>2007.69</v>
      </c>
      <c r="P2347" t="s">
        <v>2111</v>
      </c>
      <c r="Q2347" t="s">
        <v>1479</v>
      </c>
    </row>
    <row r="2348" spans="1:17" x14ac:dyDescent="0.3">
      <c r="A2348" t="s">
        <v>199</v>
      </c>
      <c r="B2348" t="s">
        <v>198</v>
      </c>
      <c r="C2348" s="1">
        <v>46030</v>
      </c>
      <c r="D2348" t="s">
        <v>16</v>
      </c>
      <c r="E2348" t="s">
        <v>17</v>
      </c>
      <c r="F2348" t="s">
        <v>31</v>
      </c>
      <c r="G2348" t="s">
        <v>91</v>
      </c>
      <c r="H2348" t="s">
        <v>92</v>
      </c>
      <c r="I2348" t="s">
        <v>37</v>
      </c>
      <c r="J2348">
        <v>1899</v>
      </c>
      <c r="K2348">
        <v>1</v>
      </c>
      <c r="L2348">
        <v>1903.82</v>
      </c>
      <c r="M2348">
        <v>0</v>
      </c>
      <c r="N2348">
        <v>1903.82</v>
      </c>
      <c r="O2348">
        <v>1903.82</v>
      </c>
      <c r="P2348" t="s">
        <v>2111</v>
      </c>
      <c r="Q2348" t="s">
        <v>23</v>
      </c>
    </row>
    <row r="2349" spans="1:17" x14ac:dyDescent="0.3">
      <c r="A2349" t="s">
        <v>2914</v>
      </c>
      <c r="B2349" t="s">
        <v>2915</v>
      </c>
      <c r="C2349" s="1">
        <v>46053</v>
      </c>
      <c r="D2349" t="s">
        <v>41</v>
      </c>
      <c r="E2349" t="s">
        <v>50</v>
      </c>
      <c r="F2349" t="s">
        <v>47</v>
      </c>
      <c r="G2349" t="s">
        <v>165</v>
      </c>
      <c r="H2349" t="s">
        <v>166</v>
      </c>
      <c r="I2349" t="s">
        <v>29</v>
      </c>
      <c r="J2349">
        <v>449</v>
      </c>
      <c r="K2349">
        <v>1</v>
      </c>
      <c r="L2349">
        <v>417.29</v>
      </c>
      <c r="M2349">
        <v>41.73</v>
      </c>
      <c r="N2349">
        <v>417.29</v>
      </c>
      <c r="O2349">
        <v>375.56</v>
      </c>
      <c r="P2349" t="s">
        <v>2111</v>
      </c>
      <c r="Q2349" t="s">
        <v>23</v>
      </c>
    </row>
    <row r="2350" spans="1:17" x14ac:dyDescent="0.3">
      <c r="A2350" t="s">
        <v>1879</v>
      </c>
      <c r="B2350" t="s">
        <v>1878</v>
      </c>
      <c r="C2350" s="1">
        <v>46178</v>
      </c>
      <c r="D2350" t="s">
        <v>34</v>
      </c>
      <c r="E2350" t="s">
        <v>50</v>
      </c>
      <c r="F2350" t="s">
        <v>31</v>
      </c>
      <c r="G2350" t="s">
        <v>18</v>
      </c>
      <c r="H2350" t="s">
        <v>19</v>
      </c>
      <c r="I2350" t="s">
        <v>20</v>
      </c>
      <c r="J2350">
        <v>2799</v>
      </c>
      <c r="K2350">
        <v>1</v>
      </c>
      <c r="L2350">
        <v>2827.57</v>
      </c>
      <c r="M2350">
        <v>141.38</v>
      </c>
      <c r="N2350">
        <v>2827.57</v>
      </c>
      <c r="O2350">
        <v>2686.19</v>
      </c>
      <c r="P2350" t="s">
        <v>2111</v>
      </c>
      <c r="Q2350" t="s">
        <v>1809</v>
      </c>
    </row>
    <row r="2351" spans="1:17" x14ac:dyDescent="0.3">
      <c r="A2351" t="s">
        <v>273</v>
      </c>
      <c r="B2351" t="s">
        <v>272</v>
      </c>
      <c r="C2351" s="1">
        <v>46035</v>
      </c>
      <c r="D2351" t="s">
        <v>16</v>
      </c>
      <c r="E2351" t="s">
        <v>50</v>
      </c>
      <c r="F2351" t="s">
        <v>60</v>
      </c>
      <c r="G2351" t="s">
        <v>106</v>
      </c>
      <c r="H2351" t="s">
        <v>107</v>
      </c>
      <c r="I2351" t="s">
        <v>108</v>
      </c>
      <c r="J2351">
        <v>599</v>
      </c>
      <c r="K2351">
        <v>1</v>
      </c>
      <c r="L2351">
        <v>556.42999999999995</v>
      </c>
      <c r="M2351">
        <v>139.11000000000001</v>
      </c>
      <c r="N2351">
        <v>556.42999999999995</v>
      </c>
      <c r="O2351">
        <v>417.32</v>
      </c>
      <c r="P2351" t="s">
        <v>2111</v>
      </c>
      <c r="Q2351" t="s">
        <v>23</v>
      </c>
    </row>
    <row r="2352" spans="1:17" x14ac:dyDescent="0.3">
      <c r="A2352" t="s">
        <v>70</v>
      </c>
      <c r="B2352" t="s">
        <v>69</v>
      </c>
      <c r="C2352" s="1">
        <v>46024</v>
      </c>
      <c r="D2352" t="s">
        <v>41</v>
      </c>
      <c r="E2352" t="s">
        <v>17</v>
      </c>
      <c r="F2352" t="s">
        <v>31</v>
      </c>
      <c r="G2352" t="s">
        <v>96</v>
      </c>
      <c r="H2352" t="s">
        <v>97</v>
      </c>
      <c r="I2352" t="s">
        <v>58</v>
      </c>
      <c r="J2352">
        <v>7499</v>
      </c>
      <c r="K2352">
        <v>2</v>
      </c>
      <c r="L2352">
        <v>7665.8</v>
      </c>
      <c r="M2352">
        <v>0</v>
      </c>
      <c r="N2352">
        <v>15331.6</v>
      </c>
      <c r="O2352">
        <v>15331.6</v>
      </c>
      <c r="P2352" t="s">
        <v>2111</v>
      </c>
      <c r="Q2352" t="s">
        <v>23</v>
      </c>
    </row>
    <row r="2353" spans="1:17" x14ac:dyDescent="0.3">
      <c r="A2353" t="s">
        <v>2944</v>
      </c>
      <c r="B2353" t="s">
        <v>172</v>
      </c>
      <c r="C2353" s="1">
        <v>46118</v>
      </c>
      <c r="D2353" t="s">
        <v>41</v>
      </c>
      <c r="E2353" t="s">
        <v>17</v>
      </c>
      <c r="F2353" t="s">
        <v>60</v>
      </c>
      <c r="G2353" t="s">
        <v>101</v>
      </c>
      <c r="H2353" t="s">
        <v>102</v>
      </c>
      <c r="I2353" t="s">
        <v>45</v>
      </c>
      <c r="J2353">
        <v>4999</v>
      </c>
      <c r="K2353">
        <v>1</v>
      </c>
      <c r="L2353">
        <v>5432.17</v>
      </c>
      <c r="M2353">
        <v>0</v>
      </c>
      <c r="N2353">
        <v>5432.17</v>
      </c>
      <c r="O2353">
        <v>5432.17</v>
      </c>
      <c r="P2353" t="s">
        <v>2111</v>
      </c>
      <c r="Q2353" t="s">
        <v>1170</v>
      </c>
    </row>
    <row r="2354" spans="1:17" x14ac:dyDescent="0.3">
      <c r="A2354" t="s">
        <v>1930</v>
      </c>
      <c r="B2354" t="s">
        <v>1929</v>
      </c>
      <c r="C2354" s="1">
        <v>46185</v>
      </c>
      <c r="D2354" t="s">
        <v>26</v>
      </c>
      <c r="E2354" t="s">
        <v>17</v>
      </c>
      <c r="F2354" t="s">
        <v>74</v>
      </c>
      <c r="G2354" t="s">
        <v>56</v>
      </c>
      <c r="H2354" t="s">
        <v>57</v>
      </c>
      <c r="I2354" t="s">
        <v>58</v>
      </c>
      <c r="J2354">
        <v>8999</v>
      </c>
      <c r="K2354">
        <v>2</v>
      </c>
      <c r="L2354">
        <v>8451.32</v>
      </c>
      <c r="M2354">
        <v>845.13</v>
      </c>
      <c r="N2354">
        <v>16902.64</v>
      </c>
      <c r="O2354">
        <v>16057.51</v>
      </c>
      <c r="P2354" t="s">
        <v>2111</v>
      </c>
      <c r="Q2354" t="s">
        <v>1809</v>
      </c>
    </row>
    <row r="2355" spans="1:17" x14ac:dyDescent="0.3">
      <c r="A2355" t="s">
        <v>151</v>
      </c>
      <c r="B2355" t="s">
        <v>148</v>
      </c>
      <c r="C2355" s="1">
        <v>46028</v>
      </c>
      <c r="D2355" t="s">
        <v>41</v>
      </c>
      <c r="E2355" t="s">
        <v>17</v>
      </c>
      <c r="F2355" t="s">
        <v>31</v>
      </c>
      <c r="G2355" t="s">
        <v>250</v>
      </c>
      <c r="H2355" t="s">
        <v>251</v>
      </c>
      <c r="I2355" t="s">
        <v>108</v>
      </c>
      <c r="J2355">
        <v>899</v>
      </c>
      <c r="K2355">
        <v>3</v>
      </c>
      <c r="L2355">
        <v>946.57</v>
      </c>
      <c r="M2355">
        <v>283.97000000000003</v>
      </c>
      <c r="N2355">
        <v>2839.71</v>
      </c>
      <c r="O2355">
        <v>2555.7399999999998</v>
      </c>
      <c r="P2355" t="s">
        <v>2111</v>
      </c>
      <c r="Q2355" t="s">
        <v>23</v>
      </c>
    </row>
    <row r="2356" spans="1:17" x14ac:dyDescent="0.3">
      <c r="A2356" t="s">
        <v>2345</v>
      </c>
      <c r="B2356" t="s">
        <v>1504</v>
      </c>
      <c r="C2356" s="1">
        <v>46039</v>
      </c>
      <c r="D2356" t="s">
        <v>26</v>
      </c>
      <c r="E2356" t="s">
        <v>17</v>
      </c>
      <c r="F2356" t="s">
        <v>74</v>
      </c>
      <c r="G2356" t="s">
        <v>43</v>
      </c>
      <c r="H2356" t="s">
        <v>44</v>
      </c>
      <c r="I2356" t="s">
        <v>45</v>
      </c>
      <c r="J2356">
        <v>3299</v>
      </c>
      <c r="K2356">
        <v>1</v>
      </c>
      <c r="L2356">
        <v>2984.61</v>
      </c>
      <c r="M2356">
        <v>149.22999999999999</v>
      </c>
      <c r="N2356">
        <v>2984.61</v>
      </c>
      <c r="O2356">
        <v>2835.38</v>
      </c>
      <c r="P2356" t="s">
        <v>2111</v>
      </c>
      <c r="Q2356" t="s">
        <v>23</v>
      </c>
    </row>
    <row r="2357" spans="1:17" x14ac:dyDescent="0.3">
      <c r="A2357" t="s">
        <v>109</v>
      </c>
      <c r="B2357" t="s">
        <v>105</v>
      </c>
      <c r="C2357" s="1">
        <v>46026</v>
      </c>
      <c r="D2357" t="s">
        <v>16</v>
      </c>
      <c r="E2357" t="s">
        <v>17</v>
      </c>
      <c r="F2357" t="s">
        <v>22</v>
      </c>
      <c r="G2357" t="s">
        <v>101</v>
      </c>
      <c r="H2357" t="s">
        <v>102</v>
      </c>
      <c r="I2357" t="s">
        <v>45</v>
      </c>
      <c r="J2357">
        <v>4999</v>
      </c>
      <c r="K2357">
        <v>1</v>
      </c>
      <c r="L2357">
        <v>4874.5200000000004</v>
      </c>
      <c r="M2357">
        <v>487.45</v>
      </c>
      <c r="N2357">
        <v>4874.5200000000004</v>
      </c>
      <c r="O2357">
        <v>4387.07</v>
      </c>
      <c r="P2357" t="s">
        <v>2114</v>
      </c>
      <c r="Q2357" t="s">
        <v>23</v>
      </c>
    </row>
    <row r="2358" spans="1:17" x14ac:dyDescent="0.3">
      <c r="A2358" t="s">
        <v>2646</v>
      </c>
      <c r="B2358" t="s">
        <v>2647</v>
      </c>
      <c r="C2358" s="1">
        <v>46171</v>
      </c>
      <c r="D2358" t="s">
        <v>16</v>
      </c>
      <c r="E2358" t="s">
        <v>50</v>
      </c>
      <c r="F2358" t="s">
        <v>74</v>
      </c>
      <c r="G2358" t="s">
        <v>91</v>
      </c>
      <c r="H2358" t="s">
        <v>92</v>
      </c>
      <c r="I2358" t="s">
        <v>37</v>
      </c>
      <c r="J2358">
        <v>1899</v>
      </c>
      <c r="K2358">
        <v>1</v>
      </c>
      <c r="L2358">
        <v>1751.16</v>
      </c>
      <c r="M2358">
        <v>350.23</v>
      </c>
      <c r="N2358">
        <v>1751.16</v>
      </c>
      <c r="O2358">
        <v>1400.93</v>
      </c>
      <c r="P2358" t="s">
        <v>2111</v>
      </c>
      <c r="Q2358" t="s">
        <v>1479</v>
      </c>
    </row>
    <row r="2359" spans="1:17" x14ac:dyDescent="0.3">
      <c r="A2359" t="s">
        <v>625</v>
      </c>
      <c r="B2359" t="s">
        <v>624</v>
      </c>
      <c r="C2359" s="1">
        <v>46065</v>
      </c>
      <c r="D2359" t="s">
        <v>41</v>
      </c>
      <c r="E2359" t="s">
        <v>50</v>
      </c>
      <c r="F2359" t="s">
        <v>31</v>
      </c>
      <c r="G2359" t="s">
        <v>91</v>
      </c>
      <c r="H2359" t="s">
        <v>92</v>
      </c>
      <c r="I2359" t="s">
        <v>37</v>
      </c>
      <c r="J2359">
        <v>1899</v>
      </c>
      <c r="K2359">
        <v>1</v>
      </c>
      <c r="L2359">
        <v>1842.97</v>
      </c>
      <c r="M2359">
        <v>276.45</v>
      </c>
      <c r="N2359">
        <v>1842.97</v>
      </c>
      <c r="O2359">
        <v>1566.52</v>
      </c>
      <c r="P2359" t="s">
        <v>2111</v>
      </c>
      <c r="Q2359" t="s">
        <v>498</v>
      </c>
    </row>
    <row r="2360" spans="1:17" x14ac:dyDescent="0.3">
      <c r="A2360" t="s">
        <v>1843</v>
      </c>
      <c r="B2360" t="s">
        <v>1157</v>
      </c>
      <c r="C2360" s="1">
        <v>46176</v>
      </c>
      <c r="D2360" t="s">
        <v>16</v>
      </c>
      <c r="E2360" t="s">
        <v>17</v>
      </c>
      <c r="F2360" t="s">
        <v>31</v>
      </c>
      <c r="G2360" t="s">
        <v>80</v>
      </c>
      <c r="H2360" t="s">
        <v>81</v>
      </c>
      <c r="I2360" t="s">
        <v>82</v>
      </c>
      <c r="J2360">
        <v>4299</v>
      </c>
      <c r="K2360">
        <v>1</v>
      </c>
      <c r="L2360">
        <v>4018.31</v>
      </c>
      <c r="M2360">
        <v>401.83</v>
      </c>
      <c r="N2360">
        <v>4018.31</v>
      </c>
      <c r="O2360">
        <v>3616.48</v>
      </c>
      <c r="P2360" t="s">
        <v>2111</v>
      </c>
      <c r="Q2360" t="s">
        <v>1809</v>
      </c>
    </row>
    <row r="2361" spans="1:17" x14ac:dyDescent="0.3">
      <c r="A2361" t="s">
        <v>2577</v>
      </c>
      <c r="B2361" t="s">
        <v>2578</v>
      </c>
      <c r="C2361" s="1">
        <v>46107</v>
      </c>
      <c r="D2361" t="s">
        <v>26</v>
      </c>
      <c r="E2361" t="s">
        <v>50</v>
      </c>
      <c r="F2361" t="s">
        <v>74</v>
      </c>
      <c r="G2361" t="s">
        <v>126</v>
      </c>
      <c r="H2361" t="s">
        <v>127</v>
      </c>
      <c r="I2361" t="s">
        <v>45</v>
      </c>
      <c r="J2361">
        <v>2499</v>
      </c>
      <c r="K2361">
        <v>1</v>
      </c>
      <c r="L2361">
        <v>2435.6799999999998</v>
      </c>
      <c r="M2361">
        <v>0</v>
      </c>
      <c r="N2361">
        <v>2435.6799999999998</v>
      </c>
      <c r="O2361">
        <v>2435.6799999999998</v>
      </c>
      <c r="P2361" t="s">
        <v>2111</v>
      </c>
      <c r="Q2361" t="s">
        <v>789</v>
      </c>
    </row>
    <row r="2362" spans="1:17" x14ac:dyDescent="0.3">
      <c r="A2362" t="s">
        <v>801</v>
      </c>
      <c r="B2362" t="s">
        <v>800</v>
      </c>
      <c r="C2362" s="1">
        <v>46082</v>
      </c>
      <c r="D2362" t="s">
        <v>34</v>
      </c>
      <c r="E2362" t="s">
        <v>17</v>
      </c>
      <c r="F2362" t="s">
        <v>60</v>
      </c>
      <c r="G2362" t="s">
        <v>86</v>
      </c>
      <c r="H2362" t="s">
        <v>87</v>
      </c>
      <c r="I2362" t="s">
        <v>82</v>
      </c>
      <c r="J2362">
        <v>3499</v>
      </c>
      <c r="K2362">
        <v>3</v>
      </c>
      <c r="L2362">
        <v>3441.28</v>
      </c>
      <c r="M2362">
        <v>1548.58</v>
      </c>
      <c r="N2362">
        <v>10323.84</v>
      </c>
      <c r="O2362">
        <v>8775.26</v>
      </c>
      <c r="P2362" t="s">
        <v>2111</v>
      </c>
      <c r="Q2362" t="s">
        <v>789</v>
      </c>
    </row>
    <row r="2363" spans="1:17" x14ac:dyDescent="0.3">
      <c r="A2363" t="s">
        <v>2514</v>
      </c>
      <c r="B2363" t="s">
        <v>2515</v>
      </c>
      <c r="C2363" s="1">
        <v>46085</v>
      </c>
      <c r="D2363" t="s">
        <v>16</v>
      </c>
      <c r="E2363" t="s">
        <v>17</v>
      </c>
      <c r="F2363" t="s">
        <v>47</v>
      </c>
      <c r="G2363" t="s">
        <v>86</v>
      </c>
      <c r="H2363" t="s">
        <v>87</v>
      </c>
      <c r="I2363" t="s">
        <v>82</v>
      </c>
      <c r="J2363">
        <v>3499</v>
      </c>
      <c r="K2363">
        <v>1</v>
      </c>
      <c r="L2363">
        <v>3359.45</v>
      </c>
      <c r="M2363">
        <v>0</v>
      </c>
      <c r="N2363">
        <v>3359.45</v>
      </c>
      <c r="O2363">
        <v>3359.45</v>
      </c>
      <c r="P2363" t="s">
        <v>2111</v>
      </c>
      <c r="Q2363" t="s">
        <v>789</v>
      </c>
    </row>
    <row r="2364" spans="1:17" x14ac:dyDescent="0.3">
      <c r="A2364" t="s">
        <v>1415</v>
      </c>
      <c r="B2364" t="s">
        <v>1414</v>
      </c>
      <c r="C2364" s="1">
        <v>46137</v>
      </c>
      <c r="D2364" t="s">
        <v>26</v>
      </c>
      <c r="E2364" t="s">
        <v>50</v>
      </c>
      <c r="F2364" t="s">
        <v>47</v>
      </c>
      <c r="G2364" t="s">
        <v>126</v>
      </c>
      <c r="H2364" t="s">
        <v>127</v>
      </c>
      <c r="I2364" t="s">
        <v>45</v>
      </c>
      <c r="J2364">
        <v>2499</v>
      </c>
      <c r="K2364">
        <v>1</v>
      </c>
      <c r="L2364">
        <v>2577.2800000000002</v>
      </c>
      <c r="M2364">
        <v>386.59</v>
      </c>
      <c r="N2364">
        <v>2577.2800000000002</v>
      </c>
      <c r="O2364">
        <v>2190.69</v>
      </c>
      <c r="P2364" t="s">
        <v>2111</v>
      </c>
      <c r="Q2364" t="s">
        <v>1170</v>
      </c>
    </row>
    <row r="2365" spans="1:17" x14ac:dyDescent="0.3">
      <c r="A2365" t="s">
        <v>2295</v>
      </c>
      <c r="B2365" t="s">
        <v>2296</v>
      </c>
      <c r="C2365" s="1">
        <v>46119</v>
      </c>
      <c r="D2365" t="s">
        <v>26</v>
      </c>
      <c r="E2365" t="s">
        <v>17</v>
      </c>
      <c r="F2365" t="s">
        <v>60</v>
      </c>
      <c r="G2365" t="s">
        <v>191</v>
      </c>
      <c r="H2365" t="s">
        <v>192</v>
      </c>
      <c r="I2365" t="s">
        <v>45</v>
      </c>
      <c r="J2365">
        <v>699</v>
      </c>
      <c r="K2365">
        <v>1</v>
      </c>
      <c r="L2365">
        <v>757.56</v>
      </c>
      <c r="M2365">
        <v>37.880000000000003</v>
      </c>
      <c r="N2365">
        <v>757.56</v>
      </c>
      <c r="O2365">
        <v>719.68</v>
      </c>
      <c r="P2365" t="s">
        <v>2111</v>
      </c>
      <c r="Q2365" t="s">
        <v>1170</v>
      </c>
    </row>
    <row r="2366" spans="1:17" x14ac:dyDescent="0.3">
      <c r="A2366" t="s">
        <v>1195</v>
      </c>
      <c r="B2366" t="s">
        <v>514</v>
      </c>
      <c r="C2366" s="1">
        <v>46116</v>
      </c>
      <c r="D2366" t="s">
        <v>34</v>
      </c>
      <c r="E2366" t="s">
        <v>50</v>
      </c>
      <c r="F2366" t="s">
        <v>31</v>
      </c>
      <c r="G2366" t="s">
        <v>96</v>
      </c>
      <c r="H2366" t="s">
        <v>97</v>
      </c>
      <c r="I2366" t="s">
        <v>58</v>
      </c>
      <c r="J2366">
        <v>7499</v>
      </c>
      <c r="K2366">
        <v>2</v>
      </c>
      <c r="L2366">
        <v>7349.91</v>
      </c>
      <c r="M2366">
        <v>1469.98</v>
      </c>
      <c r="N2366">
        <v>14699.82</v>
      </c>
      <c r="O2366">
        <v>13229.84</v>
      </c>
      <c r="P2366" t="s">
        <v>2111</v>
      </c>
      <c r="Q2366" t="s">
        <v>1170</v>
      </c>
    </row>
    <row r="2367" spans="1:17" x14ac:dyDescent="0.3">
      <c r="A2367" t="s">
        <v>2854</v>
      </c>
      <c r="B2367" t="s">
        <v>708</v>
      </c>
      <c r="C2367" s="1">
        <v>46054</v>
      </c>
      <c r="D2367" t="s">
        <v>16</v>
      </c>
      <c r="E2367" t="s">
        <v>17</v>
      </c>
      <c r="F2367" t="s">
        <v>31</v>
      </c>
      <c r="G2367" t="s">
        <v>56</v>
      </c>
      <c r="H2367" t="s">
        <v>57</v>
      </c>
      <c r="I2367" t="s">
        <v>58</v>
      </c>
      <c r="J2367">
        <v>8999</v>
      </c>
      <c r="K2367">
        <v>1</v>
      </c>
      <c r="L2367">
        <v>8445.2800000000007</v>
      </c>
      <c r="M2367">
        <v>422.26</v>
      </c>
      <c r="N2367">
        <v>8445.2800000000007</v>
      </c>
      <c r="O2367">
        <v>8023.02</v>
      </c>
      <c r="P2367" t="s">
        <v>2111</v>
      </c>
      <c r="Q2367" t="s">
        <v>498</v>
      </c>
    </row>
    <row r="2368" spans="1:17" x14ac:dyDescent="0.3">
      <c r="A2368" t="s">
        <v>2447</v>
      </c>
      <c r="B2368" t="s">
        <v>2448</v>
      </c>
      <c r="C2368" s="1">
        <v>46035</v>
      </c>
      <c r="D2368" t="s">
        <v>41</v>
      </c>
      <c r="E2368" t="s">
        <v>50</v>
      </c>
      <c r="F2368" t="s">
        <v>47</v>
      </c>
      <c r="G2368" t="s">
        <v>165</v>
      </c>
      <c r="H2368" t="s">
        <v>166</v>
      </c>
      <c r="I2368" t="s">
        <v>29</v>
      </c>
      <c r="J2368">
        <v>449</v>
      </c>
      <c r="K2368">
        <v>2</v>
      </c>
      <c r="L2368">
        <v>428.41</v>
      </c>
      <c r="M2368">
        <v>171.36</v>
      </c>
      <c r="N2368">
        <v>856.82</v>
      </c>
      <c r="O2368">
        <v>685.46</v>
      </c>
      <c r="P2368" t="s">
        <v>2111</v>
      </c>
      <c r="Q2368" t="s">
        <v>23</v>
      </c>
    </row>
    <row r="2369" spans="1:17" x14ac:dyDescent="0.3">
      <c r="A2369" t="s">
        <v>1242</v>
      </c>
      <c r="B2369" t="s">
        <v>213</v>
      </c>
      <c r="C2369" s="1">
        <v>46121</v>
      </c>
      <c r="D2369" t="s">
        <v>41</v>
      </c>
      <c r="E2369" t="s">
        <v>17</v>
      </c>
      <c r="F2369" t="s">
        <v>74</v>
      </c>
      <c r="G2369" t="s">
        <v>355</v>
      </c>
      <c r="H2369" t="s">
        <v>356</v>
      </c>
      <c r="I2369" t="s">
        <v>82</v>
      </c>
      <c r="J2369">
        <v>499</v>
      </c>
      <c r="K2369">
        <v>1</v>
      </c>
      <c r="L2369">
        <v>534.33000000000004</v>
      </c>
      <c r="M2369">
        <v>0</v>
      </c>
      <c r="N2369">
        <v>534.33000000000004</v>
      </c>
      <c r="O2369">
        <v>534.33000000000004</v>
      </c>
      <c r="P2369" t="s">
        <v>2111</v>
      </c>
      <c r="Q2369" t="s">
        <v>1170</v>
      </c>
    </row>
    <row r="2370" spans="1:17" x14ac:dyDescent="0.3">
      <c r="A2370" t="s">
        <v>2894</v>
      </c>
      <c r="B2370" t="s">
        <v>2895</v>
      </c>
      <c r="C2370" s="1">
        <v>46099</v>
      </c>
      <c r="D2370" t="s">
        <v>16</v>
      </c>
      <c r="E2370" t="s">
        <v>17</v>
      </c>
      <c r="F2370" t="s">
        <v>31</v>
      </c>
      <c r="G2370" t="s">
        <v>96</v>
      </c>
      <c r="H2370" t="s">
        <v>97</v>
      </c>
      <c r="I2370" t="s">
        <v>58</v>
      </c>
      <c r="J2370">
        <v>7499</v>
      </c>
      <c r="K2370">
        <v>1</v>
      </c>
      <c r="L2370">
        <v>7606.45</v>
      </c>
      <c r="M2370">
        <v>760.64</v>
      </c>
      <c r="N2370">
        <v>7606.45</v>
      </c>
      <c r="O2370">
        <v>6845.81</v>
      </c>
      <c r="P2370" t="s">
        <v>2111</v>
      </c>
      <c r="Q2370" t="s">
        <v>789</v>
      </c>
    </row>
    <row r="2371" spans="1:17" x14ac:dyDescent="0.3">
      <c r="A2371" t="s">
        <v>2945</v>
      </c>
      <c r="B2371" t="s">
        <v>2946</v>
      </c>
      <c r="C2371" s="1">
        <v>46126</v>
      </c>
      <c r="D2371" t="s">
        <v>41</v>
      </c>
      <c r="E2371" t="s">
        <v>17</v>
      </c>
      <c r="F2371" t="s">
        <v>47</v>
      </c>
      <c r="G2371" t="s">
        <v>112</v>
      </c>
      <c r="H2371" t="s">
        <v>113</v>
      </c>
      <c r="I2371" t="s">
        <v>37</v>
      </c>
      <c r="J2371">
        <v>1499</v>
      </c>
      <c r="K2371">
        <v>1</v>
      </c>
      <c r="L2371">
        <v>1485.51</v>
      </c>
      <c r="M2371">
        <v>0</v>
      </c>
      <c r="N2371">
        <v>1485.51</v>
      </c>
      <c r="O2371">
        <v>1485.51</v>
      </c>
      <c r="P2371" t="s">
        <v>2111</v>
      </c>
      <c r="Q2371" t="s">
        <v>1170</v>
      </c>
    </row>
    <row r="2372" spans="1:17" x14ac:dyDescent="0.3">
      <c r="A2372" t="s">
        <v>2732</v>
      </c>
      <c r="B2372" t="s">
        <v>1835</v>
      </c>
      <c r="C2372" s="1">
        <v>46066</v>
      </c>
      <c r="D2372" t="s">
        <v>41</v>
      </c>
      <c r="E2372" t="s">
        <v>17</v>
      </c>
      <c r="F2372" t="s">
        <v>74</v>
      </c>
      <c r="G2372" t="s">
        <v>126</v>
      </c>
      <c r="H2372" t="s">
        <v>127</v>
      </c>
      <c r="I2372" t="s">
        <v>45</v>
      </c>
      <c r="J2372">
        <v>2499</v>
      </c>
      <c r="K2372">
        <v>1</v>
      </c>
      <c r="L2372">
        <v>2323.89</v>
      </c>
      <c r="M2372">
        <v>348.58</v>
      </c>
      <c r="N2372">
        <v>2323.89</v>
      </c>
      <c r="O2372">
        <v>1975.31</v>
      </c>
      <c r="P2372" t="s">
        <v>2111</v>
      </c>
      <c r="Q2372" t="s">
        <v>498</v>
      </c>
    </row>
    <row r="2373" spans="1:17" x14ac:dyDescent="0.3">
      <c r="A2373" t="s">
        <v>1707</v>
      </c>
      <c r="B2373" t="s">
        <v>1706</v>
      </c>
      <c r="C2373" s="1">
        <v>46163</v>
      </c>
      <c r="D2373" t="s">
        <v>26</v>
      </c>
      <c r="E2373" t="s">
        <v>50</v>
      </c>
      <c r="F2373" t="s">
        <v>47</v>
      </c>
      <c r="G2373" t="s">
        <v>27</v>
      </c>
      <c r="H2373" t="s">
        <v>28</v>
      </c>
      <c r="I2373" t="s">
        <v>29</v>
      </c>
      <c r="J2373">
        <v>1599</v>
      </c>
      <c r="K2373">
        <v>2</v>
      </c>
      <c r="L2373">
        <v>1582.92</v>
      </c>
      <c r="M2373">
        <v>633.16999999999996</v>
      </c>
      <c r="N2373">
        <v>3165.84</v>
      </c>
      <c r="O2373">
        <v>2532.67</v>
      </c>
      <c r="P2373" t="s">
        <v>2111</v>
      </c>
      <c r="Q2373" t="s">
        <v>1479</v>
      </c>
    </row>
    <row r="2374" spans="1:17" x14ac:dyDescent="0.3">
      <c r="A2374" t="s">
        <v>2261</v>
      </c>
      <c r="B2374" t="s">
        <v>175</v>
      </c>
      <c r="C2374" s="1">
        <v>46149</v>
      </c>
      <c r="D2374" t="s">
        <v>34</v>
      </c>
      <c r="E2374" t="s">
        <v>50</v>
      </c>
      <c r="F2374" t="s">
        <v>47</v>
      </c>
      <c r="G2374" t="s">
        <v>250</v>
      </c>
      <c r="H2374" t="s">
        <v>251</v>
      </c>
      <c r="I2374" t="s">
        <v>108</v>
      </c>
      <c r="J2374">
        <v>899</v>
      </c>
      <c r="K2374">
        <v>1</v>
      </c>
      <c r="L2374">
        <v>859.17</v>
      </c>
      <c r="M2374">
        <v>85.92</v>
      </c>
      <c r="N2374">
        <v>859.17</v>
      </c>
      <c r="O2374">
        <v>773.25</v>
      </c>
      <c r="P2374" t="s">
        <v>2111</v>
      </c>
      <c r="Q2374" t="s">
        <v>1479</v>
      </c>
    </row>
    <row r="2375" spans="1:17" x14ac:dyDescent="0.3">
      <c r="A2375" t="s">
        <v>1280</v>
      </c>
      <c r="B2375" t="s">
        <v>1279</v>
      </c>
      <c r="C2375" s="1">
        <v>46124</v>
      </c>
      <c r="D2375" t="s">
        <v>16</v>
      </c>
      <c r="E2375" t="s">
        <v>50</v>
      </c>
      <c r="F2375" t="s">
        <v>22</v>
      </c>
      <c r="G2375" t="s">
        <v>96</v>
      </c>
      <c r="H2375" t="s">
        <v>97</v>
      </c>
      <c r="I2375" t="s">
        <v>58</v>
      </c>
      <c r="J2375">
        <v>7499</v>
      </c>
      <c r="K2375">
        <v>2</v>
      </c>
      <c r="L2375">
        <v>8163.66</v>
      </c>
      <c r="M2375">
        <v>1632.73</v>
      </c>
      <c r="N2375">
        <v>16327.32</v>
      </c>
      <c r="O2375">
        <v>14694.59</v>
      </c>
      <c r="P2375" t="s">
        <v>2111</v>
      </c>
      <c r="Q2375" t="s">
        <v>1170</v>
      </c>
    </row>
    <row r="2376" spans="1:17" x14ac:dyDescent="0.3">
      <c r="A2376" t="s">
        <v>410</v>
      </c>
      <c r="B2376" t="s">
        <v>409</v>
      </c>
      <c r="C2376" s="1">
        <v>46046</v>
      </c>
      <c r="D2376" t="s">
        <v>34</v>
      </c>
      <c r="E2376" t="s">
        <v>50</v>
      </c>
      <c r="F2376" t="s">
        <v>47</v>
      </c>
      <c r="G2376" t="s">
        <v>165</v>
      </c>
      <c r="H2376" t="s">
        <v>166</v>
      </c>
      <c r="I2376" t="s">
        <v>29</v>
      </c>
      <c r="J2376">
        <v>449</v>
      </c>
      <c r="K2376">
        <v>1</v>
      </c>
      <c r="L2376">
        <v>483.49</v>
      </c>
      <c r="M2376">
        <v>96.7</v>
      </c>
      <c r="N2376">
        <v>483.49</v>
      </c>
      <c r="O2376">
        <v>386.79</v>
      </c>
      <c r="P2376" t="s">
        <v>2111</v>
      </c>
      <c r="Q2376" t="s">
        <v>23</v>
      </c>
    </row>
    <row r="2377" spans="1:17" x14ac:dyDescent="0.3">
      <c r="A2377" t="s">
        <v>2429</v>
      </c>
      <c r="B2377" t="s">
        <v>2430</v>
      </c>
      <c r="C2377" s="1">
        <v>46025</v>
      </c>
      <c r="D2377" t="s">
        <v>34</v>
      </c>
      <c r="E2377" t="s">
        <v>50</v>
      </c>
      <c r="F2377" t="s">
        <v>74</v>
      </c>
      <c r="G2377" t="s">
        <v>51</v>
      </c>
      <c r="H2377" t="s">
        <v>52</v>
      </c>
      <c r="I2377" t="s">
        <v>20</v>
      </c>
      <c r="J2377">
        <v>999</v>
      </c>
      <c r="K2377">
        <v>1</v>
      </c>
      <c r="L2377">
        <v>915.86</v>
      </c>
      <c r="M2377">
        <v>91.59</v>
      </c>
      <c r="N2377">
        <v>915.86</v>
      </c>
      <c r="O2377">
        <v>824.27</v>
      </c>
      <c r="P2377" t="s">
        <v>2111</v>
      </c>
      <c r="Q2377" t="s">
        <v>23</v>
      </c>
    </row>
    <row r="2378" spans="1:17" x14ac:dyDescent="0.3">
      <c r="A2378" t="s">
        <v>1735</v>
      </c>
      <c r="B2378" t="s">
        <v>1734</v>
      </c>
      <c r="C2378" s="1">
        <v>46166</v>
      </c>
      <c r="D2378" t="s">
        <v>34</v>
      </c>
      <c r="E2378" t="s">
        <v>17</v>
      </c>
      <c r="F2378" t="s">
        <v>31</v>
      </c>
      <c r="G2378" t="s">
        <v>149</v>
      </c>
      <c r="H2378" t="s">
        <v>150</v>
      </c>
      <c r="I2378" t="s">
        <v>37</v>
      </c>
      <c r="J2378">
        <v>2999</v>
      </c>
      <c r="K2378">
        <v>1</v>
      </c>
      <c r="L2378">
        <v>3008.99</v>
      </c>
      <c r="M2378">
        <v>300.89999999999998</v>
      </c>
      <c r="N2378">
        <v>3008.99</v>
      </c>
      <c r="O2378">
        <v>2708.09</v>
      </c>
      <c r="P2378" t="s">
        <v>2111</v>
      </c>
      <c r="Q2378" t="s">
        <v>1479</v>
      </c>
    </row>
    <row r="2379" spans="1:17" x14ac:dyDescent="0.3">
      <c r="A2379" t="s">
        <v>1355</v>
      </c>
      <c r="B2379" t="s">
        <v>207</v>
      </c>
      <c r="C2379" s="1">
        <v>46133</v>
      </c>
      <c r="D2379" t="s">
        <v>26</v>
      </c>
      <c r="E2379" t="s">
        <v>50</v>
      </c>
      <c r="F2379" t="s">
        <v>60</v>
      </c>
      <c r="G2379" t="s">
        <v>112</v>
      </c>
      <c r="H2379" t="s">
        <v>113</v>
      </c>
      <c r="I2379" t="s">
        <v>37</v>
      </c>
      <c r="J2379">
        <v>1499</v>
      </c>
      <c r="K2379">
        <v>1</v>
      </c>
      <c r="L2379">
        <v>1416.57</v>
      </c>
      <c r="M2379">
        <v>141.66</v>
      </c>
      <c r="N2379">
        <v>1416.57</v>
      </c>
      <c r="O2379">
        <v>1274.9100000000001</v>
      </c>
      <c r="P2379" t="s">
        <v>2111</v>
      </c>
      <c r="Q2379" t="s">
        <v>1170</v>
      </c>
    </row>
    <row r="2380" spans="1:17" x14ac:dyDescent="0.3">
      <c r="A2380" t="s">
        <v>2709</v>
      </c>
      <c r="B2380" t="s">
        <v>2130</v>
      </c>
      <c r="C2380" s="1">
        <v>46120</v>
      </c>
      <c r="D2380" t="s">
        <v>16</v>
      </c>
      <c r="E2380" t="s">
        <v>17</v>
      </c>
      <c r="F2380" t="s">
        <v>74</v>
      </c>
      <c r="G2380" t="s">
        <v>160</v>
      </c>
      <c r="H2380" t="s">
        <v>161</v>
      </c>
      <c r="I2380" t="s">
        <v>82</v>
      </c>
      <c r="J2380">
        <v>799</v>
      </c>
      <c r="K2380">
        <v>2</v>
      </c>
      <c r="L2380">
        <v>784.74</v>
      </c>
      <c r="M2380">
        <v>235.42</v>
      </c>
      <c r="N2380">
        <v>1569.48</v>
      </c>
      <c r="O2380">
        <v>1334.06</v>
      </c>
      <c r="P2380" t="s">
        <v>2111</v>
      </c>
      <c r="Q2380" t="s">
        <v>1170</v>
      </c>
    </row>
    <row r="2381" spans="1:17" x14ac:dyDescent="0.3">
      <c r="A2381" t="s">
        <v>1549</v>
      </c>
      <c r="B2381" t="s">
        <v>533</v>
      </c>
      <c r="C2381" s="1">
        <v>46149</v>
      </c>
      <c r="D2381" t="s">
        <v>26</v>
      </c>
      <c r="E2381" t="s">
        <v>50</v>
      </c>
      <c r="F2381" t="s">
        <v>74</v>
      </c>
      <c r="G2381" t="s">
        <v>101</v>
      </c>
      <c r="H2381" t="s">
        <v>102</v>
      </c>
      <c r="I2381" t="s">
        <v>45</v>
      </c>
      <c r="J2381">
        <v>4999</v>
      </c>
      <c r="K2381">
        <v>2</v>
      </c>
      <c r="L2381">
        <v>5375.77</v>
      </c>
      <c r="M2381">
        <v>0</v>
      </c>
      <c r="N2381">
        <v>10751.54</v>
      </c>
      <c r="O2381">
        <v>10751.54</v>
      </c>
      <c r="P2381" t="s">
        <v>2111</v>
      </c>
      <c r="Q2381" t="s">
        <v>1479</v>
      </c>
    </row>
    <row r="2382" spans="1:17" x14ac:dyDescent="0.3">
      <c r="A2382" t="s">
        <v>2301</v>
      </c>
      <c r="B2382" t="s">
        <v>2302</v>
      </c>
      <c r="C2382" s="1">
        <v>46114</v>
      </c>
      <c r="D2382" t="s">
        <v>34</v>
      </c>
      <c r="E2382" t="s">
        <v>50</v>
      </c>
      <c r="F2382" t="s">
        <v>74</v>
      </c>
      <c r="G2382" t="s">
        <v>250</v>
      </c>
      <c r="H2382" t="s">
        <v>251</v>
      </c>
      <c r="I2382" t="s">
        <v>108</v>
      </c>
      <c r="J2382">
        <v>899</v>
      </c>
      <c r="K2382">
        <v>1</v>
      </c>
      <c r="L2382">
        <v>903.95</v>
      </c>
      <c r="M2382">
        <v>135.59</v>
      </c>
      <c r="N2382">
        <v>903.95</v>
      </c>
      <c r="O2382">
        <v>768.36</v>
      </c>
      <c r="P2382" t="s">
        <v>2111</v>
      </c>
      <c r="Q2382" t="s">
        <v>1170</v>
      </c>
    </row>
    <row r="2383" spans="1:17" x14ac:dyDescent="0.3">
      <c r="A2383" t="s">
        <v>2765</v>
      </c>
      <c r="B2383" t="s">
        <v>2766</v>
      </c>
      <c r="C2383" s="1">
        <v>46067</v>
      </c>
      <c r="D2383" t="s">
        <v>16</v>
      </c>
      <c r="E2383" t="s">
        <v>17</v>
      </c>
      <c r="F2383" t="s">
        <v>60</v>
      </c>
      <c r="G2383" t="s">
        <v>35</v>
      </c>
      <c r="H2383" t="s">
        <v>36</v>
      </c>
      <c r="I2383" t="s">
        <v>37</v>
      </c>
      <c r="J2383">
        <v>799</v>
      </c>
      <c r="K2383">
        <v>1</v>
      </c>
      <c r="L2383">
        <v>772.51</v>
      </c>
      <c r="M2383">
        <v>77.25</v>
      </c>
      <c r="N2383">
        <v>772.51</v>
      </c>
      <c r="O2383">
        <v>695.26</v>
      </c>
      <c r="P2383" t="s">
        <v>2111</v>
      </c>
      <c r="Q2383" t="s">
        <v>498</v>
      </c>
    </row>
    <row r="2384" spans="1:17" x14ac:dyDescent="0.3">
      <c r="A2384" t="s">
        <v>2947</v>
      </c>
      <c r="B2384" t="s">
        <v>2948</v>
      </c>
      <c r="C2384" s="1">
        <v>46137</v>
      </c>
      <c r="D2384" t="s">
        <v>34</v>
      </c>
      <c r="E2384" t="s">
        <v>17</v>
      </c>
      <c r="F2384" t="s">
        <v>60</v>
      </c>
      <c r="G2384" t="s">
        <v>56</v>
      </c>
      <c r="H2384" t="s">
        <v>57</v>
      </c>
      <c r="I2384" t="s">
        <v>58</v>
      </c>
      <c r="J2384">
        <v>8999</v>
      </c>
      <c r="K2384">
        <v>1</v>
      </c>
      <c r="L2384">
        <v>8473.26</v>
      </c>
      <c r="M2384">
        <v>0</v>
      </c>
      <c r="N2384">
        <v>8473.26</v>
      </c>
      <c r="O2384">
        <v>8473.26</v>
      </c>
      <c r="P2384" t="s">
        <v>2111</v>
      </c>
      <c r="Q2384" t="s">
        <v>1170</v>
      </c>
    </row>
    <row r="2385" spans="1:17" x14ac:dyDescent="0.3">
      <c r="A2385" t="s">
        <v>88</v>
      </c>
      <c r="B2385" t="s">
        <v>85</v>
      </c>
      <c r="C2385" s="1">
        <v>46024</v>
      </c>
      <c r="D2385" t="s">
        <v>34</v>
      </c>
      <c r="E2385" t="s">
        <v>17</v>
      </c>
      <c r="F2385" t="s">
        <v>74</v>
      </c>
      <c r="G2385" t="s">
        <v>191</v>
      </c>
      <c r="H2385" t="s">
        <v>192</v>
      </c>
      <c r="I2385" t="s">
        <v>45</v>
      </c>
      <c r="J2385">
        <v>699</v>
      </c>
      <c r="K2385">
        <v>1</v>
      </c>
      <c r="L2385">
        <v>740.99</v>
      </c>
      <c r="M2385">
        <v>111.15</v>
      </c>
      <c r="N2385">
        <v>740.99</v>
      </c>
      <c r="O2385">
        <v>629.84</v>
      </c>
      <c r="P2385" t="s">
        <v>2111</v>
      </c>
      <c r="Q2385" t="s">
        <v>23</v>
      </c>
    </row>
    <row r="2386" spans="1:17" x14ac:dyDescent="0.3">
      <c r="A2386" t="s">
        <v>2146</v>
      </c>
      <c r="B2386" t="s">
        <v>2147</v>
      </c>
      <c r="C2386" s="1">
        <v>46084</v>
      </c>
      <c r="D2386" t="s">
        <v>34</v>
      </c>
      <c r="E2386" t="s">
        <v>17</v>
      </c>
      <c r="F2386" t="s">
        <v>60</v>
      </c>
      <c r="G2386" t="s">
        <v>27</v>
      </c>
      <c r="H2386" t="s">
        <v>28</v>
      </c>
      <c r="I2386" t="s">
        <v>29</v>
      </c>
      <c r="J2386">
        <v>1599</v>
      </c>
      <c r="K2386">
        <v>1</v>
      </c>
      <c r="L2386">
        <v>1638.82</v>
      </c>
      <c r="M2386">
        <v>81.94</v>
      </c>
      <c r="N2386">
        <v>1638.82</v>
      </c>
      <c r="O2386">
        <v>1556.88</v>
      </c>
      <c r="P2386" t="s">
        <v>2111</v>
      </c>
      <c r="Q2386" t="s">
        <v>789</v>
      </c>
    </row>
    <row r="2387" spans="1:17" x14ac:dyDescent="0.3">
      <c r="A2387" t="s">
        <v>575</v>
      </c>
      <c r="B2387" t="s">
        <v>574</v>
      </c>
      <c r="C2387" s="1">
        <v>46061</v>
      </c>
      <c r="D2387" t="s">
        <v>34</v>
      </c>
      <c r="E2387" t="s">
        <v>17</v>
      </c>
      <c r="F2387" t="s">
        <v>22</v>
      </c>
      <c r="G2387" t="s">
        <v>250</v>
      </c>
      <c r="H2387" t="s">
        <v>251</v>
      </c>
      <c r="I2387" t="s">
        <v>108</v>
      </c>
      <c r="J2387">
        <v>899</v>
      </c>
      <c r="K2387">
        <v>1</v>
      </c>
      <c r="L2387">
        <v>893.26</v>
      </c>
      <c r="M2387">
        <v>0</v>
      </c>
      <c r="N2387">
        <v>893.26</v>
      </c>
      <c r="O2387">
        <v>893.26</v>
      </c>
      <c r="P2387" t="s">
        <v>2111</v>
      </c>
      <c r="Q2387" t="s">
        <v>498</v>
      </c>
    </row>
    <row r="2388" spans="1:17" x14ac:dyDescent="0.3">
      <c r="A2388" t="s">
        <v>1464</v>
      </c>
      <c r="B2388" t="s">
        <v>1463</v>
      </c>
      <c r="C2388" s="1">
        <v>46141</v>
      </c>
      <c r="D2388" t="s">
        <v>16</v>
      </c>
      <c r="E2388" t="s">
        <v>17</v>
      </c>
      <c r="F2388" t="s">
        <v>22</v>
      </c>
      <c r="G2388" t="s">
        <v>250</v>
      </c>
      <c r="H2388" t="s">
        <v>251</v>
      </c>
      <c r="I2388" t="s">
        <v>108</v>
      </c>
      <c r="J2388">
        <v>899</v>
      </c>
      <c r="K2388">
        <v>1</v>
      </c>
      <c r="L2388">
        <v>848.2</v>
      </c>
      <c r="M2388">
        <v>127.23</v>
      </c>
      <c r="N2388">
        <v>848.2</v>
      </c>
      <c r="O2388">
        <v>720.97</v>
      </c>
      <c r="P2388" t="s">
        <v>2111</v>
      </c>
      <c r="Q2388" t="s">
        <v>1170</v>
      </c>
    </row>
    <row r="2389" spans="1:17" x14ac:dyDescent="0.3">
      <c r="A2389" t="s">
        <v>2949</v>
      </c>
      <c r="B2389" t="s">
        <v>482</v>
      </c>
      <c r="C2389" s="1">
        <v>46097</v>
      </c>
      <c r="D2389" t="s">
        <v>16</v>
      </c>
      <c r="E2389" t="s">
        <v>17</v>
      </c>
      <c r="F2389" t="s">
        <v>31</v>
      </c>
      <c r="G2389" t="s">
        <v>91</v>
      </c>
      <c r="H2389" t="s">
        <v>92</v>
      </c>
      <c r="I2389" t="s">
        <v>37</v>
      </c>
      <c r="J2389">
        <v>1899</v>
      </c>
      <c r="K2389">
        <v>1</v>
      </c>
      <c r="L2389">
        <v>1836.05</v>
      </c>
      <c r="M2389">
        <v>367.21</v>
      </c>
      <c r="N2389">
        <v>1836.05</v>
      </c>
      <c r="O2389">
        <v>1468.84</v>
      </c>
      <c r="P2389" t="s">
        <v>2114</v>
      </c>
      <c r="Q2389" t="s">
        <v>789</v>
      </c>
    </row>
    <row r="2390" spans="1:17" x14ac:dyDescent="0.3">
      <c r="A2390" t="s">
        <v>2364</v>
      </c>
      <c r="B2390" t="s">
        <v>2365</v>
      </c>
      <c r="C2390" s="1">
        <v>46047</v>
      </c>
      <c r="D2390" t="s">
        <v>41</v>
      </c>
      <c r="E2390" t="s">
        <v>17</v>
      </c>
      <c r="F2390" t="s">
        <v>60</v>
      </c>
      <c r="G2390" t="s">
        <v>96</v>
      </c>
      <c r="H2390" t="s">
        <v>97</v>
      </c>
      <c r="I2390" t="s">
        <v>58</v>
      </c>
      <c r="J2390">
        <v>7499</v>
      </c>
      <c r="K2390">
        <v>1</v>
      </c>
      <c r="L2390">
        <v>8188.67</v>
      </c>
      <c r="M2390">
        <v>1637.73</v>
      </c>
      <c r="N2390">
        <v>8188.67</v>
      </c>
      <c r="O2390">
        <v>6550.94</v>
      </c>
      <c r="P2390" t="s">
        <v>2111</v>
      </c>
      <c r="Q2390" t="s">
        <v>23</v>
      </c>
    </row>
    <row r="2391" spans="1:17" x14ac:dyDescent="0.3">
      <c r="A2391" t="s">
        <v>2188</v>
      </c>
      <c r="B2391" t="s">
        <v>2189</v>
      </c>
      <c r="C2391" s="1">
        <v>46094</v>
      </c>
      <c r="D2391" t="s">
        <v>34</v>
      </c>
      <c r="E2391" t="s">
        <v>17</v>
      </c>
      <c r="F2391" t="s">
        <v>74</v>
      </c>
      <c r="G2391" t="s">
        <v>80</v>
      </c>
      <c r="H2391" t="s">
        <v>81</v>
      </c>
      <c r="I2391" t="s">
        <v>82</v>
      </c>
      <c r="J2391">
        <v>4299</v>
      </c>
      <c r="K2391">
        <v>1</v>
      </c>
      <c r="L2391">
        <v>4316.2700000000004</v>
      </c>
      <c r="M2391">
        <v>1079.07</v>
      </c>
      <c r="N2391">
        <v>4316.2700000000004</v>
      </c>
      <c r="O2391">
        <v>3237.2</v>
      </c>
      <c r="P2391" t="s">
        <v>2111</v>
      </c>
      <c r="Q2391" t="s">
        <v>789</v>
      </c>
    </row>
    <row r="2392" spans="1:17" x14ac:dyDescent="0.3">
      <c r="A2392" t="s">
        <v>2272</v>
      </c>
      <c r="B2392" t="s">
        <v>2273</v>
      </c>
      <c r="C2392" s="1">
        <v>46076</v>
      </c>
      <c r="D2392" t="s">
        <v>41</v>
      </c>
      <c r="E2392" t="s">
        <v>50</v>
      </c>
      <c r="F2392" t="s">
        <v>22</v>
      </c>
      <c r="G2392" t="s">
        <v>191</v>
      </c>
      <c r="H2392" t="s">
        <v>192</v>
      </c>
      <c r="I2392" t="s">
        <v>45</v>
      </c>
      <c r="J2392">
        <v>699</v>
      </c>
      <c r="K2392">
        <v>2</v>
      </c>
      <c r="L2392">
        <v>685.12</v>
      </c>
      <c r="M2392">
        <v>274.05</v>
      </c>
      <c r="N2392">
        <v>1370.24</v>
      </c>
      <c r="O2392">
        <v>1096.19</v>
      </c>
      <c r="P2392" t="s">
        <v>2111</v>
      </c>
      <c r="Q2392" t="s">
        <v>498</v>
      </c>
    </row>
    <row r="2393" spans="1:17" x14ac:dyDescent="0.3">
      <c r="A2393" t="s">
        <v>2950</v>
      </c>
      <c r="B2393" t="s">
        <v>2951</v>
      </c>
      <c r="C2393" s="1">
        <v>46023</v>
      </c>
      <c r="D2393" t="s">
        <v>63</v>
      </c>
      <c r="E2393" t="s">
        <v>42</v>
      </c>
      <c r="F2393" t="s">
        <v>74</v>
      </c>
      <c r="G2393" t="s">
        <v>250</v>
      </c>
      <c r="H2393" t="s">
        <v>251</v>
      </c>
      <c r="I2393" t="s">
        <v>108</v>
      </c>
      <c r="J2393">
        <v>899</v>
      </c>
      <c r="K2393">
        <v>1</v>
      </c>
      <c r="L2393">
        <v>902.85</v>
      </c>
      <c r="M2393">
        <v>0</v>
      </c>
      <c r="N2393">
        <v>902.85</v>
      </c>
      <c r="O2393">
        <v>902.85</v>
      </c>
      <c r="P2393" t="s">
        <v>2111</v>
      </c>
      <c r="Q2393" t="s">
        <v>23</v>
      </c>
    </row>
    <row r="2394" spans="1:17" x14ac:dyDescent="0.3">
      <c r="A2394" t="s">
        <v>1544</v>
      </c>
      <c r="B2394" t="s">
        <v>1543</v>
      </c>
      <c r="C2394" s="1">
        <v>46148</v>
      </c>
      <c r="D2394" t="s">
        <v>16</v>
      </c>
      <c r="E2394" t="s">
        <v>17</v>
      </c>
      <c r="F2394" t="s">
        <v>31</v>
      </c>
      <c r="G2394" t="s">
        <v>250</v>
      </c>
      <c r="H2394" t="s">
        <v>251</v>
      </c>
      <c r="I2394" t="s">
        <v>108</v>
      </c>
      <c r="J2394">
        <v>899</v>
      </c>
      <c r="K2394">
        <v>4</v>
      </c>
      <c r="L2394">
        <v>949.16</v>
      </c>
      <c r="M2394">
        <v>379.66</v>
      </c>
      <c r="N2394">
        <v>3796.64</v>
      </c>
      <c r="O2394">
        <v>3416.98</v>
      </c>
      <c r="P2394" t="s">
        <v>2111</v>
      </c>
      <c r="Q2394" t="s">
        <v>1479</v>
      </c>
    </row>
    <row r="2395" spans="1:17" x14ac:dyDescent="0.3">
      <c r="A2395" t="s">
        <v>264</v>
      </c>
      <c r="B2395" t="s">
        <v>263</v>
      </c>
      <c r="C2395" s="1">
        <v>46035</v>
      </c>
      <c r="D2395" t="s">
        <v>16</v>
      </c>
      <c r="E2395" t="s">
        <v>50</v>
      </c>
      <c r="F2395" t="s">
        <v>31</v>
      </c>
      <c r="G2395" t="s">
        <v>86</v>
      </c>
      <c r="H2395" t="s">
        <v>87</v>
      </c>
      <c r="I2395" t="s">
        <v>82</v>
      </c>
      <c r="J2395">
        <v>3499</v>
      </c>
      <c r="K2395">
        <v>1</v>
      </c>
      <c r="L2395">
        <v>3387.11</v>
      </c>
      <c r="M2395">
        <v>508.07</v>
      </c>
      <c r="N2395">
        <v>3387.11</v>
      </c>
      <c r="O2395">
        <v>2879.04</v>
      </c>
      <c r="P2395" t="s">
        <v>2111</v>
      </c>
      <c r="Q2395" t="s">
        <v>23</v>
      </c>
    </row>
    <row r="2396" spans="1:17" x14ac:dyDescent="0.3">
      <c r="A2396" t="s">
        <v>2251</v>
      </c>
      <c r="B2396" t="s">
        <v>1216</v>
      </c>
      <c r="C2396" s="1">
        <v>46084</v>
      </c>
      <c r="D2396" t="s">
        <v>26</v>
      </c>
      <c r="E2396" t="s">
        <v>17</v>
      </c>
      <c r="F2396" t="s">
        <v>60</v>
      </c>
      <c r="G2396" t="s">
        <v>80</v>
      </c>
      <c r="H2396" t="s">
        <v>81</v>
      </c>
      <c r="I2396" t="s">
        <v>82</v>
      </c>
      <c r="J2396">
        <v>4299</v>
      </c>
      <c r="K2396">
        <v>1</v>
      </c>
      <c r="L2396">
        <v>4022.75</v>
      </c>
      <c r="M2396">
        <v>201.14</v>
      </c>
      <c r="N2396">
        <v>4022.75</v>
      </c>
      <c r="O2396">
        <v>3821.61</v>
      </c>
      <c r="P2396" t="s">
        <v>2111</v>
      </c>
      <c r="Q2396" t="s">
        <v>789</v>
      </c>
    </row>
    <row r="2397" spans="1:17" x14ac:dyDescent="0.3">
      <c r="A2397" t="s">
        <v>2952</v>
      </c>
      <c r="B2397" t="s">
        <v>2636</v>
      </c>
      <c r="C2397" s="1">
        <v>46162</v>
      </c>
      <c r="D2397" t="s">
        <v>26</v>
      </c>
      <c r="E2397" t="s">
        <v>50</v>
      </c>
      <c r="F2397" t="s">
        <v>47</v>
      </c>
      <c r="G2397" t="s">
        <v>18</v>
      </c>
      <c r="H2397" t="s">
        <v>19</v>
      </c>
      <c r="I2397" t="s">
        <v>20</v>
      </c>
      <c r="J2397">
        <v>2799</v>
      </c>
      <c r="K2397">
        <v>1</v>
      </c>
      <c r="L2397">
        <v>2846.55</v>
      </c>
      <c r="M2397">
        <v>284.66000000000003</v>
      </c>
      <c r="N2397">
        <v>2846.55</v>
      </c>
      <c r="O2397">
        <v>2561.89</v>
      </c>
      <c r="P2397" t="s">
        <v>2111</v>
      </c>
      <c r="Q2397" t="s">
        <v>1479</v>
      </c>
    </row>
    <row r="2398" spans="1:17" x14ac:dyDescent="0.3">
      <c r="A2398" t="s">
        <v>1002</v>
      </c>
      <c r="B2398" t="s">
        <v>1001</v>
      </c>
      <c r="C2398" s="1">
        <v>46097</v>
      </c>
      <c r="D2398" t="s">
        <v>26</v>
      </c>
      <c r="E2398" t="s">
        <v>17</v>
      </c>
      <c r="F2398" t="s">
        <v>60</v>
      </c>
      <c r="G2398" t="s">
        <v>18</v>
      </c>
      <c r="H2398" t="s">
        <v>19</v>
      </c>
      <c r="I2398" t="s">
        <v>20</v>
      </c>
      <c r="J2398">
        <v>2799</v>
      </c>
      <c r="K2398">
        <v>1</v>
      </c>
      <c r="L2398">
        <v>2891.48</v>
      </c>
      <c r="M2398">
        <v>289.14999999999998</v>
      </c>
      <c r="N2398">
        <v>2891.48</v>
      </c>
      <c r="O2398">
        <v>2602.33</v>
      </c>
      <c r="P2398" t="s">
        <v>2111</v>
      </c>
      <c r="Q2398" t="s">
        <v>789</v>
      </c>
    </row>
    <row r="2399" spans="1:17" x14ac:dyDescent="0.3">
      <c r="A2399" t="s">
        <v>2952</v>
      </c>
      <c r="B2399" t="s">
        <v>2636</v>
      </c>
      <c r="C2399" s="1">
        <v>46162</v>
      </c>
      <c r="D2399" t="s">
        <v>26</v>
      </c>
      <c r="E2399" t="s">
        <v>50</v>
      </c>
      <c r="F2399" t="s">
        <v>47</v>
      </c>
      <c r="G2399" t="s">
        <v>101</v>
      </c>
      <c r="H2399" t="s">
        <v>102</v>
      </c>
      <c r="I2399" t="s">
        <v>45</v>
      </c>
      <c r="J2399">
        <v>4999</v>
      </c>
      <c r="K2399">
        <v>2</v>
      </c>
      <c r="L2399">
        <v>5211.68</v>
      </c>
      <c r="M2399">
        <v>521.16999999999996</v>
      </c>
      <c r="N2399">
        <v>10423.36</v>
      </c>
      <c r="O2399">
        <v>9902.19</v>
      </c>
      <c r="P2399" t="s">
        <v>2111</v>
      </c>
      <c r="Q2399" t="s">
        <v>1479</v>
      </c>
    </row>
    <row r="2400" spans="1:17" x14ac:dyDescent="0.3">
      <c r="A2400" t="s">
        <v>1205</v>
      </c>
      <c r="B2400" t="s">
        <v>427</v>
      </c>
      <c r="C2400" s="1">
        <v>46117</v>
      </c>
      <c r="D2400" t="s">
        <v>16</v>
      </c>
      <c r="E2400" t="s">
        <v>17</v>
      </c>
      <c r="F2400" t="s">
        <v>47</v>
      </c>
      <c r="G2400" t="s">
        <v>43</v>
      </c>
      <c r="H2400" t="s">
        <v>44</v>
      </c>
      <c r="I2400" t="s">
        <v>45</v>
      </c>
      <c r="J2400">
        <v>3299</v>
      </c>
      <c r="K2400">
        <v>1</v>
      </c>
      <c r="L2400">
        <v>3551.04</v>
      </c>
      <c r="M2400">
        <v>710.21</v>
      </c>
      <c r="N2400">
        <v>3551.04</v>
      </c>
      <c r="O2400">
        <v>2840.83</v>
      </c>
      <c r="P2400" t="s">
        <v>2111</v>
      </c>
      <c r="Q2400" t="s">
        <v>1170</v>
      </c>
    </row>
    <row r="2401" spans="1:17" x14ac:dyDescent="0.3">
      <c r="A2401" t="s">
        <v>2953</v>
      </c>
      <c r="B2401" t="s">
        <v>2889</v>
      </c>
      <c r="C2401" s="1">
        <v>46037</v>
      </c>
      <c r="D2401" t="s">
        <v>41</v>
      </c>
      <c r="E2401" t="s">
        <v>17</v>
      </c>
      <c r="F2401" t="s">
        <v>47</v>
      </c>
      <c r="G2401" t="s">
        <v>355</v>
      </c>
      <c r="H2401" t="s">
        <v>356</v>
      </c>
      <c r="I2401" t="s">
        <v>82</v>
      </c>
      <c r="J2401">
        <v>499</v>
      </c>
      <c r="K2401">
        <v>3</v>
      </c>
      <c r="L2401">
        <v>486.14</v>
      </c>
      <c r="M2401">
        <v>145.84</v>
      </c>
      <c r="N2401">
        <v>1458.42</v>
      </c>
      <c r="O2401">
        <v>1312.58</v>
      </c>
      <c r="P2401" t="s">
        <v>2111</v>
      </c>
      <c r="Q2401" t="s">
        <v>23</v>
      </c>
    </row>
    <row r="2402" spans="1:17" x14ac:dyDescent="0.3">
      <c r="A2402" t="s">
        <v>688</v>
      </c>
      <c r="B2402" t="s">
        <v>687</v>
      </c>
      <c r="C2402" s="1">
        <v>46072</v>
      </c>
      <c r="D2402" t="s">
        <v>34</v>
      </c>
      <c r="E2402" t="s">
        <v>50</v>
      </c>
      <c r="F2402" t="s">
        <v>31</v>
      </c>
      <c r="G2402" t="s">
        <v>35</v>
      </c>
      <c r="H2402" t="s">
        <v>36</v>
      </c>
      <c r="I2402" t="s">
        <v>37</v>
      </c>
      <c r="J2402">
        <v>799</v>
      </c>
      <c r="K2402">
        <v>3</v>
      </c>
      <c r="L2402">
        <v>731.14</v>
      </c>
      <c r="M2402">
        <v>219.34</v>
      </c>
      <c r="N2402">
        <v>2193.42</v>
      </c>
      <c r="O2402">
        <v>1974.08</v>
      </c>
      <c r="P2402" t="s">
        <v>2111</v>
      </c>
      <c r="Q2402" t="s">
        <v>498</v>
      </c>
    </row>
    <row r="2403" spans="1:17" x14ac:dyDescent="0.3">
      <c r="A2403" t="s">
        <v>1203</v>
      </c>
      <c r="B2403" t="s">
        <v>742</v>
      </c>
      <c r="C2403" s="1">
        <v>46117</v>
      </c>
      <c r="D2403" t="s">
        <v>26</v>
      </c>
      <c r="E2403" t="s">
        <v>17</v>
      </c>
      <c r="F2403" t="s">
        <v>47</v>
      </c>
      <c r="G2403" t="s">
        <v>149</v>
      </c>
      <c r="H2403" t="s">
        <v>150</v>
      </c>
      <c r="I2403" t="s">
        <v>37</v>
      </c>
      <c r="J2403">
        <v>2999</v>
      </c>
      <c r="K2403">
        <v>1</v>
      </c>
      <c r="L2403">
        <v>3273.92</v>
      </c>
      <c r="M2403">
        <v>818.48</v>
      </c>
      <c r="N2403">
        <v>3273.92</v>
      </c>
      <c r="O2403">
        <v>2455.44</v>
      </c>
      <c r="P2403" t="s">
        <v>2111</v>
      </c>
      <c r="Q2403" t="s">
        <v>1170</v>
      </c>
    </row>
    <row r="2404" spans="1:17" x14ac:dyDescent="0.3">
      <c r="A2404" t="s">
        <v>1005</v>
      </c>
      <c r="B2404" t="s">
        <v>1004</v>
      </c>
      <c r="C2404" s="1">
        <v>46098</v>
      </c>
      <c r="D2404" t="s">
        <v>16</v>
      </c>
      <c r="E2404" t="s">
        <v>17</v>
      </c>
      <c r="F2404" t="s">
        <v>31</v>
      </c>
      <c r="G2404" t="s">
        <v>18</v>
      </c>
      <c r="H2404" t="s">
        <v>19</v>
      </c>
      <c r="I2404" t="s">
        <v>20</v>
      </c>
      <c r="J2404">
        <v>2799</v>
      </c>
      <c r="K2404">
        <v>1</v>
      </c>
      <c r="L2404">
        <v>2762.62</v>
      </c>
      <c r="M2404">
        <v>276.26</v>
      </c>
      <c r="N2404">
        <v>2762.62</v>
      </c>
      <c r="O2404">
        <v>2486.36</v>
      </c>
      <c r="P2404" t="s">
        <v>2111</v>
      </c>
      <c r="Q2404" t="s">
        <v>789</v>
      </c>
    </row>
    <row r="2405" spans="1:17" x14ac:dyDescent="0.3">
      <c r="A2405" t="s">
        <v>685</v>
      </c>
      <c r="B2405" t="s">
        <v>684</v>
      </c>
      <c r="C2405" s="1">
        <v>46072</v>
      </c>
      <c r="D2405" t="s">
        <v>16</v>
      </c>
      <c r="E2405" t="s">
        <v>17</v>
      </c>
      <c r="F2405" t="s">
        <v>74</v>
      </c>
      <c r="G2405" t="s">
        <v>56</v>
      </c>
      <c r="H2405" t="s">
        <v>57</v>
      </c>
      <c r="I2405" t="s">
        <v>58</v>
      </c>
      <c r="J2405">
        <v>8999</v>
      </c>
      <c r="K2405">
        <v>2</v>
      </c>
      <c r="L2405">
        <v>9220.84</v>
      </c>
      <c r="M2405">
        <v>0</v>
      </c>
      <c r="N2405">
        <v>18441.68</v>
      </c>
      <c r="O2405">
        <v>18441.68</v>
      </c>
      <c r="P2405" t="s">
        <v>2111</v>
      </c>
      <c r="Q2405" t="s">
        <v>498</v>
      </c>
    </row>
    <row r="2406" spans="1:17" x14ac:dyDescent="0.3">
      <c r="A2406" t="s">
        <v>1555</v>
      </c>
      <c r="B2406" t="s">
        <v>1554</v>
      </c>
      <c r="C2406" s="1">
        <v>46150</v>
      </c>
      <c r="D2406" t="s">
        <v>26</v>
      </c>
      <c r="E2406" t="s">
        <v>50</v>
      </c>
      <c r="F2406" t="s">
        <v>47</v>
      </c>
      <c r="G2406" t="s">
        <v>35</v>
      </c>
      <c r="H2406" t="s">
        <v>36</v>
      </c>
      <c r="I2406" t="s">
        <v>37</v>
      </c>
      <c r="J2406">
        <v>799</v>
      </c>
      <c r="K2406">
        <v>1</v>
      </c>
      <c r="L2406">
        <v>825.58</v>
      </c>
      <c r="M2406">
        <v>82.56</v>
      </c>
      <c r="N2406">
        <v>825.58</v>
      </c>
      <c r="O2406">
        <v>743.02</v>
      </c>
      <c r="P2406" t="s">
        <v>2111</v>
      </c>
      <c r="Q2406" t="s">
        <v>1479</v>
      </c>
    </row>
    <row r="2407" spans="1:17" x14ac:dyDescent="0.3">
      <c r="A2407" t="s">
        <v>1732</v>
      </c>
      <c r="B2407" t="s">
        <v>1731</v>
      </c>
      <c r="C2407" s="1">
        <v>46166</v>
      </c>
      <c r="D2407" t="s">
        <v>63</v>
      </c>
      <c r="E2407" t="s">
        <v>17</v>
      </c>
      <c r="F2407" t="s">
        <v>60</v>
      </c>
      <c r="G2407" t="s">
        <v>56</v>
      </c>
      <c r="H2407" t="s">
        <v>57</v>
      </c>
      <c r="I2407" t="s">
        <v>58</v>
      </c>
      <c r="J2407">
        <v>8999</v>
      </c>
      <c r="K2407">
        <v>2</v>
      </c>
      <c r="L2407">
        <v>9082.7199999999993</v>
      </c>
      <c r="M2407">
        <v>2724.82</v>
      </c>
      <c r="N2407">
        <v>18165.439999999999</v>
      </c>
      <c r="O2407">
        <v>15440.62</v>
      </c>
      <c r="P2407" t="s">
        <v>2111</v>
      </c>
      <c r="Q2407" t="s">
        <v>1479</v>
      </c>
    </row>
    <row r="2408" spans="1:17" x14ac:dyDescent="0.3">
      <c r="A2408" t="s">
        <v>2352</v>
      </c>
      <c r="B2408" t="s">
        <v>2353</v>
      </c>
      <c r="C2408" s="1">
        <v>46075</v>
      </c>
      <c r="D2408" t="s">
        <v>63</v>
      </c>
      <c r="E2408" t="s">
        <v>50</v>
      </c>
      <c r="F2408" t="s">
        <v>47</v>
      </c>
      <c r="G2408" t="s">
        <v>27</v>
      </c>
      <c r="H2408" t="s">
        <v>28</v>
      </c>
      <c r="I2408" t="s">
        <v>29</v>
      </c>
      <c r="J2408">
        <v>1599</v>
      </c>
      <c r="K2408">
        <v>1</v>
      </c>
      <c r="L2408">
        <v>1504.74</v>
      </c>
      <c r="M2408">
        <v>225.71</v>
      </c>
      <c r="N2408">
        <v>1504.74</v>
      </c>
      <c r="O2408">
        <v>1279.03</v>
      </c>
      <c r="P2408" t="s">
        <v>2111</v>
      </c>
      <c r="Q2408" t="s">
        <v>498</v>
      </c>
    </row>
    <row r="2409" spans="1:17" x14ac:dyDescent="0.3">
      <c r="A2409" t="s">
        <v>109</v>
      </c>
      <c r="B2409" t="s">
        <v>105</v>
      </c>
      <c r="C2409" s="1">
        <v>46026</v>
      </c>
      <c r="D2409" t="s">
        <v>16</v>
      </c>
      <c r="E2409" t="s">
        <v>17</v>
      </c>
      <c r="F2409" t="s">
        <v>22</v>
      </c>
      <c r="G2409" t="s">
        <v>43</v>
      </c>
      <c r="H2409" t="s">
        <v>44</v>
      </c>
      <c r="I2409" t="s">
        <v>45</v>
      </c>
      <c r="J2409">
        <v>3299</v>
      </c>
      <c r="K2409">
        <v>1</v>
      </c>
      <c r="L2409">
        <v>3467.34</v>
      </c>
      <c r="M2409">
        <v>520.1</v>
      </c>
      <c r="N2409">
        <v>3467.34</v>
      </c>
      <c r="O2409">
        <v>2947.24</v>
      </c>
      <c r="P2409" t="s">
        <v>2114</v>
      </c>
      <c r="Q2409" t="s">
        <v>23</v>
      </c>
    </row>
    <row r="2410" spans="1:17" x14ac:dyDescent="0.3">
      <c r="A2410" t="s">
        <v>706</v>
      </c>
      <c r="B2410" t="s">
        <v>705</v>
      </c>
      <c r="C2410" s="1">
        <v>46074</v>
      </c>
      <c r="D2410" t="s">
        <v>63</v>
      </c>
      <c r="E2410" t="s">
        <v>17</v>
      </c>
      <c r="F2410" t="s">
        <v>74</v>
      </c>
      <c r="G2410" t="s">
        <v>250</v>
      </c>
      <c r="H2410" t="s">
        <v>251</v>
      </c>
      <c r="I2410" t="s">
        <v>108</v>
      </c>
      <c r="J2410">
        <v>899</v>
      </c>
      <c r="K2410">
        <v>1</v>
      </c>
      <c r="L2410">
        <v>953.61</v>
      </c>
      <c r="M2410">
        <v>143.04</v>
      </c>
      <c r="N2410">
        <v>953.61</v>
      </c>
      <c r="O2410">
        <v>810.57</v>
      </c>
      <c r="P2410" t="s">
        <v>2111</v>
      </c>
      <c r="Q2410" t="s">
        <v>498</v>
      </c>
    </row>
    <row r="2411" spans="1:17" x14ac:dyDescent="0.3">
      <c r="A2411" t="s">
        <v>788</v>
      </c>
      <c r="B2411" t="s">
        <v>278</v>
      </c>
      <c r="C2411" s="1">
        <v>46082</v>
      </c>
      <c r="D2411" t="s">
        <v>63</v>
      </c>
      <c r="E2411" t="s">
        <v>42</v>
      </c>
      <c r="F2411" t="s">
        <v>31</v>
      </c>
      <c r="G2411" t="s">
        <v>96</v>
      </c>
      <c r="H2411" t="s">
        <v>97</v>
      </c>
      <c r="I2411" t="s">
        <v>58</v>
      </c>
      <c r="J2411">
        <v>7499</v>
      </c>
      <c r="K2411">
        <v>1</v>
      </c>
      <c r="L2411">
        <v>7578.45</v>
      </c>
      <c r="M2411">
        <v>378.92</v>
      </c>
      <c r="N2411">
        <v>7578.45</v>
      </c>
      <c r="O2411">
        <v>7199.53</v>
      </c>
      <c r="P2411" t="s">
        <v>2111</v>
      </c>
      <c r="Q2411" t="s">
        <v>789</v>
      </c>
    </row>
    <row r="2412" spans="1:17" x14ac:dyDescent="0.3">
      <c r="A2412" t="s">
        <v>2682</v>
      </c>
      <c r="B2412" t="s">
        <v>225</v>
      </c>
      <c r="C2412" s="1">
        <v>46070</v>
      </c>
      <c r="D2412" t="s">
        <v>26</v>
      </c>
      <c r="E2412" t="s">
        <v>17</v>
      </c>
      <c r="F2412" t="s">
        <v>31</v>
      </c>
      <c r="G2412" t="s">
        <v>91</v>
      </c>
      <c r="H2412" t="s">
        <v>92</v>
      </c>
      <c r="I2412" t="s">
        <v>37</v>
      </c>
      <c r="J2412">
        <v>1899</v>
      </c>
      <c r="K2412">
        <v>3</v>
      </c>
      <c r="L2412">
        <v>1894.66</v>
      </c>
      <c r="M2412">
        <v>1136.8</v>
      </c>
      <c r="N2412">
        <v>5683.98</v>
      </c>
      <c r="O2412">
        <v>4547.18</v>
      </c>
      <c r="P2412" t="s">
        <v>2111</v>
      </c>
      <c r="Q2412" t="s">
        <v>498</v>
      </c>
    </row>
    <row r="2413" spans="1:17" x14ac:dyDescent="0.3">
      <c r="A2413" t="s">
        <v>2310</v>
      </c>
      <c r="B2413" t="s">
        <v>2311</v>
      </c>
      <c r="C2413" s="1">
        <v>46113</v>
      </c>
      <c r="D2413" t="s">
        <v>41</v>
      </c>
      <c r="E2413" t="s">
        <v>42</v>
      </c>
      <c r="F2413" t="s">
        <v>22</v>
      </c>
      <c r="G2413" t="s">
        <v>191</v>
      </c>
      <c r="H2413" t="s">
        <v>192</v>
      </c>
      <c r="I2413" t="s">
        <v>45</v>
      </c>
      <c r="J2413">
        <v>699</v>
      </c>
      <c r="K2413">
        <v>1</v>
      </c>
      <c r="L2413">
        <v>645.03</v>
      </c>
      <c r="M2413">
        <v>129.01</v>
      </c>
      <c r="N2413">
        <v>645.03</v>
      </c>
      <c r="O2413">
        <v>516.02</v>
      </c>
      <c r="P2413" t="s">
        <v>2114</v>
      </c>
      <c r="Q2413" t="s">
        <v>1170</v>
      </c>
    </row>
    <row r="2414" spans="1:17" x14ac:dyDescent="0.3">
      <c r="A2414" t="s">
        <v>2593</v>
      </c>
      <c r="B2414" t="s">
        <v>2594</v>
      </c>
      <c r="C2414" s="1">
        <v>46139</v>
      </c>
      <c r="D2414" t="s">
        <v>41</v>
      </c>
      <c r="E2414" t="s">
        <v>17</v>
      </c>
      <c r="F2414" t="s">
        <v>60</v>
      </c>
      <c r="G2414" t="s">
        <v>27</v>
      </c>
      <c r="H2414" t="s">
        <v>28</v>
      </c>
      <c r="I2414" t="s">
        <v>29</v>
      </c>
      <c r="J2414">
        <v>1599</v>
      </c>
      <c r="K2414">
        <v>2</v>
      </c>
      <c r="L2414">
        <v>1465.95</v>
      </c>
      <c r="M2414">
        <v>0</v>
      </c>
      <c r="N2414">
        <v>2931.9</v>
      </c>
      <c r="O2414">
        <v>2931.9</v>
      </c>
      <c r="P2414" t="s">
        <v>2111</v>
      </c>
      <c r="Q2414" t="s">
        <v>1170</v>
      </c>
    </row>
    <row r="2415" spans="1:17" x14ac:dyDescent="0.3">
      <c r="A2415" t="s">
        <v>2131</v>
      </c>
      <c r="B2415" t="s">
        <v>90</v>
      </c>
      <c r="C2415" s="1">
        <v>46073</v>
      </c>
      <c r="D2415" t="s">
        <v>34</v>
      </c>
      <c r="E2415" t="s">
        <v>17</v>
      </c>
      <c r="F2415" t="s">
        <v>60</v>
      </c>
      <c r="G2415" t="s">
        <v>43</v>
      </c>
      <c r="H2415" t="s">
        <v>44</v>
      </c>
      <c r="I2415" t="s">
        <v>45</v>
      </c>
      <c r="J2415">
        <v>3299</v>
      </c>
      <c r="K2415">
        <v>1</v>
      </c>
      <c r="L2415">
        <v>3193.14</v>
      </c>
      <c r="M2415">
        <v>0</v>
      </c>
      <c r="N2415">
        <v>3193.14</v>
      </c>
      <c r="O2415">
        <v>3193.14</v>
      </c>
      <c r="P2415" t="s">
        <v>2111</v>
      </c>
      <c r="Q2415" t="s">
        <v>498</v>
      </c>
    </row>
    <row r="2416" spans="1:17" x14ac:dyDescent="0.3">
      <c r="A2416" t="s">
        <v>2556</v>
      </c>
      <c r="B2416" t="s">
        <v>2557</v>
      </c>
      <c r="C2416" s="1">
        <v>46030</v>
      </c>
      <c r="D2416" t="s">
        <v>41</v>
      </c>
      <c r="E2416" t="s">
        <v>50</v>
      </c>
      <c r="F2416" t="s">
        <v>47</v>
      </c>
      <c r="G2416" t="s">
        <v>101</v>
      </c>
      <c r="H2416" t="s">
        <v>102</v>
      </c>
      <c r="I2416" t="s">
        <v>45</v>
      </c>
      <c r="J2416">
        <v>4999</v>
      </c>
      <c r="K2416">
        <v>1</v>
      </c>
      <c r="L2416">
        <v>4809.88</v>
      </c>
      <c r="M2416">
        <v>1202.47</v>
      </c>
      <c r="N2416">
        <v>4809.88</v>
      </c>
      <c r="O2416">
        <v>3607.41</v>
      </c>
      <c r="P2416" t="s">
        <v>2111</v>
      </c>
      <c r="Q2416" t="s">
        <v>23</v>
      </c>
    </row>
    <row r="2417" spans="1:17" x14ac:dyDescent="0.3">
      <c r="A2417" t="s">
        <v>1753</v>
      </c>
      <c r="B2417" t="s">
        <v>1752</v>
      </c>
      <c r="C2417" s="1">
        <v>46168</v>
      </c>
      <c r="D2417" t="s">
        <v>16</v>
      </c>
      <c r="E2417" t="s">
        <v>17</v>
      </c>
      <c r="F2417" t="s">
        <v>47</v>
      </c>
      <c r="G2417" t="s">
        <v>56</v>
      </c>
      <c r="H2417" t="s">
        <v>57</v>
      </c>
      <c r="I2417" t="s">
        <v>58</v>
      </c>
      <c r="J2417">
        <v>8999</v>
      </c>
      <c r="K2417">
        <v>1</v>
      </c>
      <c r="L2417">
        <v>9815.49</v>
      </c>
      <c r="M2417">
        <v>1963.1</v>
      </c>
      <c r="N2417">
        <v>9815.49</v>
      </c>
      <c r="O2417">
        <v>7852.39</v>
      </c>
      <c r="P2417" t="s">
        <v>2111</v>
      </c>
      <c r="Q2417" t="s">
        <v>1479</v>
      </c>
    </row>
    <row r="2418" spans="1:17" x14ac:dyDescent="0.3">
      <c r="A2418" t="s">
        <v>1901</v>
      </c>
      <c r="B2418" t="s">
        <v>938</v>
      </c>
      <c r="C2418" s="1">
        <v>46182</v>
      </c>
      <c r="D2418" t="s">
        <v>26</v>
      </c>
      <c r="E2418" t="s">
        <v>17</v>
      </c>
      <c r="F2418" t="s">
        <v>74</v>
      </c>
      <c r="G2418" t="s">
        <v>91</v>
      </c>
      <c r="H2418" t="s">
        <v>92</v>
      </c>
      <c r="I2418" t="s">
        <v>37</v>
      </c>
      <c r="J2418">
        <v>1899</v>
      </c>
      <c r="K2418">
        <v>1</v>
      </c>
      <c r="L2418">
        <v>2006.72</v>
      </c>
      <c r="M2418">
        <v>401.34</v>
      </c>
      <c r="N2418">
        <v>2006.72</v>
      </c>
      <c r="O2418">
        <v>1605.38</v>
      </c>
      <c r="P2418" t="s">
        <v>2114</v>
      </c>
      <c r="Q2418" t="s">
        <v>1809</v>
      </c>
    </row>
    <row r="2419" spans="1:17" x14ac:dyDescent="0.3">
      <c r="A2419" t="s">
        <v>1697</v>
      </c>
      <c r="B2419" t="s">
        <v>1696</v>
      </c>
      <c r="C2419" s="1">
        <v>46161</v>
      </c>
      <c r="D2419" t="s">
        <v>41</v>
      </c>
      <c r="E2419" t="s">
        <v>17</v>
      </c>
      <c r="F2419" t="s">
        <v>22</v>
      </c>
      <c r="G2419" t="s">
        <v>80</v>
      </c>
      <c r="H2419" t="s">
        <v>81</v>
      </c>
      <c r="I2419" t="s">
        <v>82</v>
      </c>
      <c r="J2419">
        <v>4299</v>
      </c>
      <c r="K2419">
        <v>1</v>
      </c>
      <c r="L2419">
        <v>4436.5</v>
      </c>
      <c r="M2419">
        <v>887.3</v>
      </c>
      <c r="N2419">
        <v>4436.5</v>
      </c>
      <c r="O2419">
        <v>3549.2</v>
      </c>
      <c r="P2419" t="s">
        <v>2111</v>
      </c>
      <c r="Q2419" t="s">
        <v>1479</v>
      </c>
    </row>
    <row r="2420" spans="1:17" x14ac:dyDescent="0.3">
      <c r="A2420" t="s">
        <v>1438</v>
      </c>
      <c r="B2420" t="s">
        <v>1437</v>
      </c>
      <c r="C2420" s="1">
        <v>46139</v>
      </c>
      <c r="D2420" t="s">
        <v>16</v>
      </c>
      <c r="E2420" t="s">
        <v>50</v>
      </c>
      <c r="F2420" t="s">
        <v>47</v>
      </c>
      <c r="G2420" t="s">
        <v>56</v>
      </c>
      <c r="H2420" t="s">
        <v>57</v>
      </c>
      <c r="I2420" t="s">
        <v>58</v>
      </c>
      <c r="J2420">
        <v>8999</v>
      </c>
      <c r="K2420">
        <v>1</v>
      </c>
      <c r="L2420">
        <v>9030.76</v>
      </c>
      <c r="M2420">
        <v>903.08</v>
      </c>
      <c r="N2420">
        <v>9030.76</v>
      </c>
      <c r="O2420">
        <v>8127.68</v>
      </c>
      <c r="P2420" t="s">
        <v>2111</v>
      </c>
      <c r="Q2420" t="s">
        <v>1170</v>
      </c>
    </row>
    <row r="2421" spans="1:17" x14ac:dyDescent="0.3">
      <c r="A2421" t="s">
        <v>936</v>
      </c>
      <c r="B2421" t="s">
        <v>935</v>
      </c>
      <c r="C2421" s="1">
        <v>46092</v>
      </c>
      <c r="D2421" t="s">
        <v>34</v>
      </c>
      <c r="E2421" t="s">
        <v>17</v>
      </c>
      <c r="F2421" t="s">
        <v>74</v>
      </c>
      <c r="G2421" t="s">
        <v>27</v>
      </c>
      <c r="H2421" t="s">
        <v>28</v>
      </c>
      <c r="I2421" t="s">
        <v>29</v>
      </c>
      <c r="J2421">
        <v>1599</v>
      </c>
      <c r="K2421">
        <v>2</v>
      </c>
      <c r="L2421">
        <v>1492.62</v>
      </c>
      <c r="M2421">
        <v>447.79</v>
      </c>
      <c r="N2421">
        <v>2985.24</v>
      </c>
      <c r="O2421">
        <v>2537.4499999999998</v>
      </c>
      <c r="P2421" t="s">
        <v>2111</v>
      </c>
      <c r="Q2421" t="s">
        <v>789</v>
      </c>
    </row>
    <row r="2422" spans="1:17" x14ac:dyDescent="0.3">
      <c r="A2422" t="s">
        <v>587</v>
      </c>
      <c r="B2422" t="s">
        <v>586</v>
      </c>
      <c r="C2422" s="1">
        <v>46062</v>
      </c>
      <c r="D2422" t="s">
        <v>26</v>
      </c>
      <c r="E2422" t="s">
        <v>17</v>
      </c>
      <c r="F2422" t="s">
        <v>74</v>
      </c>
      <c r="G2422" t="s">
        <v>86</v>
      </c>
      <c r="H2422" t="s">
        <v>87</v>
      </c>
      <c r="I2422" t="s">
        <v>82</v>
      </c>
      <c r="J2422">
        <v>3499</v>
      </c>
      <c r="K2422">
        <v>1</v>
      </c>
      <c r="L2422">
        <v>3833.82</v>
      </c>
      <c r="M2422">
        <v>383.38</v>
      </c>
      <c r="N2422">
        <v>3833.82</v>
      </c>
      <c r="O2422">
        <v>3450.44</v>
      </c>
      <c r="P2422" t="s">
        <v>2111</v>
      </c>
      <c r="Q2422" t="s">
        <v>498</v>
      </c>
    </row>
    <row r="2423" spans="1:17" x14ac:dyDescent="0.3">
      <c r="A2423" t="s">
        <v>2954</v>
      </c>
      <c r="B2423" t="s">
        <v>2144</v>
      </c>
      <c r="C2423" s="1">
        <v>46082</v>
      </c>
      <c r="D2423" t="s">
        <v>34</v>
      </c>
      <c r="E2423" t="s">
        <v>17</v>
      </c>
      <c r="F2423" t="s">
        <v>22</v>
      </c>
      <c r="G2423" t="s">
        <v>250</v>
      </c>
      <c r="H2423" t="s">
        <v>251</v>
      </c>
      <c r="I2423" t="s">
        <v>108</v>
      </c>
      <c r="J2423">
        <v>899</v>
      </c>
      <c r="K2423">
        <v>1</v>
      </c>
      <c r="L2423">
        <v>876.53</v>
      </c>
      <c r="M2423">
        <v>0</v>
      </c>
      <c r="N2423">
        <v>876.53</v>
      </c>
      <c r="O2423">
        <v>876.53</v>
      </c>
      <c r="P2423" t="s">
        <v>2111</v>
      </c>
      <c r="Q2423" t="s">
        <v>789</v>
      </c>
    </row>
    <row r="2424" spans="1:17" x14ac:dyDescent="0.3">
      <c r="A2424" t="s">
        <v>2955</v>
      </c>
      <c r="B2424" t="s">
        <v>2956</v>
      </c>
      <c r="C2424" s="1">
        <v>46185</v>
      </c>
      <c r="D2424" t="s">
        <v>16</v>
      </c>
      <c r="E2424" t="s">
        <v>17</v>
      </c>
      <c r="F2424" t="s">
        <v>60</v>
      </c>
      <c r="G2424" t="s">
        <v>56</v>
      </c>
      <c r="H2424" t="s">
        <v>57</v>
      </c>
      <c r="I2424" t="s">
        <v>58</v>
      </c>
      <c r="J2424">
        <v>8999</v>
      </c>
      <c r="K2424">
        <v>2</v>
      </c>
      <c r="L2424">
        <v>8291.5400000000009</v>
      </c>
      <c r="M2424">
        <v>2487.46</v>
      </c>
      <c r="N2424">
        <v>16583.080000000002</v>
      </c>
      <c r="O2424">
        <v>14095.62</v>
      </c>
      <c r="P2424" t="s">
        <v>2111</v>
      </c>
      <c r="Q2424" t="s">
        <v>1809</v>
      </c>
    </row>
    <row r="2425" spans="1:17" x14ac:dyDescent="0.3">
      <c r="A2425" t="s">
        <v>2164</v>
      </c>
      <c r="B2425" t="s">
        <v>2165</v>
      </c>
      <c r="C2425" s="1">
        <v>46090</v>
      </c>
      <c r="D2425" t="s">
        <v>16</v>
      </c>
      <c r="E2425" t="s">
        <v>17</v>
      </c>
      <c r="F2425" t="s">
        <v>31</v>
      </c>
      <c r="G2425" t="s">
        <v>51</v>
      </c>
      <c r="H2425" t="s">
        <v>52</v>
      </c>
      <c r="I2425" t="s">
        <v>20</v>
      </c>
      <c r="J2425">
        <v>999</v>
      </c>
      <c r="K2425">
        <v>2</v>
      </c>
      <c r="L2425">
        <v>997.76</v>
      </c>
      <c r="M2425">
        <v>199.55</v>
      </c>
      <c r="N2425">
        <v>1995.52</v>
      </c>
      <c r="O2425">
        <v>1795.97</v>
      </c>
      <c r="P2425" t="s">
        <v>2111</v>
      </c>
      <c r="Q2425" t="s">
        <v>789</v>
      </c>
    </row>
    <row r="2426" spans="1:17" x14ac:dyDescent="0.3">
      <c r="A2426" t="s">
        <v>1887</v>
      </c>
      <c r="B2426" t="s">
        <v>116</v>
      </c>
      <c r="C2426" s="1">
        <v>46180</v>
      </c>
      <c r="D2426" t="s">
        <v>34</v>
      </c>
      <c r="E2426" t="s">
        <v>50</v>
      </c>
      <c r="F2426" t="s">
        <v>31</v>
      </c>
      <c r="G2426" t="s">
        <v>165</v>
      </c>
      <c r="H2426" t="s">
        <v>166</v>
      </c>
      <c r="I2426" t="s">
        <v>29</v>
      </c>
      <c r="J2426">
        <v>449</v>
      </c>
      <c r="K2426">
        <v>1</v>
      </c>
      <c r="L2426">
        <v>482.59</v>
      </c>
      <c r="M2426">
        <v>72.39</v>
      </c>
      <c r="N2426">
        <v>482.59</v>
      </c>
      <c r="O2426">
        <v>410.2</v>
      </c>
      <c r="P2426" t="s">
        <v>2111</v>
      </c>
      <c r="Q2426" t="s">
        <v>1809</v>
      </c>
    </row>
    <row r="2427" spans="1:17" x14ac:dyDescent="0.3">
      <c r="A2427" t="s">
        <v>2520</v>
      </c>
      <c r="B2427" t="s">
        <v>2521</v>
      </c>
      <c r="C2427" s="1">
        <v>46048</v>
      </c>
      <c r="D2427" t="s">
        <v>34</v>
      </c>
      <c r="E2427" t="s">
        <v>50</v>
      </c>
      <c r="F2427" t="s">
        <v>31</v>
      </c>
      <c r="G2427" t="s">
        <v>43</v>
      </c>
      <c r="H2427" t="s">
        <v>44</v>
      </c>
      <c r="I2427" t="s">
        <v>45</v>
      </c>
      <c r="J2427">
        <v>3299</v>
      </c>
      <c r="K2427">
        <v>1</v>
      </c>
      <c r="L2427">
        <v>3554.53</v>
      </c>
      <c r="M2427">
        <v>355.45</v>
      </c>
      <c r="N2427">
        <v>3554.53</v>
      </c>
      <c r="O2427">
        <v>3199.08</v>
      </c>
      <c r="P2427" t="s">
        <v>2111</v>
      </c>
      <c r="Q2427" t="s">
        <v>23</v>
      </c>
    </row>
    <row r="2428" spans="1:17" x14ac:dyDescent="0.3">
      <c r="A2428" t="s">
        <v>1874</v>
      </c>
      <c r="B2428" t="s">
        <v>1873</v>
      </c>
      <c r="C2428" s="1">
        <v>46178</v>
      </c>
      <c r="D2428" t="s">
        <v>41</v>
      </c>
      <c r="E2428" t="s">
        <v>50</v>
      </c>
      <c r="F2428" t="s">
        <v>31</v>
      </c>
      <c r="G2428" t="s">
        <v>86</v>
      </c>
      <c r="H2428" t="s">
        <v>87</v>
      </c>
      <c r="I2428" t="s">
        <v>82</v>
      </c>
      <c r="J2428">
        <v>3499</v>
      </c>
      <c r="K2428">
        <v>3</v>
      </c>
      <c r="L2428">
        <v>3156.77</v>
      </c>
      <c r="M2428">
        <v>947.03</v>
      </c>
      <c r="N2428">
        <v>9470.31</v>
      </c>
      <c r="O2428">
        <v>8523.2800000000007</v>
      </c>
      <c r="P2428" t="s">
        <v>2111</v>
      </c>
      <c r="Q2428" t="s">
        <v>1809</v>
      </c>
    </row>
    <row r="2429" spans="1:17" x14ac:dyDescent="0.3">
      <c r="A2429" t="s">
        <v>1776</v>
      </c>
      <c r="B2429" t="s">
        <v>1775</v>
      </c>
      <c r="C2429" s="1">
        <v>46170</v>
      </c>
      <c r="D2429" t="s">
        <v>41</v>
      </c>
      <c r="E2429" t="s">
        <v>50</v>
      </c>
      <c r="F2429" t="s">
        <v>22</v>
      </c>
      <c r="G2429" t="s">
        <v>91</v>
      </c>
      <c r="H2429" t="s">
        <v>92</v>
      </c>
      <c r="I2429" t="s">
        <v>37</v>
      </c>
      <c r="J2429">
        <v>1899</v>
      </c>
      <c r="K2429">
        <v>1</v>
      </c>
      <c r="L2429">
        <v>2045.72</v>
      </c>
      <c r="M2429">
        <v>0</v>
      </c>
      <c r="N2429">
        <v>2045.72</v>
      </c>
      <c r="O2429">
        <v>2045.72</v>
      </c>
      <c r="P2429" t="s">
        <v>2111</v>
      </c>
      <c r="Q2429" t="s">
        <v>1479</v>
      </c>
    </row>
    <row r="2430" spans="1:17" x14ac:dyDescent="0.3">
      <c r="A2430" t="s">
        <v>2514</v>
      </c>
      <c r="B2430" t="s">
        <v>2515</v>
      </c>
      <c r="C2430" s="1">
        <v>46085</v>
      </c>
      <c r="D2430" t="s">
        <v>16</v>
      </c>
      <c r="E2430" t="s">
        <v>17</v>
      </c>
      <c r="F2430" t="s">
        <v>47</v>
      </c>
      <c r="G2430" t="s">
        <v>80</v>
      </c>
      <c r="H2430" t="s">
        <v>81</v>
      </c>
      <c r="I2430" t="s">
        <v>82</v>
      </c>
      <c r="J2430">
        <v>4299</v>
      </c>
      <c r="K2430">
        <v>1</v>
      </c>
      <c r="L2430">
        <v>4102.5200000000004</v>
      </c>
      <c r="M2430">
        <v>205.13</v>
      </c>
      <c r="N2430">
        <v>4102.5200000000004</v>
      </c>
      <c r="O2430">
        <v>3897.39</v>
      </c>
      <c r="P2430" t="s">
        <v>2111</v>
      </c>
      <c r="Q2430" t="s">
        <v>789</v>
      </c>
    </row>
    <row r="2431" spans="1:17" x14ac:dyDescent="0.3">
      <c r="A2431" t="s">
        <v>853</v>
      </c>
      <c r="B2431" t="s">
        <v>852</v>
      </c>
      <c r="C2431" s="1">
        <v>46086</v>
      </c>
      <c r="D2431" t="s">
        <v>16</v>
      </c>
      <c r="E2431" t="s">
        <v>17</v>
      </c>
      <c r="F2431" t="s">
        <v>31</v>
      </c>
      <c r="G2431" t="s">
        <v>165</v>
      </c>
      <c r="H2431" t="s">
        <v>166</v>
      </c>
      <c r="I2431" t="s">
        <v>29</v>
      </c>
      <c r="J2431">
        <v>449</v>
      </c>
      <c r="K2431">
        <v>1</v>
      </c>
      <c r="L2431">
        <v>407.6</v>
      </c>
      <c r="M2431">
        <v>0</v>
      </c>
      <c r="N2431">
        <v>407.6</v>
      </c>
      <c r="O2431">
        <v>407.6</v>
      </c>
      <c r="P2431" t="s">
        <v>2111</v>
      </c>
      <c r="Q2431" t="s">
        <v>789</v>
      </c>
    </row>
    <row r="2432" spans="1:17" x14ac:dyDescent="0.3">
      <c r="A2432" t="s">
        <v>2957</v>
      </c>
      <c r="B2432" t="s">
        <v>14</v>
      </c>
      <c r="C2432" s="1">
        <v>46121</v>
      </c>
      <c r="D2432" t="s">
        <v>26</v>
      </c>
      <c r="E2432" t="s">
        <v>50</v>
      </c>
      <c r="F2432" t="s">
        <v>47</v>
      </c>
      <c r="G2432" t="s">
        <v>43</v>
      </c>
      <c r="H2432" t="s">
        <v>44</v>
      </c>
      <c r="I2432" t="s">
        <v>45</v>
      </c>
      <c r="J2432">
        <v>3299</v>
      </c>
      <c r="K2432">
        <v>2</v>
      </c>
      <c r="L2432">
        <v>3528.47</v>
      </c>
      <c r="M2432">
        <v>0</v>
      </c>
      <c r="N2432">
        <v>7056.94</v>
      </c>
      <c r="O2432">
        <v>7056.94</v>
      </c>
      <c r="P2432" t="s">
        <v>2111</v>
      </c>
      <c r="Q2432" t="s">
        <v>1170</v>
      </c>
    </row>
    <row r="2433" spans="1:17" x14ac:dyDescent="0.3">
      <c r="A2433" t="s">
        <v>2787</v>
      </c>
      <c r="B2433" t="s">
        <v>2788</v>
      </c>
      <c r="C2433" s="1">
        <v>46190</v>
      </c>
      <c r="D2433" t="s">
        <v>16</v>
      </c>
      <c r="E2433" t="s">
        <v>17</v>
      </c>
      <c r="F2433" t="s">
        <v>31</v>
      </c>
      <c r="G2433" t="s">
        <v>80</v>
      </c>
      <c r="H2433" t="s">
        <v>81</v>
      </c>
      <c r="I2433" t="s">
        <v>82</v>
      </c>
      <c r="J2433">
        <v>4299</v>
      </c>
      <c r="K2433">
        <v>1</v>
      </c>
      <c r="L2433">
        <v>4611.8500000000004</v>
      </c>
      <c r="M2433">
        <v>1152.96</v>
      </c>
      <c r="N2433">
        <v>4611.8500000000004</v>
      </c>
      <c r="O2433">
        <v>3458.89</v>
      </c>
      <c r="P2433" t="s">
        <v>2111</v>
      </c>
      <c r="Q2433" t="s">
        <v>1809</v>
      </c>
    </row>
    <row r="2434" spans="1:17" x14ac:dyDescent="0.3">
      <c r="A2434" t="s">
        <v>2339</v>
      </c>
      <c r="B2434" t="s">
        <v>1992</v>
      </c>
      <c r="C2434" s="1">
        <v>46138</v>
      </c>
      <c r="D2434" t="s">
        <v>34</v>
      </c>
      <c r="E2434" t="s">
        <v>50</v>
      </c>
      <c r="F2434" t="s">
        <v>31</v>
      </c>
      <c r="G2434" t="s">
        <v>149</v>
      </c>
      <c r="H2434" t="s">
        <v>150</v>
      </c>
      <c r="I2434" t="s">
        <v>37</v>
      </c>
      <c r="J2434">
        <v>2999</v>
      </c>
      <c r="K2434">
        <v>4</v>
      </c>
      <c r="L2434">
        <v>3056.72</v>
      </c>
      <c r="M2434">
        <v>0</v>
      </c>
      <c r="N2434">
        <v>12226.88</v>
      </c>
      <c r="O2434">
        <v>12226.88</v>
      </c>
      <c r="P2434" t="s">
        <v>2111</v>
      </c>
      <c r="Q2434" t="s">
        <v>1170</v>
      </c>
    </row>
    <row r="2435" spans="1:17" x14ac:dyDescent="0.3">
      <c r="A2435" t="s">
        <v>2143</v>
      </c>
      <c r="B2435" t="s">
        <v>2144</v>
      </c>
      <c r="C2435" s="1">
        <v>46066</v>
      </c>
      <c r="D2435" t="s">
        <v>26</v>
      </c>
      <c r="E2435" t="s">
        <v>50</v>
      </c>
      <c r="F2435" t="s">
        <v>47</v>
      </c>
      <c r="G2435" t="s">
        <v>355</v>
      </c>
      <c r="H2435" t="s">
        <v>356</v>
      </c>
      <c r="I2435" t="s">
        <v>82</v>
      </c>
      <c r="J2435">
        <v>499</v>
      </c>
      <c r="K2435">
        <v>1</v>
      </c>
      <c r="L2435">
        <v>506.43</v>
      </c>
      <c r="M2435">
        <v>25.32</v>
      </c>
      <c r="N2435">
        <v>506.43</v>
      </c>
      <c r="O2435">
        <v>481.11</v>
      </c>
      <c r="P2435" t="s">
        <v>2111</v>
      </c>
      <c r="Q2435" t="s">
        <v>498</v>
      </c>
    </row>
    <row r="2436" spans="1:17" x14ac:dyDescent="0.3">
      <c r="A2436" t="s">
        <v>2862</v>
      </c>
      <c r="B2436" t="s">
        <v>2810</v>
      </c>
      <c r="C2436" s="1">
        <v>46155</v>
      </c>
      <c r="D2436" t="s">
        <v>16</v>
      </c>
      <c r="E2436" t="s">
        <v>17</v>
      </c>
      <c r="F2436" t="s">
        <v>74</v>
      </c>
      <c r="G2436" t="s">
        <v>35</v>
      </c>
      <c r="H2436" t="s">
        <v>36</v>
      </c>
      <c r="I2436" t="s">
        <v>37</v>
      </c>
      <c r="J2436">
        <v>799</v>
      </c>
      <c r="K2436">
        <v>2</v>
      </c>
      <c r="L2436">
        <v>849.04</v>
      </c>
      <c r="M2436">
        <v>169.81</v>
      </c>
      <c r="N2436">
        <v>1698.08</v>
      </c>
      <c r="O2436">
        <v>1528.27</v>
      </c>
      <c r="P2436" t="s">
        <v>2111</v>
      </c>
      <c r="Q2436" t="s">
        <v>1479</v>
      </c>
    </row>
    <row r="2437" spans="1:17" x14ac:dyDescent="0.3">
      <c r="A2437" t="s">
        <v>2173</v>
      </c>
      <c r="B2437" t="s">
        <v>2174</v>
      </c>
      <c r="C2437" s="1">
        <v>46151</v>
      </c>
      <c r="D2437" t="s">
        <v>16</v>
      </c>
      <c r="E2437" t="s">
        <v>50</v>
      </c>
      <c r="F2437" t="s">
        <v>74</v>
      </c>
      <c r="G2437" t="s">
        <v>160</v>
      </c>
      <c r="H2437" t="s">
        <v>161</v>
      </c>
      <c r="I2437" t="s">
        <v>82</v>
      </c>
      <c r="J2437">
        <v>799</v>
      </c>
      <c r="K2437">
        <v>1</v>
      </c>
      <c r="L2437">
        <v>844.75</v>
      </c>
      <c r="M2437">
        <v>84.48</v>
      </c>
      <c r="N2437">
        <v>844.75</v>
      </c>
      <c r="O2437">
        <v>760.27</v>
      </c>
      <c r="P2437" t="s">
        <v>2111</v>
      </c>
      <c r="Q2437" t="s">
        <v>1479</v>
      </c>
    </row>
    <row r="2438" spans="1:17" x14ac:dyDescent="0.3">
      <c r="A2438" t="s">
        <v>372</v>
      </c>
      <c r="B2438" t="s">
        <v>371</v>
      </c>
      <c r="C2438" s="1">
        <v>46042</v>
      </c>
      <c r="D2438" t="s">
        <v>16</v>
      </c>
      <c r="E2438" t="s">
        <v>17</v>
      </c>
      <c r="F2438" t="s">
        <v>60</v>
      </c>
      <c r="G2438" t="s">
        <v>106</v>
      </c>
      <c r="H2438" t="s">
        <v>107</v>
      </c>
      <c r="I2438" t="s">
        <v>108</v>
      </c>
      <c r="J2438">
        <v>599</v>
      </c>
      <c r="K2438">
        <v>1</v>
      </c>
      <c r="L2438">
        <v>645.73</v>
      </c>
      <c r="M2438">
        <v>0</v>
      </c>
      <c r="N2438">
        <v>645.73</v>
      </c>
      <c r="O2438">
        <v>645.73</v>
      </c>
      <c r="P2438" t="s">
        <v>2111</v>
      </c>
      <c r="Q2438" t="s">
        <v>23</v>
      </c>
    </row>
    <row r="2439" spans="1:17" x14ac:dyDescent="0.3">
      <c r="A2439" t="s">
        <v>2793</v>
      </c>
      <c r="B2439" t="s">
        <v>824</v>
      </c>
      <c r="C2439" s="1">
        <v>46110</v>
      </c>
      <c r="D2439" t="s">
        <v>34</v>
      </c>
      <c r="E2439" t="s">
        <v>17</v>
      </c>
      <c r="F2439" t="s">
        <v>74</v>
      </c>
      <c r="G2439" t="s">
        <v>56</v>
      </c>
      <c r="H2439" t="s">
        <v>57</v>
      </c>
      <c r="I2439" t="s">
        <v>58</v>
      </c>
      <c r="J2439">
        <v>8999</v>
      </c>
      <c r="K2439">
        <v>3</v>
      </c>
      <c r="L2439">
        <v>9093.93</v>
      </c>
      <c r="M2439">
        <v>4092.27</v>
      </c>
      <c r="N2439">
        <v>27281.79</v>
      </c>
      <c r="O2439">
        <v>23189.52</v>
      </c>
      <c r="P2439" t="s">
        <v>2111</v>
      </c>
      <c r="Q2439" t="s">
        <v>789</v>
      </c>
    </row>
    <row r="2440" spans="1:17" x14ac:dyDescent="0.3">
      <c r="A2440" t="s">
        <v>377</v>
      </c>
      <c r="B2440" t="s">
        <v>343</v>
      </c>
      <c r="C2440" s="1">
        <v>46043</v>
      </c>
      <c r="D2440" t="s">
        <v>26</v>
      </c>
      <c r="E2440" t="s">
        <v>17</v>
      </c>
      <c r="F2440" t="s">
        <v>74</v>
      </c>
      <c r="G2440" t="s">
        <v>18</v>
      </c>
      <c r="H2440" t="s">
        <v>19</v>
      </c>
      <c r="I2440" t="s">
        <v>20</v>
      </c>
      <c r="J2440">
        <v>2799</v>
      </c>
      <c r="K2440">
        <v>1</v>
      </c>
      <c r="L2440">
        <v>3060.79</v>
      </c>
      <c r="M2440">
        <v>459.12</v>
      </c>
      <c r="N2440">
        <v>3060.79</v>
      </c>
      <c r="O2440">
        <v>2601.67</v>
      </c>
      <c r="P2440" t="s">
        <v>2111</v>
      </c>
      <c r="Q2440" t="s">
        <v>23</v>
      </c>
    </row>
    <row r="2441" spans="1:17" x14ac:dyDescent="0.3">
      <c r="A2441" t="s">
        <v>2310</v>
      </c>
      <c r="B2441" t="s">
        <v>2311</v>
      </c>
      <c r="C2441" s="1">
        <v>46113</v>
      </c>
      <c r="D2441" t="s">
        <v>41</v>
      </c>
      <c r="E2441" t="s">
        <v>42</v>
      </c>
      <c r="F2441" t="s">
        <v>22</v>
      </c>
      <c r="G2441" t="s">
        <v>191</v>
      </c>
      <c r="H2441" t="s">
        <v>192</v>
      </c>
      <c r="I2441" t="s">
        <v>45</v>
      </c>
      <c r="J2441">
        <v>699</v>
      </c>
      <c r="K2441">
        <v>1</v>
      </c>
      <c r="L2441">
        <v>768.36</v>
      </c>
      <c r="M2441">
        <v>38.42</v>
      </c>
      <c r="N2441">
        <v>768.36</v>
      </c>
      <c r="O2441">
        <v>729.94</v>
      </c>
      <c r="P2441" t="s">
        <v>2114</v>
      </c>
      <c r="Q2441" t="s">
        <v>1170</v>
      </c>
    </row>
    <row r="2442" spans="1:17" x14ac:dyDescent="0.3">
      <c r="A2442" t="s">
        <v>2587</v>
      </c>
      <c r="B2442" t="s">
        <v>2588</v>
      </c>
      <c r="C2442" s="1">
        <v>46179</v>
      </c>
      <c r="D2442" t="s">
        <v>26</v>
      </c>
      <c r="E2442" t="s">
        <v>50</v>
      </c>
      <c r="F2442" t="s">
        <v>31</v>
      </c>
      <c r="G2442" t="s">
        <v>27</v>
      </c>
      <c r="H2442" t="s">
        <v>28</v>
      </c>
      <c r="I2442" t="s">
        <v>29</v>
      </c>
      <c r="J2442">
        <v>1599</v>
      </c>
      <c r="K2442">
        <v>1</v>
      </c>
      <c r="L2442">
        <v>1476.37</v>
      </c>
      <c r="M2442">
        <v>73.819999999999993</v>
      </c>
      <c r="N2442">
        <v>1476.37</v>
      </c>
      <c r="O2442">
        <v>1402.55</v>
      </c>
      <c r="P2442" t="s">
        <v>2111</v>
      </c>
      <c r="Q2442" t="s">
        <v>1809</v>
      </c>
    </row>
    <row r="2443" spans="1:17" x14ac:dyDescent="0.3">
      <c r="A2443" t="s">
        <v>1632</v>
      </c>
      <c r="B2443" t="s">
        <v>1631</v>
      </c>
      <c r="C2443" s="1">
        <v>46155</v>
      </c>
      <c r="D2443" t="s">
        <v>16</v>
      </c>
      <c r="E2443" t="s">
        <v>17</v>
      </c>
      <c r="F2443" t="s">
        <v>22</v>
      </c>
      <c r="G2443" t="s">
        <v>101</v>
      </c>
      <c r="H2443" t="s">
        <v>102</v>
      </c>
      <c r="I2443" t="s">
        <v>45</v>
      </c>
      <c r="J2443">
        <v>4999</v>
      </c>
      <c r="K2443">
        <v>1</v>
      </c>
      <c r="L2443">
        <v>5348.47</v>
      </c>
      <c r="M2443">
        <v>1069.69</v>
      </c>
      <c r="N2443">
        <v>5348.47</v>
      </c>
      <c r="O2443">
        <v>4278.78</v>
      </c>
      <c r="P2443" t="s">
        <v>2111</v>
      </c>
      <c r="Q2443" t="s">
        <v>1479</v>
      </c>
    </row>
    <row r="2444" spans="1:17" x14ac:dyDescent="0.3">
      <c r="A2444" t="s">
        <v>2785</v>
      </c>
      <c r="B2444" t="s">
        <v>2135</v>
      </c>
      <c r="C2444" s="1">
        <v>46197</v>
      </c>
      <c r="D2444" t="s">
        <v>41</v>
      </c>
      <c r="E2444" t="s">
        <v>50</v>
      </c>
      <c r="F2444" t="s">
        <v>31</v>
      </c>
      <c r="G2444" t="s">
        <v>165</v>
      </c>
      <c r="H2444" t="s">
        <v>166</v>
      </c>
      <c r="I2444" t="s">
        <v>29</v>
      </c>
      <c r="J2444">
        <v>449</v>
      </c>
      <c r="K2444">
        <v>1</v>
      </c>
      <c r="L2444">
        <v>448.98</v>
      </c>
      <c r="M2444">
        <v>67.349999999999994</v>
      </c>
      <c r="N2444">
        <v>448.98</v>
      </c>
      <c r="O2444">
        <v>381.63</v>
      </c>
      <c r="P2444" t="s">
        <v>2111</v>
      </c>
      <c r="Q2444" t="s">
        <v>1809</v>
      </c>
    </row>
    <row r="2445" spans="1:17" x14ac:dyDescent="0.3">
      <c r="A2445" t="s">
        <v>640</v>
      </c>
      <c r="B2445" t="s">
        <v>639</v>
      </c>
      <c r="C2445" s="1">
        <v>46066</v>
      </c>
      <c r="D2445" t="s">
        <v>34</v>
      </c>
      <c r="E2445" t="s">
        <v>17</v>
      </c>
      <c r="F2445" t="s">
        <v>47</v>
      </c>
      <c r="G2445" t="s">
        <v>250</v>
      </c>
      <c r="H2445" t="s">
        <v>251</v>
      </c>
      <c r="I2445" t="s">
        <v>108</v>
      </c>
      <c r="J2445">
        <v>899</v>
      </c>
      <c r="K2445">
        <v>2</v>
      </c>
      <c r="L2445">
        <v>878.78</v>
      </c>
      <c r="M2445">
        <v>263.63</v>
      </c>
      <c r="N2445">
        <v>1757.56</v>
      </c>
      <c r="O2445">
        <v>1493.93</v>
      </c>
      <c r="P2445" t="s">
        <v>2111</v>
      </c>
      <c r="Q2445" t="s">
        <v>498</v>
      </c>
    </row>
    <row r="2446" spans="1:17" x14ac:dyDescent="0.3">
      <c r="A2446" t="s">
        <v>734</v>
      </c>
      <c r="B2446" t="s">
        <v>733</v>
      </c>
      <c r="C2446" s="1">
        <v>46076</v>
      </c>
      <c r="D2446" t="s">
        <v>41</v>
      </c>
      <c r="E2446" t="s">
        <v>50</v>
      </c>
      <c r="F2446" t="s">
        <v>47</v>
      </c>
      <c r="G2446" t="s">
        <v>86</v>
      </c>
      <c r="H2446" t="s">
        <v>87</v>
      </c>
      <c r="I2446" t="s">
        <v>82</v>
      </c>
      <c r="J2446">
        <v>3499</v>
      </c>
      <c r="K2446">
        <v>1</v>
      </c>
      <c r="L2446">
        <v>3578.13</v>
      </c>
      <c r="M2446">
        <v>0</v>
      </c>
      <c r="N2446">
        <v>3578.13</v>
      </c>
      <c r="O2446">
        <v>3578.13</v>
      </c>
      <c r="P2446" t="s">
        <v>2111</v>
      </c>
      <c r="Q2446" t="s">
        <v>498</v>
      </c>
    </row>
    <row r="2447" spans="1:17" x14ac:dyDescent="0.3">
      <c r="A2447" t="s">
        <v>2680</v>
      </c>
      <c r="B2447" t="s">
        <v>987</v>
      </c>
      <c r="C2447" s="1">
        <v>46143</v>
      </c>
      <c r="D2447" t="s">
        <v>26</v>
      </c>
      <c r="E2447" t="s">
        <v>17</v>
      </c>
      <c r="F2447" t="s">
        <v>60</v>
      </c>
      <c r="G2447" t="s">
        <v>91</v>
      </c>
      <c r="H2447" t="s">
        <v>92</v>
      </c>
      <c r="I2447" t="s">
        <v>37</v>
      </c>
      <c r="J2447">
        <v>1899</v>
      </c>
      <c r="K2447">
        <v>1</v>
      </c>
      <c r="L2447">
        <v>1730.36</v>
      </c>
      <c r="M2447">
        <v>173.04</v>
      </c>
      <c r="N2447">
        <v>1730.36</v>
      </c>
      <c r="O2447">
        <v>1557.32</v>
      </c>
      <c r="P2447" t="s">
        <v>2111</v>
      </c>
      <c r="Q2447" t="s">
        <v>1479</v>
      </c>
    </row>
    <row r="2448" spans="1:17" x14ac:dyDescent="0.3">
      <c r="A2448" t="s">
        <v>1921</v>
      </c>
      <c r="B2448" t="s">
        <v>1920</v>
      </c>
      <c r="C2448" s="1">
        <v>46184</v>
      </c>
      <c r="D2448" t="s">
        <v>26</v>
      </c>
      <c r="E2448" t="s">
        <v>17</v>
      </c>
      <c r="F2448" t="s">
        <v>22</v>
      </c>
      <c r="G2448" t="s">
        <v>86</v>
      </c>
      <c r="H2448" t="s">
        <v>87</v>
      </c>
      <c r="I2448" t="s">
        <v>82</v>
      </c>
      <c r="J2448">
        <v>3499</v>
      </c>
      <c r="K2448">
        <v>1</v>
      </c>
      <c r="L2448">
        <v>3503.52</v>
      </c>
      <c r="M2448">
        <v>350.35</v>
      </c>
      <c r="N2448">
        <v>3503.52</v>
      </c>
      <c r="O2448">
        <v>3153.17</v>
      </c>
      <c r="P2448" t="s">
        <v>2111</v>
      </c>
      <c r="Q2448" t="s">
        <v>1809</v>
      </c>
    </row>
    <row r="2449" spans="1:17" x14ac:dyDescent="0.3">
      <c r="A2449" t="s">
        <v>2680</v>
      </c>
      <c r="B2449" t="s">
        <v>987</v>
      </c>
      <c r="C2449" s="1">
        <v>46143</v>
      </c>
      <c r="D2449" t="s">
        <v>26</v>
      </c>
      <c r="E2449" t="s">
        <v>17</v>
      </c>
      <c r="F2449" t="s">
        <v>60</v>
      </c>
      <c r="G2449" t="s">
        <v>149</v>
      </c>
      <c r="H2449" t="s">
        <v>150</v>
      </c>
      <c r="I2449" t="s">
        <v>37</v>
      </c>
      <c r="J2449">
        <v>2999</v>
      </c>
      <c r="K2449">
        <v>2</v>
      </c>
      <c r="L2449">
        <v>3221.46</v>
      </c>
      <c r="M2449">
        <v>0</v>
      </c>
      <c r="N2449">
        <v>6442.92</v>
      </c>
      <c r="O2449">
        <v>6442.92</v>
      </c>
      <c r="P2449" t="s">
        <v>2111</v>
      </c>
      <c r="Q2449" t="s">
        <v>1479</v>
      </c>
    </row>
    <row r="2450" spans="1:17" x14ac:dyDescent="0.3">
      <c r="A2450" t="s">
        <v>528</v>
      </c>
      <c r="B2450" t="s">
        <v>527</v>
      </c>
      <c r="C2450" s="1">
        <v>46056</v>
      </c>
      <c r="D2450" t="s">
        <v>34</v>
      </c>
      <c r="E2450" t="s">
        <v>50</v>
      </c>
      <c r="F2450" t="s">
        <v>31</v>
      </c>
      <c r="G2450" t="s">
        <v>191</v>
      </c>
      <c r="H2450" t="s">
        <v>192</v>
      </c>
      <c r="I2450" t="s">
        <v>45</v>
      </c>
      <c r="J2450">
        <v>699</v>
      </c>
      <c r="K2450">
        <v>2</v>
      </c>
      <c r="L2450">
        <v>658.94</v>
      </c>
      <c r="M2450">
        <v>131.79</v>
      </c>
      <c r="N2450">
        <v>1317.88</v>
      </c>
      <c r="O2450">
        <v>1186.0899999999999</v>
      </c>
      <c r="P2450" t="s">
        <v>2111</v>
      </c>
      <c r="Q2450" t="s">
        <v>498</v>
      </c>
    </row>
    <row r="2451" spans="1:17" x14ac:dyDescent="0.3">
      <c r="A2451" t="s">
        <v>2614</v>
      </c>
      <c r="B2451" t="s">
        <v>2615</v>
      </c>
      <c r="C2451" s="1">
        <v>46124</v>
      </c>
      <c r="D2451" t="s">
        <v>34</v>
      </c>
      <c r="E2451" t="s">
        <v>50</v>
      </c>
      <c r="F2451" t="s">
        <v>74</v>
      </c>
      <c r="G2451" t="s">
        <v>106</v>
      </c>
      <c r="H2451" t="s">
        <v>107</v>
      </c>
      <c r="I2451" t="s">
        <v>108</v>
      </c>
      <c r="J2451">
        <v>599</v>
      </c>
      <c r="K2451">
        <v>1</v>
      </c>
      <c r="L2451">
        <v>590.17999999999995</v>
      </c>
      <c r="M2451">
        <v>59.02</v>
      </c>
      <c r="N2451">
        <v>590.17999999999995</v>
      </c>
      <c r="O2451">
        <v>531.16</v>
      </c>
      <c r="P2451" t="s">
        <v>2111</v>
      </c>
      <c r="Q2451" t="s">
        <v>1170</v>
      </c>
    </row>
    <row r="2452" spans="1:17" x14ac:dyDescent="0.3">
      <c r="A2452" t="s">
        <v>162</v>
      </c>
      <c r="B2452" t="s">
        <v>159</v>
      </c>
      <c r="C2452" s="1">
        <v>46029</v>
      </c>
      <c r="D2452" t="s">
        <v>26</v>
      </c>
      <c r="E2452" t="s">
        <v>17</v>
      </c>
      <c r="F2452" t="s">
        <v>47</v>
      </c>
      <c r="G2452" t="s">
        <v>18</v>
      </c>
      <c r="H2452" t="s">
        <v>19</v>
      </c>
      <c r="I2452" t="s">
        <v>20</v>
      </c>
      <c r="J2452">
        <v>2799</v>
      </c>
      <c r="K2452">
        <v>1</v>
      </c>
      <c r="L2452">
        <v>3045.02</v>
      </c>
      <c r="M2452">
        <v>152.25</v>
      </c>
      <c r="N2452">
        <v>3045.02</v>
      </c>
      <c r="O2452">
        <v>2892.77</v>
      </c>
      <c r="P2452" t="s">
        <v>2111</v>
      </c>
      <c r="Q2452" t="s">
        <v>23</v>
      </c>
    </row>
    <row r="2453" spans="1:17" x14ac:dyDescent="0.3">
      <c r="A2453" t="s">
        <v>1666</v>
      </c>
      <c r="B2453" t="s">
        <v>1665</v>
      </c>
      <c r="C2453" s="1">
        <v>46157</v>
      </c>
      <c r="D2453" t="s">
        <v>16</v>
      </c>
      <c r="E2453" t="s">
        <v>17</v>
      </c>
      <c r="F2453" t="s">
        <v>22</v>
      </c>
      <c r="G2453" t="s">
        <v>27</v>
      </c>
      <c r="H2453" t="s">
        <v>28</v>
      </c>
      <c r="I2453" t="s">
        <v>29</v>
      </c>
      <c r="J2453">
        <v>1599</v>
      </c>
      <c r="K2453">
        <v>3</v>
      </c>
      <c r="L2453">
        <v>1576.15</v>
      </c>
      <c r="M2453">
        <v>709.27</v>
      </c>
      <c r="N2453">
        <v>4728.45</v>
      </c>
      <c r="O2453">
        <v>4019.18</v>
      </c>
      <c r="P2453" t="s">
        <v>2111</v>
      </c>
      <c r="Q2453" t="s">
        <v>1479</v>
      </c>
    </row>
    <row r="2454" spans="1:17" x14ac:dyDescent="0.3">
      <c r="A2454" t="s">
        <v>1491</v>
      </c>
      <c r="B2454" t="s">
        <v>1490</v>
      </c>
      <c r="C2454" s="1">
        <v>46144</v>
      </c>
      <c r="D2454" t="s">
        <v>34</v>
      </c>
      <c r="E2454" t="s">
        <v>50</v>
      </c>
      <c r="F2454" t="s">
        <v>60</v>
      </c>
      <c r="G2454" t="s">
        <v>43</v>
      </c>
      <c r="H2454" t="s">
        <v>44</v>
      </c>
      <c r="I2454" t="s">
        <v>45</v>
      </c>
      <c r="J2454">
        <v>3299</v>
      </c>
      <c r="K2454">
        <v>1</v>
      </c>
      <c r="L2454">
        <v>3205.55</v>
      </c>
      <c r="M2454">
        <v>641.11</v>
      </c>
      <c r="N2454">
        <v>3205.55</v>
      </c>
      <c r="O2454">
        <v>2564.44</v>
      </c>
      <c r="P2454" t="s">
        <v>2111</v>
      </c>
      <c r="Q2454" t="s">
        <v>1479</v>
      </c>
    </row>
    <row r="2455" spans="1:17" x14ac:dyDescent="0.3">
      <c r="A2455" t="s">
        <v>1399</v>
      </c>
      <c r="B2455" t="s">
        <v>1039</v>
      </c>
      <c r="C2455" s="1">
        <v>46136</v>
      </c>
      <c r="D2455" t="s">
        <v>41</v>
      </c>
      <c r="E2455" t="s">
        <v>50</v>
      </c>
      <c r="F2455" t="s">
        <v>74</v>
      </c>
      <c r="G2455" t="s">
        <v>86</v>
      </c>
      <c r="H2455" t="s">
        <v>87</v>
      </c>
      <c r="I2455" t="s">
        <v>82</v>
      </c>
      <c r="J2455">
        <v>3499</v>
      </c>
      <c r="K2455">
        <v>2</v>
      </c>
      <c r="L2455">
        <v>3457.39</v>
      </c>
      <c r="M2455">
        <v>345.74</v>
      </c>
      <c r="N2455">
        <v>6914.78</v>
      </c>
      <c r="O2455">
        <v>6569.04</v>
      </c>
      <c r="P2455" t="s">
        <v>2111</v>
      </c>
      <c r="Q2455" t="s">
        <v>1170</v>
      </c>
    </row>
    <row r="2456" spans="1:17" x14ac:dyDescent="0.3">
      <c r="A2456" t="s">
        <v>701</v>
      </c>
      <c r="B2456" t="s">
        <v>442</v>
      </c>
      <c r="C2456" s="1">
        <v>46073</v>
      </c>
      <c r="D2456" t="s">
        <v>41</v>
      </c>
      <c r="E2456" t="s">
        <v>17</v>
      </c>
      <c r="F2456" t="s">
        <v>22</v>
      </c>
      <c r="G2456" t="s">
        <v>101</v>
      </c>
      <c r="H2456" t="s">
        <v>102</v>
      </c>
      <c r="I2456" t="s">
        <v>45</v>
      </c>
      <c r="J2456">
        <v>4999</v>
      </c>
      <c r="K2456">
        <v>2</v>
      </c>
      <c r="L2456">
        <v>5018.45</v>
      </c>
      <c r="M2456">
        <v>2007.38</v>
      </c>
      <c r="N2456">
        <v>10036.9</v>
      </c>
      <c r="O2456">
        <v>8029.52</v>
      </c>
      <c r="P2456" t="s">
        <v>2111</v>
      </c>
      <c r="Q2456" t="s">
        <v>498</v>
      </c>
    </row>
    <row r="2457" spans="1:17" x14ac:dyDescent="0.3">
      <c r="A2457" t="s">
        <v>2639</v>
      </c>
      <c r="B2457" t="s">
        <v>2640</v>
      </c>
      <c r="C2457" s="1">
        <v>46196</v>
      </c>
      <c r="D2457" t="s">
        <v>63</v>
      </c>
      <c r="E2457" t="s">
        <v>50</v>
      </c>
      <c r="F2457" t="s">
        <v>47</v>
      </c>
      <c r="G2457" t="s">
        <v>96</v>
      </c>
      <c r="H2457" t="s">
        <v>97</v>
      </c>
      <c r="I2457" t="s">
        <v>58</v>
      </c>
      <c r="J2457">
        <v>7499</v>
      </c>
      <c r="K2457">
        <v>2</v>
      </c>
      <c r="L2457">
        <v>7696.96</v>
      </c>
      <c r="M2457">
        <v>0</v>
      </c>
      <c r="N2457">
        <v>15393.92</v>
      </c>
      <c r="O2457">
        <v>15393.92</v>
      </c>
      <c r="P2457" t="s">
        <v>2111</v>
      </c>
      <c r="Q2457" t="s">
        <v>1809</v>
      </c>
    </row>
    <row r="2458" spans="1:17" x14ac:dyDescent="0.3">
      <c r="A2458" t="s">
        <v>2909</v>
      </c>
      <c r="B2458" t="s">
        <v>234</v>
      </c>
      <c r="C2458" s="1">
        <v>46023</v>
      </c>
      <c r="D2458" t="s">
        <v>16</v>
      </c>
      <c r="E2458" t="s">
        <v>17</v>
      </c>
      <c r="F2458" t="s">
        <v>22</v>
      </c>
      <c r="G2458" t="s">
        <v>101</v>
      </c>
      <c r="H2458" t="s">
        <v>102</v>
      </c>
      <c r="I2458" t="s">
        <v>45</v>
      </c>
      <c r="J2458">
        <v>4999</v>
      </c>
      <c r="K2458">
        <v>1</v>
      </c>
      <c r="L2458">
        <v>5299.63</v>
      </c>
      <c r="M2458">
        <v>1059.93</v>
      </c>
      <c r="N2458">
        <v>5299.63</v>
      </c>
      <c r="O2458">
        <v>4239.7</v>
      </c>
      <c r="P2458" t="s">
        <v>2111</v>
      </c>
      <c r="Q2458" t="s">
        <v>23</v>
      </c>
    </row>
    <row r="2459" spans="1:17" x14ac:dyDescent="0.3">
      <c r="A2459" t="s">
        <v>1195</v>
      </c>
      <c r="B2459" t="s">
        <v>514</v>
      </c>
      <c r="C2459" s="1">
        <v>46116</v>
      </c>
      <c r="D2459" t="s">
        <v>34</v>
      </c>
      <c r="E2459" t="s">
        <v>50</v>
      </c>
      <c r="F2459" t="s">
        <v>31</v>
      </c>
      <c r="G2459" t="s">
        <v>165</v>
      </c>
      <c r="H2459" t="s">
        <v>166</v>
      </c>
      <c r="I2459" t="s">
        <v>29</v>
      </c>
      <c r="J2459">
        <v>449</v>
      </c>
      <c r="K2459">
        <v>2</v>
      </c>
      <c r="L2459">
        <v>444.7</v>
      </c>
      <c r="M2459">
        <v>0</v>
      </c>
      <c r="N2459">
        <v>889.4</v>
      </c>
      <c r="O2459">
        <v>889.4</v>
      </c>
      <c r="P2459" t="s">
        <v>2111</v>
      </c>
      <c r="Q2459" t="s">
        <v>1170</v>
      </c>
    </row>
    <row r="2460" spans="1:17" x14ac:dyDescent="0.3">
      <c r="A2460" t="s">
        <v>1984</v>
      </c>
      <c r="B2460" t="s">
        <v>1983</v>
      </c>
      <c r="C2460" s="1">
        <v>46193</v>
      </c>
      <c r="D2460" t="s">
        <v>41</v>
      </c>
      <c r="E2460" t="s">
        <v>17</v>
      </c>
      <c r="F2460" t="s">
        <v>22</v>
      </c>
      <c r="G2460" t="s">
        <v>106</v>
      </c>
      <c r="H2460" t="s">
        <v>107</v>
      </c>
      <c r="I2460" t="s">
        <v>108</v>
      </c>
      <c r="J2460">
        <v>599</v>
      </c>
      <c r="K2460">
        <v>2</v>
      </c>
      <c r="L2460">
        <v>637.03</v>
      </c>
      <c r="M2460">
        <v>0</v>
      </c>
      <c r="N2460">
        <v>1274.06</v>
      </c>
      <c r="O2460">
        <v>1274.06</v>
      </c>
      <c r="P2460" t="s">
        <v>2114</v>
      </c>
      <c r="Q2460" t="s">
        <v>1809</v>
      </c>
    </row>
    <row r="2461" spans="1:17" x14ac:dyDescent="0.3">
      <c r="A2461" t="s">
        <v>2006</v>
      </c>
      <c r="B2461" t="s">
        <v>2005</v>
      </c>
      <c r="C2461" s="1">
        <v>46195</v>
      </c>
      <c r="D2461" t="s">
        <v>16</v>
      </c>
      <c r="E2461" t="s">
        <v>50</v>
      </c>
      <c r="F2461" t="s">
        <v>74</v>
      </c>
      <c r="G2461" t="s">
        <v>112</v>
      </c>
      <c r="H2461" t="s">
        <v>113</v>
      </c>
      <c r="I2461" t="s">
        <v>37</v>
      </c>
      <c r="J2461">
        <v>1499</v>
      </c>
      <c r="K2461">
        <v>1</v>
      </c>
      <c r="L2461">
        <v>1509.11</v>
      </c>
      <c r="M2461">
        <v>226.37</v>
      </c>
      <c r="N2461">
        <v>1509.11</v>
      </c>
      <c r="O2461">
        <v>1282.74</v>
      </c>
      <c r="P2461" t="s">
        <v>2111</v>
      </c>
      <c r="Q2461" t="s">
        <v>1809</v>
      </c>
    </row>
    <row r="2462" spans="1:17" x14ac:dyDescent="0.3">
      <c r="A2462" t="s">
        <v>465</v>
      </c>
      <c r="B2462" t="s">
        <v>464</v>
      </c>
      <c r="C2462" s="1">
        <v>46050</v>
      </c>
      <c r="D2462" t="s">
        <v>63</v>
      </c>
      <c r="E2462" t="s">
        <v>17</v>
      </c>
      <c r="F2462" t="s">
        <v>74</v>
      </c>
      <c r="G2462" t="s">
        <v>80</v>
      </c>
      <c r="H2462" t="s">
        <v>81</v>
      </c>
      <c r="I2462" t="s">
        <v>82</v>
      </c>
      <c r="J2462">
        <v>4299</v>
      </c>
      <c r="K2462">
        <v>1</v>
      </c>
      <c r="L2462">
        <v>4160.13</v>
      </c>
      <c r="M2462">
        <v>416.01</v>
      </c>
      <c r="N2462">
        <v>4160.13</v>
      </c>
      <c r="O2462">
        <v>3744.12</v>
      </c>
      <c r="P2462" t="s">
        <v>2111</v>
      </c>
      <c r="Q2462" t="s">
        <v>23</v>
      </c>
    </row>
    <row r="2463" spans="1:17" x14ac:dyDescent="0.3">
      <c r="A2463" t="s">
        <v>2896</v>
      </c>
      <c r="B2463" t="s">
        <v>730</v>
      </c>
      <c r="C2463" s="1">
        <v>46159</v>
      </c>
      <c r="D2463" t="s">
        <v>63</v>
      </c>
      <c r="E2463" t="s">
        <v>17</v>
      </c>
      <c r="F2463" t="s">
        <v>31</v>
      </c>
      <c r="G2463" t="s">
        <v>126</v>
      </c>
      <c r="H2463" t="s">
        <v>127</v>
      </c>
      <c r="I2463" t="s">
        <v>45</v>
      </c>
      <c r="J2463">
        <v>2499</v>
      </c>
      <c r="K2463">
        <v>1</v>
      </c>
      <c r="L2463">
        <v>2577.94</v>
      </c>
      <c r="M2463">
        <v>515.59</v>
      </c>
      <c r="N2463">
        <v>2577.94</v>
      </c>
      <c r="O2463">
        <v>2062.35</v>
      </c>
      <c r="P2463" t="s">
        <v>2111</v>
      </c>
      <c r="Q2463" t="s">
        <v>1479</v>
      </c>
    </row>
    <row r="2464" spans="1:17" x14ac:dyDescent="0.3">
      <c r="A2464" t="s">
        <v>2164</v>
      </c>
      <c r="B2464" t="s">
        <v>2165</v>
      </c>
      <c r="C2464" s="1">
        <v>46090</v>
      </c>
      <c r="D2464" t="s">
        <v>16</v>
      </c>
      <c r="E2464" t="s">
        <v>17</v>
      </c>
      <c r="F2464" t="s">
        <v>31</v>
      </c>
      <c r="G2464" t="s">
        <v>191</v>
      </c>
      <c r="H2464" t="s">
        <v>192</v>
      </c>
      <c r="I2464" t="s">
        <v>45</v>
      </c>
      <c r="J2464">
        <v>699</v>
      </c>
      <c r="K2464">
        <v>1</v>
      </c>
      <c r="L2464">
        <v>729.44</v>
      </c>
      <c r="M2464">
        <v>36.47</v>
      </c>
      <c r="N2464">
        <v>729.44</v>
      </c>
      <c r="O2464">
        <v>692.97</v>
      </c>
      <c r="P2464" t="s">
        <v>2111</v>
      </c>
      <c r="Q2464" t="s">
        <v>789</v>
      </c>
    </row>
    <row r="2465" spans="1:17" x14ac:dyDescent="0.3">
      <c r="A2465" t="s">
        <v>2958</v>
      </c>
      <c r="B2465" t="s">
        <v>669</v>
      </c>
      <c r="C2465" s="1">
        <v>46102</v>
      </c>
      <c r="D2465" t="s">
        <v>16</v>
      </c>
      <c r="E2465" t="s">
        <v>50</v>
      </c>
      <c r="F2465" t="s">
        <v>22</v>
      </c>
      <c r="G2465" t="s">
        <v>191</v>
      </c>
      <c r="H2465" t="s">
        <v>192</v>
      </c>
      <c r="I2465" t="s">
        <v>45</v>
      </c>
      <c r="J2465">
        <v>699</v>
      </c>
      <c r="K2465">
        <v>1</v>
      </c>
      <c r="L2465">
        <v>707.12</v>
      </c>
      <c r="M2465">
        <v>35.36</v>
      </c>
      <c r="N2465">
        <v>707.12</v>
      </c>
      <c r="O2465">
        <v>671.76</v>
      </c>
      <c r="P2465" t="s">
        <v>2111</v>
      </c>
      <c r="Q2465" t="s">
        <v>789</v>
      </c>
    </row>
    <row r="2466" spans="1:17" x14ac:dyDescent="0.3">
      <c r="A2466" t="s">
        <v>914</v>
      </c>
      <c r="B2466" t="s">
        <v>913</v>
      </c>
      <c r="C2466" s="1">
        <v>46090</v>
      </c>
      <c r="D2466" t="s">
        <v>16</v>
      </c>
      <c r="E2466" t="s">
        <v>50</v>
      </c>
      <c r="F2466" t="s">
        <v>74</v>
      </c>
      <c r="G2466" t="s">
        <v>51</v>
      </c>
      <c r="H2466" t="s">
        <v>52</v>
      </c>
      <c r="I2466" t="s">
        <v>20</v>
      </c>
      <c r="J2466">
        <v>999</v>
      </c>
      <c r="K2466">
        <v>1</v>
      </c>
      <c r="L2466">
        <v>910.41</v>
      </c>
      <c r="M2466">
        <v>91.04</v>
      </c>
      <c r="N2466">
        <v>910.41</v>
      </c>
      <c r="O2466">
        <v>819.37</v>
      </c>
      <c r="P2466" t="s">
        <v>2111</v>
      </c>
      <c r="Q2466" t="s">
        <v>789</v>
      </c>
    </row>
    <row r="2467" spans="1:17" x14ac:dyDescent="0.3">
      <c r="A2467" t="s">
        <v>2899</v>
      </c>
      <c r="B2467" t="s">
        <v>2900</v>
      </c>
      <c r="C2467" s="1">
        <v>46102</v>
      </c>
      <c r="D2467" t="s">
        <v>41</v>
      </c>
      <c r="E2467" t="s">
        <v>17</v>
      </c>
      <c r="F2467" t="s">
        <v>60</v>
      </c>
      <c r="G2467" t="s">
        <v>250</v>
      </c>
      <c r="H2467" t="s">
        <v>251</v>
      </c>
      <c r="I2467" t="s">
        <v>108</v>
      </c>
      <c r="J2467">
        <v>899</v>
      </c>
      <c r="K2467">
        <v>1</v>
      </c>
      <c r="L2467">
        <v>839.64</v>
      </c>
      <c r="M2467">
        <v>83.96</v>
      </c>
      <c r="N2467">
        <v>839.64</v>
      </c>
      <c r="O2467">
        <v>755.68</v>
      </c>
      <c r="P2467" t="s">
        <v>2111</v>
      </c>
      <c r="Q2467" t="s">
        <v>789</v>
      </c>
    </row>
    <row r="2468" spans="1:17" x14ac:dyDescent="0.3">
      <c r="A2468" t="s">
        <v>2655</v>
      </c>
      <c r="B2468" t="s">
        <v>2139</v>
      </c>
      <c r="C2468" s="1">
        <v>46174</v>
      </c>
      <c r="D2468" t="s">
        <v>16</v>
      </c>
      <c r="E2468" t="s">
        <v>17</v>
      </c>
      <c r="F2468" t="s">
        <v>22</v>
      </c>
      <c r="G2468" t="s">
        <v>86</v>
      </c>
      <c r="H2468" t="s">
        <v>87</v>
      </c>
      <c r="I2468" t="s">
        <v>82</v>
      </c>
      <c r="J2468">
        <v>3499</v>
      </c>
      <c r="K2468">
        <v>1</v>
      </c>
      <c r="L2468">
        <v>3348.75</v>
      </c>
      <c r="M2468">
        <v>167.44</v>
      </c>
      <c r="N2468">
        <v>3348.75</v>
      </c>
      <c r="O2468">
        <v>3181.31</v>
      </c>
      <c r="P2468" t="s">
        <v>2111</v>
      </c>
      <c r="Q2468" t="s">
        <v>1809</v>
      </c>
    </row>
    <row r="2469" spans="1:17" x14ac:dyDescent="0.3">
      <c r="A2469" t="s">
        <v>2356</v>
      </c>
      <c r="B2469" t="s">
        <v>195</v>
      </c>
      <c r="C2469" s="1">
        <v>46157</v>
      </c>
      <c r="D2469" t="s">
        <v>41</v>
      </c>
      <c r="E2469" t="s">
        <v>50</v>
      </c>
      <c r="F2469" t="s">
        <v>31</v>
      </c>
      <c r="G2469" t="s">
        <v>191</v>
      </c>
      <c r="H2469" t="s">
        <v>192</v>
      </c>
      <c r="I2469" t="s">
        <v>45</v>
      </c>
      <c r="J2469">
        <v>699</v>
      </c>
      <c r="K2469">
        <v>1</v>
      </c>
      <c r="L2469">
        <v>668.61</v>
      </c>
      <c r="M2469">
        <v>100.29</v>
      </c>
      <c r="N2469">
        <v>668.61</v>
      </c>
      <c r="O2469">
        <v>568.32000000000005</v>
      </c>
      <c r="P2469" t="s">
        <v>2111</v>
      </c>
      <c r="Q2469" t="s">
        <v>1479</v>
      </c>
    </row>
    <row r="2470" spans="1:17" x14ac:dyDescent="0.3">
      <c r="A2470" t="s">
        <v>2400</v>
      </c>
      <c r="B2470" t="s">
        <v>2401</v>
      </c>
      <c r="C2470" s="1">
        <v>46140</v>
      </c>
      <c r="D2470" t="s">
        <v>16</v>
      </c>
      <c r="E2470" t="s">
        <v>50</v>
      </c>
      <c r="F2470" t="s">
        <v>22</v>
      </c>
      <c r="G2470" t="s">
        <v>35</v>
      </c>
      <c r="H2470" t="s">
        <v>36</v>
      </c>
      <c r="I2470" t="s">
        <v>37</v>
      </c>
      <c r="J2470">
        <v>799</v>
      </c>
      <c r="K2470">
        <v>2</v>
      </c>
      <c r="L2470">
        <v>826.71</v>
      </c>
      <c r="M2470">
        <v>248.01</v>
      </c>
      <c r="N2470">
        <v>1653.42</v>
      </c>
      <c r="O2470">
        <v>1405.41</v>
      </c>
      <c r="P2470" t="s">
        <v>2111</v>
      </c>
      <c r="Q2470" t="s">
        <v>1170</v>
      </c>
    </row>
    <row r="2471" spans="1:17" x14ac:dyDescent="0.3">
      <c r="A2471" t="s">
        <v>1184</v>
      </c>
      <c r="B2471" t="s">
        <v>1183</v>
      </c>
      <c r="C2471" s="1">
        <v>46115</v>
      </c>
      <c r="D2471" t="s">
        <v>34</v>
      </c>
      <c r="E2471" t="s">
        <v>17</v>
      </c>
      <c r="F2471" t="s">
        <v>22</v>
      </c>
      <c r="G2471" t="s">
        <v>149</v>
      </c>
      <c r="H2471" t="s">
        <v>150</v>
      </c>
      <c r="I2471" t="s">
        <v>37</v>
      </c>
      <c r="J2471">
        <v>2999</v>
      </c>
      <c r="K2471">
        <v>3</v>
      </c>
      <c r="L2471">
        <v>2710.11</v>
      </c>
      <c r="M2471">
        <v>1626.07</v>
      </c>
      <c r="N2471">
        <v>8130.33</v>
      </c>
      <c r="O2471">
        <v>6504.26</v>
      </c>
      <c r="P2471" t="s">
        <v>2111</v>
      </c>
      <c r="Q2471" t="s">
        <v>1170</v>
      </c>
    </row>
    <row r="2472" spans="1:17" x14ac:dyDescent="0.3">
      <c r="A2472" t="s">
        <v>2219</v>
      </c>
      <c r="B2472" t="s">
        <v>2220</v>
      </c>
      <c r="C2472" s="1">
        <v>46128</v>
      </c>
      <c r="D2472" t="s">
        <v>16</v>
      </c>
      <c r="E2472" t="s">
        <v>17</v>
      </c>
      <c r="F2472" t="s">
        <v>60</v>
      </c>
      <c r="G2472" t="s">
        <v>96</v>
      </c>
      <c r="H2472" t="s">
        <v>97</v>
      </c>
      <c r="I2472" t="s">
        <v>58</v>
      </c>
      <c r="J2472">
        <v>7499</v>
      </c>
      <c r="K2472">
        <v>1</v>
      </c>
      <c r="L2472">
        <v>7882.47</v>
      </c>
      <c r="M2472">
        <v>1970.62</v>
      </c>
      <c r="N2472">
        <v>7882.47</v>
      </c>
      <c r="O2472">
        <v>5911.85</v>
      </c>
      <c r="P2472" t="s">
        <v>2111</v>
      </c>
      <c r="Q2472" t="s">
        <v>1170</v>
      </c>
    </row>
    <row r="2473" spans="1:17" x14ac:dyDescent="0.3">
      <c r="A2473" t="s">
        <v>2959</v>
      </c>
      <c r="B2473" t="s">
        <v>938</v>
      </c>
      <c r="C2473" s="1">
        <v>46164</v>
      </c>
      <c r="D2473" t="s">
        <v>34</v>
      </c>
      <c r="E2473" t="s">
        <v>50</v>
      </c>
      <c r="F2473" t="s">
        <v>60</v>
      </c>
      <c r="G2473" t="s">
        <v>112</v>
      </c>
      <c r="H2473" t="s">
        <v>113</v>
      </c>
      <c r="I2473" t="s">
        <v>37</v>
      </c>
      <c r="J2473">
        <v>1499</v>
      </c>
      <c r="K2473">
        <v>1</v>
      </c>
      <c r="L2473">
        <v>1428.65</v>
      </c>
      <c r="M2473">
        <v>71.430000000000007</v>
      </c>
      <c r="N2473">
        <v>1428.65</v>
      </c>
      <c r="O2473">
        <v>1357.22</v>
      </c>
      <c r="P2473" t="s">
        <v>2111</v>
      </c>
      <c r="Q2473" t="s">
        <v>1479</v>
      </c>
    </row>
    <row r="2474" spans="1:17" x14ac:dyDescent="0.3">
      <c r="A2474" t="s">
        <v>2960</v>
      </c>
      <c r="B2474" t="s">
        <v>2961</v>
      </c>
      <c r="C2474" s="1">
        <v>46133</v>
      </c>
      <c r="D2474" t="s">
        <v>34</v>
      </c>
      <c r="E2474" t="s">
        <v>17</v>
      </c>
      <c r="F2474" t="s">
        <v>31</v>
      </c>
      <c r="G2474" t="s">
        <v>80</v>
      </c>
      <c r="H2474" t="s">
        <v>81</v>
      </c>
      <c r="I2474" t="s">
        <v>82</v>
      </c>
      <c r="J2474">
        <v>4299</v>
      </c>
      <c r="K2474">
        <v>1</v>
      </c>
      <c r="L2474">
        <v>4135.66</v>
      </c>
      <c r="M2474">
        <v>620.35</v>
      </c>
      <c r="N2474">
        <v>4135.66</v>
      </c>
      <c r="O2474">
        <v>3515.31</v>
      </c>
      <c r="P2474" t="s">
        <v>2111</v>
      </c>
      <c r="Q2474" t="s">
        <v>1170</v>
      </c>
    </row>
    <row r="2475" spans="1:17" x14ac:dyDescent="0.3">
      <c r="A2475" t="s">
        <v>999</v>
      </c>
      <c r="B2475" t="s">
        <v>998</v>
      </c>
      <c r="C2475" s="1">
        <v>46097</v>
      </c>
      <c r="D2475" t="s">
        <v>26</v>
      </c>
      <c r="E2475" t="s">
        <v>50</v>
      </c>
      <c r="F2475" t="s">
        <v>74</v>
      </c>
      <c r="G2475" t="s">
        <v>18</v>
      </c>
      <c r="H2475" t="s">
        <v>19</v>
      </c>
      <c r="I2475" t="s">
        <v>20</v>
      </c>
      <c r="J2475">
        <v>2799</v>
      </c>
      <c r="K2475">
        <v>2</v>
      </c>
      <c r="L2475">
        <v>2814.62</v>
      </c>
      <c r="M2475">
        <v>562.91999999999996</v>
      </c>
      <c r="N2475">
        <v>5629.24</v>
      </c>
      <c r="O2475">
        <v>5066.32</v>
      </c>
      <c r="P2475" t="s">
        <v>2111</v>
      </c>
      <c r="Q2475" t="s">
        <v>789</v>
      </c>
    </row>
    <row r="2476" spans="1:17" x14ac:dyDescent="0.3">
      <c r="A2476" t="s">
        <v>1094</v>
      </c>
      <c r="B2476" t="s">
        <v>1093</v>
      </c>
      <c r="C2476" s="1">
        <v>46105</v>
      </c>
      <c r="D2476" t="s">
        <v>63</v>
      </c>
      <c r="E2476" t="s">
        <v>17</v>
      </c>
      <c r="F2476" t="s">
        <v>47</v>
      </c>
      <c r="G2476" t="s">
        <v>80</v>
      </c>
      <c r="H2476" t="s">
        <v>81</v>
      </c>
      <c r="I2476" t="s">
        <v>82</v>
      </c>
      <c r="J2476">
        <v>4299</v>
      </c>
      <c r="K2476">
        <v>2</v>
      </c>
      <c r="L2476">
        <v>4054.75</v>
      </c>
      <c r="M2476">
        <v>1216.42</v>
      </c>
      <c r="N2476">
        <v>8109.5</v>
      </c>
      <c r="O2476">
        <v>6893.08</v>
      </c>
      <c r="P2476" t="s">
        <v>2111</v>
      </c>
      <c r="Q2476" t="s">
        <v>789</v>
      </c>
    </row>
    <row r="2477" spans="1:17" x14ac:dyDescent="0.3">
      <c r="A2477" t="s">
        <v>2842</v>
      </c>
      <c r="B2477" t="s">
        <v>876</v>
      </c>
      <c r="C2477" s="1">
        <v>46146</v>
      </c>
      <c r="D2477" t="s">
        <v>41</v>
      </c>
      <c r="E2477" t="s">
        <v>17</v>
      </c>
      <c r="F2477" t="s">
        <v>60</v>
      </c>
      <c r="G2477" t="s">
        <v>35</v>
      </c>
      <c r="H2477" t="s">
        <v>36</v>
      </c>
      <c r="I2477" t="s">
        <v>37</v>
      </c>
      <c r="J2477">
        <v>799</v>
      </c>
      <c r="K2477">
        <v>3</v>
      </c>
      <c r="L2477">
        <v>860.44</v>
      </c>
      <c r="M2477">
        <v>258.13</v>
      </c>
      <c r="N2477">
        <v>2581.3200000000002</v>
      </c>
      <c r="O2477">
        <v>2323.19</v>
      </c>
      <c r="P2477" t="s">
        <v>2111</v>
      </c>
      <c r="Q2477" t="s">
        <v>1479</v>
      </c>
    </row>
    <row r="2478" spans="1:17" x14ac:dyDescent="0.3">
      <c r="A2478" t="s">
        <v>1930</v>
      </c>
      <c r="B2478" t="s">
        <v>1929</v>
      </c>
      <c r="C2478" s="1">
        <v>46185</v>
      </c>
      <c r="D2478" t="s">
        <v>26</v>
      </c>
      <c r="E2478" t="s">
        <v>17</v>
      </c>
      <c r="F2478" t="s">
        <v>74</v>
      </c>
      <c r="G2478" t="s">
        <v>51</v>
      </c>
      <c r="H2478" t="s">
        <v>52</v>
      </c>
      <c r="I2478" t="s">
        <v>20</v>
      </c>
      <c r="J2478">
        <v>999</v>
      </c>
      <c r="K2478">
        <v>1</v>
      </c>
      <c r="L2478">
        <v>916.16</v>
      </c>
      <c r="M2478">
        <v>229.04</v>
      </c>
      <c r="N2478">
        <v>916.16</v>
      </c>
      <c r="O2478">
        <v>687.12</v>
      </c>
      <c r="P2478" t="s">
        <v>2111</v>
      </c>
      <c r="Q2478" t="s">
        <v>1809</v>
      </c>
    </row>
    <row r="2479" spans="1:17" x14ac:dyDescent="0.3">
      <c r="A2479" t="s">
        <v>1242</v>
      </c>
      <c r="B2479" t="s">
        <v>213</v>
      </c>
      <c r="C2479" s="1">
        <v>46121</v>
      </c>
      <c r="D2479" t="s">
        <v>41</v>
      </c>
      <c r="E2479" t="s">
        <v>17</v>
      </c>
      <c r="F2479" t="s">
        <v>74</v>
      </c>
      <c r="G2479" t="s">
        <v>250</v>
      </c>
      <c r="H2479" t="s">
        <v>251</v>
      </c>
      <c r="I2479" t="s">
        <v>108</v>
      </c>
      <c r="J2479">
        <v>899</v>
      </c>
      <c r="K2479">
        <v>3</v>
      </c>
      <c r="L2479">
        <v>889</v>
      </c>
      <c r="M2479">
        <v>400.05</v>
      </c>
      <c r="N2479">
        <v>2667</v>
      </c>
      <c r="O2479">
        <v>2266.9499999999998</v>
      </c>
      <c r="P2479" t="s">
        <v>2111</v>
      </c>
      <c r="Q2479" t="s">
        <v>1170</v>
      </c>
    </row>
    <row r="2480" spans="1:17" x14ac:dyDescent="0.3">
      <c r="A2480" t="s">
        <v>979</v>
      </c>
      <c r="B2480" t="s">
        <v>978</v>
      </c>
      <c r="C2480" s="1">
        <v>46096</v>
      </c>
      <c r="D2480" t="s">
        <v>34</v>
      </c>
      <c r="E2480" t="s">
        <v>17</v>
      </c>
      <c r="F2480" t="s">
        <v>22</v>
      </c>
      <c r="G2480" t="s">
        <v>43</v>
      </c>
      <c r="H2480" t="s">
        <v>44</v>
      </c>
      <c r="I2480" t="s">
        <v>45</v>
      </c>
      <c r="J2480">
        <v>3299</v>
      </c>
      <c r="K2480">
        <v>1</v>
      </c>
      <c r="L2480">
        <v>3529.55</v>
      </c>
      <c r="M2480">
        <v>882.39</v>
      </c>
      <c r="N2480">
        <v>3529.55</v>
      </c>
      <c r="O2480">
        <v>2647.16</v>
      </c>
      <c r="P2480" t="s">
        <v>2111</v>
      </c>
      <c r="Q2480" t="s">
        <v>789</v>
      </c>
    </row>
    <row r="2481" spans="1:17" x14ac:dyDescent="0.3">
      <c r="A2481" t="s">
        <v>950</v>
      </c>
      <c r="B2481" t="s">
        <v>809</v>
      </c>
      <c r="C2481" s="1">
        <v>46093</v>
      </c>
      <c r="D2481" t="s">
        <v>26</v>
      </c>
      <c r="E2481" t="s">
        <v>17</v>
      </c>
      <c r="F2481" t="s">
        <v>74</v>
      </c>
      <c r="G2481" t="s">
        <v>35</v>
      </c>
      <c r="H2481" t="s">
        <v>36</v>
      </c>
      <c r="I2481" t="s">
        <v>37</v>
      </c>
      <c r="J2481">
        <v>799</v>
      </c>
      <c r="K2481">
        <v>1</v>
      </c>
      <c r="L2481">
        <v>817.51</v>
      </c>
      <c r="M2481">
        <v>163.5</v>
      </c>
      <c r="N2481">
        <v>817.51</v>
      </c>
      <c r="O2481">
        <v>654.01</v>
      </c>
      <c r="P2481" t="s">
        <v>2114</v>
      </c>
      <c r="Q2481" t="s">
        <v>789</v>
      </c>
    </row>
    <row r="2482" spans="1:17" x14ac:dyDescent="0.3">
      <c r="A2482" t="s">
        <v>1755</v>
      </c>
      <c r="B2482" t="s">
        <v>995</v>
      </c>
      <c r="C2482" s="1">
        <v>46168</v>
      </c>
      <c r="D2482" t="s">
        <v>16</v>
      </c>
      <c r="E2482" t="s">
        <v>50</v>
      </c>
      <c r="F2482" t="s">
        <v>47</v>
      </c>
      <c r="G2482" t="s">
        <v>80</v>
      </c>
      <c r="H2482" t="s">
        <v>81</v>
      </c>
      <c r="I2482" t="s">
        <v>82</v>
      </c>
      <c r="J2482">
        <v>4299</v>
      </c>
      <c r="K2482">
        <v>1</v>
      </c>
      <c r="L2482">
        <v>4120.4399999999996</v>
      </c>
      <c r="M2482">
        <v>824.09</v>
      </c>
      <c r="N2482">
        <v>4120.4399999999996</v>
      </c>
      <c r="O2482">
        <v>3296.35</v>
      </c>
      <c r="P2482" t="s">
        <v>2111</v>
      </c>
      <c r="Q2482" t="s">
        <v>1479</v>
      </c>
    </row>
    <row r="2483" spans="1:17" x14ac:dyDescent="0.3">
      <c r="A2483" t="s">
        <v>1938</v>
      </c>
      <c r="B2483" t="s">
        <v>1937</v>
      </c>
      <c r="C2483" s="1">
        <v>46186</v>
      </c>
      <c r="D2483" t="s">
        <v>16</v>
      </c>
      <c r="E2483" t="s">
        <v>42</v>
      </c>
      <c r="F2483" t="s">
        <v>47</v>
      </c>
      <c r="G2483" t="s">
        <v>165</v>
      </c>
      <c r="H2483" t="s">
        <v>166</v>
      </c>
      <c r="I2483" t="s">
        <v>29</v>
      </c>
      <c r="J2483">
        <v>449</v>
      </c>
      <c r="K2483">
        <v>3</v>
      </c>
      <c r="L2483">
        <v>441.88</v>
      </c>
      <c r="M2483">
        <v>198.85</v>
      </c>
      <c r="N2483">
        <v>1325.64</v>
      </c>
      <c r="O2483">
        <v>1126.79</v>
      </c>
      <c r="P2483" t="s">
        <v>2111</v>
      </c>
      <c r="Q2483" t="s">
        <v>1809</v>
      </c>
    </row>
    <row r="2484" spans="1:17" x14ac:dyDescent="0.3">
      <c r="A2484" t="s">
        <v>264</v>
      </c>
      <c r="B2484" t="s">
        <v>263</v>
      </c>
      <c r="C2484" s="1">
        <v>46035</v>
      </c>
      <c r="D2484" t="s">
        <v>16</v>
      </c>
      <c r="E2484" t="s">
        <v>50</v>
      </c>
      <c r="F2484" t="s">
        <v>31</v>
      </c>
      <c r="G2484" t="s">
        <v>250</v>
      </c>
      <c r="H2484" t="s">
        <v>251</v>
      </c>
      <c r="I2484" t="s">
        <v>108</v>
      </c>
      <c r="J2484">
        <v>899</v>
      </c>
      <c r="K2484">
        <v>1</v>
      </c>
      <c r="L2484">
        <v>936.16</v>
      </c>
      <c r="M2484">
        <v>93.62</v>
      </c>
      <c r="N2484">
        <v>936.16</v>
      </c>
      <c r="O2484">
        <v>842.54</v>
      </c>
      <c r="P2484" t="s">
        <v>2111</v>
      </c>
      <c r="Q2484" t="s">
        <v>23</v>
      </c>
    </row>
    <row r="2485" spans="1:17" x14ac:dyDescent="0.3">
      <c r="A2485" t="s">
        <v>1502</v>
      </c>
      <c r="B2485" t="s">
        <v>317</v>
      </c>
      <c r="C2485" s="1">
        <v>46145</v>
      </c>
      <c r="D2485" t="s">
        <v>16</v>
      </c>
      <c r="E2485" t="s">
        <v>17</v>
      </c>
      <c r="F2485" t="s">
        <v>22</v>
      </c>
      <c r="G2485" t="s">
        <v>101</v>
      </c>
      <c r="H2485" t="s">
        <v>102</v>
      </c>
      <c r="I2485" t="s">
        <v>45</v>
      </c>
      <c r="J2485">
        <v>4999</v>
      </c>
      <c r="K2485">
        <v>2</v>
      </c>
      <c r="L2485">
        <v>5472.17</v>
      </c>
      <c r="M2485">
        <v>547.22</v>
      </c>
      <c r="N2485">
        <v>10944.34</v>
      </c>
      <c r="O2485">
        <v>10397.120000000001</v>
      </c>
      <c r="P2485" t="s">
        <v>2111</v>
      </c>
      <c r="Q2485" t="s">
        <v>1479</v>
      </c>
    </row>
    <row r="2486" spans="1:17" x14ac:dyDescent="0.3">
      <c r="A2486" t="s">
        <v>2661</v>
      </c>
      <c r="B2486" t="s">
        <v>2662</v>
      </c>
      <c r="C2486" s="1">
        <v>46113</v>
      </c>
      <c r="D2486" t="s">
        <v>16</v>
      </c>
      <c r="E2486" t="s">
        <v>50</v>
      </c>
      <c r="F2486" t="s">
        <v>74</v>
      </c>
      <c r="G2486" t="s">
        <v>91</v>
      </c>
      <c r="H2486" t="s">
        <v>92</v>
      </c>
      <c r="I2486" t="s">
        <v>37</v>
      </c>
      <c r="J2486">
        <v>1899</v>
      </c>
      <c r="K2486">
        <v>2</v>
      </c>
      <c r="L2486">
        <v>2048.31</v>
      </c>
      <c r="M2486">
        <v>204.83</v>
      </c>
      <c r="N2486">
        <v>4096.62</v>
      </c>
      <c r="O2486">
        <v>3891.79</v>
      </c>
      <c r="P2486" t="s">
        <v>2111</v>
      </c>
      <c r="Q2486" t="s">
        <v>1170</v>
      </c>
    </row>
    <row r="2487" spans="1:17" x14ac:dyDescent="0.3">
      <c r="A2487" t="s">
        <v>1291</v>
      </c>
      <c r="B2487" t="s">
        <v>1290</v>
      </c>
      <c r="C2487" s="1">
        <v>46126</v>
      </c>
      <c r="D2487" t="s">
        <v>41</v>
      </c>
      <c r="E2487" t="s">
        <v>17</v>
      </c>
      <c r="F2487" t="s">
        <v>31</v>
      </c>
      <c r="G2487" t="s">
        <v>165</v>
      </c>
      <c r="H2487" t="s">
        <v>166</v>
      </c>
      <c r="I2487" t="s">
        <v>29</v>
      </c>
      <c r="J2487">
        <v>449</v>
      </c>
      <c r="K2487">
        <v>1</v>
      </c>
      <c r="L2487">
        <v>434.85</v>
      </c>
      <c r="M2487">
        <v>0</v>
      </c>
      <c r="N2487">
        <v>434.85</v>
      </c>
      <c r="O2487">
        <v>434.85</v>
      </c>
      <c r="P2487" t="s">
        <v>2111</v>
      </c>
      <c r="Q2487" t="s">
        <v>1170</v>
      </c>
    </row>
    <row r="2488" spans="1:17" x14ac:dyDescent="0.3">
      <c r="A2488" t="s">
        <v>1938</v>
      </c>
      <c r="B2488" t="s">
        <v>1937</v>
      </c>
      <c r="C2488" s="1">
        <v>46186</v>
      </c>
      <c r="D2488" t="s">
        <v>16</v>
      </c>
      <c r="E2488" t="s">
        <v>42</v>
      </c>
      <c r="F2488" t="s">
        <v>47</v>
      </c>
      <c r="G2488" t="s">
        <v>126</v>
      </c>
      <c r="H2488" t="s">
        <v>127</v>
      </c>
      <c r="I2488" t="s">
        <v>45</v>
      </c>
      <c r="J2488">
        <v>2499</v>
      </c>
      <c r="K2488">
        <v>1</v>
      </c>
      <c r="L2488">
        <v>2748</v>
      </c>
      <c r="M2488">
        <v>274.8</v>
      </c>
      <c r="N2488">
        <v>2748</v>
      </c>
      <c r="O2488">
        <v>2473.1999999999998</v>
      </c>
      <c r="P2488" t="s">
        <v>2111</v>
      </c>
      <c r="Q2488" t="s">
        <v>1809</v>
      </c>
    </row>
    <row r="2489" spans="1:17" x14ac:dyDescent="0.3">
      <c r="A2489" t="s">
        <v>1415</v>
      </c>
      <c r="B2489" t="s">
        <v>1414</v>
      </c>
      <c r="C2489" s="1">
        <v>46137</v>
      </c>
      <c r="D2489" t="s">
        <v>26</v>
      </c>
      <c r="E2489" t="s">
        <v>50</v>
      </c>
      <c r="F2489" t="s">
        <v>47</v>
      </c>
      <c r="G2489" t="s">
        <v>56</v>
      </c>
      <c r="H2489" t="s">
        <v>57</v>
      </c>
      <c r="I2489" t="s">
        <v>58</v>
      </c>
      <c r="J2489">
        <v>8999</v>
      </c>
      <c r="K2489">
        <v>3</v>
      </c>
      <c r="L2489">
        <v>8105.41</v>
      </c>
      <c r="M2489">
        <v>2431.62</v>
      </c>
      <c r="N2489">
        <v>24316.23</v>
      </c>
      <c r="O2489">
        <v>21884.61</v>
      </c>
      <c r="P2489" t="s">
        <v>2111</v>
      </c>
      <c r="Q2489" t="s">
        <v>1170</v>
      </c>
    </row>
    <row r="2490" spans="1:17" x14ac:dyDescent="0.3">
      <c r="A2490" t="s">
        <v>1726</v>
      </c>
      <c r="B2490" t="s">
        <v>666</v>
      </c>
      <c r="C2490" s="1">
        <v>46165</v>
      </c>
      <c r="D2490" t="s">
        <v>16</v>
      </c>
      <c r="E2490" t="s">
        <v>17</v>
      </c>
      <c r="F2490" t="s">
        <v>74</v>
      </c>
      <c r="G2490" t="s">
        <v>355</v>
      </c>
      <c r="H2490" t="s">
        <v>356</v>
      </c>
      <c r="I2490" t="s">
        <v>82</v>
      </c>
      <c r="J2490">
        <v>499</v>
      </c>
      <c r="K2490">
        <v>1</v>
      </c>
      <c r="L2490">
        <v>451.86</v>
      </c>
      <c r="M2490">
        <v>45.19</v>
      </c>
      <c r="N2490">
        <v>451.86</v>
      </c>
      <c r="O2490">
        <v>406.67</v>
      </c>
      <c r="P2490" t="s">
        <v>2111</v>
      </c>
      <c r="Q2490" t="s">
        <v>1479</v>
      </c>
    </row>
    <row r="2491" spans="1:17" x14ac:dyDescent="0.3">
      <c r="A2491" t="s">
        <v>2255</v>
      </c>
      <c r="B2491" t="s">
        <v>119</v>
      </c>
      <c r="C2491" s="1">
        <v>46146</v>
      </c>
      <c r="D2491" t="s">
        <v>63</v>
      </c>
      <c r="E2491" t="s">
        <v>17</v>
      </c>
      <c r="F2491" t="s">
        <v>22</v>
      </c>
      <c r="G2491" t="s">
        <v>86</v>
      </c>
      <c r="H2491" t="s">
        <v>87</v>
      </c>
      <c r="I2491" t="s">
        <v>82</v>
      </c>
      <c r="J2491">
        <v>3499</v>
      </c>
      <c r="K2491">
        <v>1</v>
      </c>
      <c r="L2491">
        <v>3725.62</v>
      </c>
      <c r="M2491">
        <v>931.4</v>
      </c>
      <c r="N2491">
        <v>3725.62</v>
      </c>
      <c r="O2491">
        <v>2794.22</v>
      </c>
      <c r="P2491" t="s">
        <v>2111</v>
      </c>
      <c r="Q2491" t="s">
        <v>1479</v>
      </c>
    </row>
    <row r="2492" spans="1:17" x14ac:dyDescent="0.3">
      <c r="A2492" t="s">
        <v>837</v>
      </c>
      <c r="B2492" t="s">
        <v>836</v>
      </c>
      <c r="C2492" s="1">
        <v>46084</v>
      </c>
      <c r="D2492" t="s">
        <v>16</v>
      </c>
      <c r="E2492" t="s">
        <v>17</v>
      </c>
      <c r="F2492" t="s">
        <v>74</v>
      </c>
      <c r="G2492" t="s">
        <v>80</v>
      </c>
      <c r="H2492" t="s">
        <v>81</v>
      </c>
      <c r="I2492" t="s">
        <v>82</v>
      </c>
      <c r="J2492">
        <v>4299</v>
      </c>
      <c r="K2492">
        <v>1</v>
      </c>
      <c r="L2492">
        <v>4040.6</v>
      </c>
      <c r="M2492">
        <v>808.12</v>
      </c>
      <c r="N2492">
        <v>4040.6</v>
      </c>
      <c r="O2492">
        <v>3232.48</v>
      </c>
      <c r="P2492" t="s">
        <v>2111</v>
      </c>
      <c r="Q2492" t="s">
        <v>789</v>
      </c>
    </row>
    <row r="2493" spans="1:17" x14ac:dyDescent="0.3">
      <c r="A2493" t="s">
        <v>1579</v>
      </c>
      <c r="B2493" t="s">
        <v>1020</v>
      </c>
      <c r="C2493" s="1">
        <v>46151</v>
      </c>
      <c r="D2493" t="s">
        <v>34</v>
      </c>
      <c r="E2493" t="s">
        <v>50</v>
      </c>
      <c r="F2493" t="s">
        <v>47</v>
      </c>
      <c r="G2493" t="s">
        <v>56</v>
      </c>
      <c r="H2493" t="s">
        <v>57</v>
      </c>
      <c r="I2493" t="s">
        <v>58</v>
      </c>
      <c r="J2493">
        <v>8999</v>
      </c>
      <c r="K2493">
        <v>1</v>
      </c>
      <c r="L2493">
        <v>8208.4699999999993</v>
      </c>
      <c r="M2493">
        <v>0</v>
      </c>
      <c r="N2493">
        <v>8208.4699999999993</v>
      </c>
      <c r="O2493">
        <v>8208.4699999999993</v>
      </c>
      <c r="P2493" t="s">
        <v>2111</v>
      </c>
      <c r="Q2493" t="s">
        <v>1479</v>
      </c>
    </row>
    <row r="2494" spans="1:17" x14ac:dyDescent="0.3">
      <c r="A2494" t="s">
        <v>771</v>
      </c>
      <c r="B2494" t="s">
        <v>770</v>
      </c>
      <c r="C2494" s="1">
        <v>46080</v>
      </c>
      <c r="D2494" t="s">
        <v>26</v>
      </c>
      <c r="E2494" t="s">
        <v>50</v>
      </c>
      <c r="F2494" t="s">
        <v>31</v>
      </c>
      <c r="G2494" t="s">
        <v>112</v>
      </c>
      <c r="H2494" t="s">
        <v>113</v>
      </c>
      <c r="I2494" t="s">
        <v>37</v>
      </c>
      <c r="J2494">
        <v>1499</v>
      </c>
      <c r="K2494">
        <v>1</v>
      </c>
      <c r="L2494">
        <v>1420.2</v>
      </c>
      <c r="M2494">
        <v>71.010000000000005</v>
      </c>
      <c r="N2494">
        <v>1420.2</v>
      </c>
      <c r="O2494">
        <v>1349.19</v>
      </c>
      <c r="P2494" t="s">
        <v>2111</v>
      </c>
      <c r="Q2494" t="s">
        <v>498</v>
      </c>
    </row>
    <row r="2495" spans="1:17" x14ac:dyDescent="0.3">
      <c r="A2495" t="s">
        <v>2958</v>
      </c>
      <c r="B2495" t="s">
        <v>669</v>
      </c>
      <c r="C2495" s="1">
        <v>46102</v>
      </c>
      <c r="D2495" t="s">
        <v>16</v>
      </c>
      <c r="E2495" t="s">
        <v>50</v>
      </c>
      <c r="F2495" t="s">
        <v>22</v>
      </c>
      <c r="G2495" t="s">
        <v>86</v>
      </c>
      <c r="H2495" t="s">
        <v>87</v>
      </c>
      <c r="I2495" t="s">
        <v>82</v>
      </c>
      <c r="J2495">
        <v>3499</v>
      </c>
      <c r="K2495">
        <v>1</v>
      </c>
      <c r="L2495">
        <v>3447.28</v>
      </c>
      <c r="M2495">
        <v>344.73</v>
      </c>
      <c r="N2495">
        <v>3447.28</v>
      </c>
      <c r="O2495">
        <v>3102.55</v>
      </c>
      <c r="P2495" t="s">
        <v>2111</v>
      </c>
      <c r="Q2495" t="s">
        <v>789</v>
      </c>
    </row>
    <row r="2496" spans="1:17" x14ac:dyDescent="0.3">
      <c r="A2496" t="s">
        <v>819</v>
      </c>
      <c r="B2496" t="s">
        <v>818</v>
      </c>
      <c r="C2496" s="1">
        <v>46083</v>
      </c>
      <c r="D2496" t="s">
        <v>34</v>
      </c>
      <c r="E2496" t="s">
        <v>50</v>
      </c>
      <c r="F2496" t="s">
        <v>60</v>
      </c>
      <c r="G2496" t="s">
        <v>91</v>
      </c>
      <c r="H2496" t="s">
        <v>92</v>
      </c>
      <c r="I2496" t="s">
        <v>37</v>
      </c>
      <c r="J2496">
        <v>1899</v>
      </c>
      <c r="K2496">
        <v>1</v>
      </c>
      <c r="L2496">
        <v>1986.57</v>
      </c>
      <c r="M2496">
        <v>99.33</v>
      </c>
      <c r="N2496">
        <v>1986.57</v>
      </c>
      <c r="O2496">
        <v>1887.24</v>
      </c>
      <c r="P2496" t="s">
        <v>2111</v>
      </c>
      <c r="Q2496" t="s">
        <v>789</v>
      </c>
    </row>
    <row r="2497" spans="1:17" x14ac:dyDescent="0.3">
      <c r="A2497" t="s">
        <v>1599</v>
      </c>
      <c r="B2497" t="s">
        <v>1598</v>
      </c>
      <c r="C2497" s="1">
        <v>46153</v>
      </c>
      <c r="D2497" t="s">
        <v>41</v>
      </c>
      <c r="E2497" t="s">
        <v>17</v>
      </c>
      <c r="F2497" t="s">
        <v>74</v>
      </c>
      <c r="G2497" t="s">
        <v>35</v>
      </c>
      <c r="H2497" t="s">
        <v>36</v>
      </c>
      <c r="I2497" t="s">
        <v>37</v>
      </c>
      <c r="J2497">
        <v>799</v>
      </c>
      <c r="K2497">
        <v>1</v>
      </c>
      <c r="L2497">
        <v>818.87</v>
      </c>
      <c r="M2497">
        <v>122.83</v>
      </c>
      <c r="N2497">
        <v>818.87</v>
      </c>
      <c r="O2497">
        <v>696.04</v>
      </c>
      <c r="P2497" t="s">
        <v>2111</v>
      </c>
      <c r="Q2497" t="s">
        <v>1479</v>
      </c>
    </row>
    <row r="2498" spans="1:17" x14ac:dyDescent="0.3">
      <c r="A2498" t="s">
        <v>1176</v>
      </c>
      <c r="B2498" t="s">
        <v>1175</v>
      </c>
      <c r="C2498" s="1">
        <v>46114</v>
      </c>
      <c r="D2498" t="s">
        <v>34</v>
      </c>
      <c r="E2498" t="s">
        <v>17</v>
      </c>
      <c r="F2498" t="s">
        <v>60</v>
      </c>
      <c r="G2498" t="s">
        <v>191</v>
      </c>
      <c r="H2498" t="s">
        <v>192</v>
      </c>
      <c r="I2498" t="s">
        <v>45</v>
      </c>
      <c r="J2498">
        <v>699</v>
      </c>
      <c r="K2498">
        <v>3</v>
      </c>
      <c r="L2498">
        <v>662.32</v>
      </c>
      <c r="M2498">
        <v>198.7</v>
      </c>
      <c r="N2498">
        <v>1986.96</v>
      </c>
      <c r="O2498">
        <v>1788.26</v>
      </c>
      <c r="P2498" t="s">
        <v>2111</v>
      </c>
      <c r="Q2498" t="s">
        <v>1170</v>
      </c>
    </row>
    <row r="2499" spans="1:17" x14ac:dyDescent="0.3">
      <c r="A2499" t="s">
        <v>828</v>
      </c>
      <c r="B2499" t="s">
        <v>827</v>
      </c>
      <c r="C2499" s="1">
        <v>46084</v>
      </c>
      <c r="D2499" t="s">
        <v>16</v>
      </c>
      <c r="E2499" t="s">
        <v>50</v>
      </c>
      <c r="F2499" t="s">
        <v>31</v>
      </c>
      <c r="G2499" t="s">
        <v>43</v>
      </c>
      <c r="H2499" t="s">
        <v>44</v>
      </c>
      <c r="I2499" t="s">
        <v>45</v>
      </c>
      <c r="J2499">
        <v>3299</v>
      </c>
      <c r="K2499">
        <v>4</v>
      </c>
      <c r="L2499">
        <v>3301.16</v>
      </c>
      <c r="M2499">
        <v>1320.46</v>
      </c>
      <c r="N2499">
        <v>13204.64</v>
      </c>
      <c r="O2499">
        <v>11884.18</v>
      </c>
      <c r="P2499" t="s">
        <v>2111</v>
      </c>
      <c r="Q2499" t="s">
        <v>789</v>
      </c>
    </row>
    <row r="2500" spans="1:17" x14ac:dyDescent="0.3">
      <c r="A2500" t="s">
        <v>2962</v>
      </c>
      <c r="B2500" t="s">
        <v>589</v>
      </c>
      <c r="C2500" s="1">
        <v>46033</v>
      </c>
      <c r="D2500" t="s">
        <v>34</v>
      </c>
      <c r="E2500" t="s">
        <v>50</v>
      </c>
      <c r="F2500" t="s">
        <v>60</v>
      </c>
      <c r="G2500" t="s">
        <v>160</v>
      </c>
      <c r="H2500" t="s">
        <v>161</v>
      </c>
      <c r="I2500" t="s">
        <v>82</v>
      </c>
      <c r="J2500">
        <v>799</v>
      </c>
      <c r="K2500">
        <v>2</v>
      </c>
      <c r="L2500">
        <v>867.11</v>
      </c>
      <c r="M2500">
        <v>346.84</v>
      </c>
      <c r="N2500">
        <v>1734.22</v>
      </c>
      <c r="O2500">
        <v>1387.38</v>
      </c>
      <c r="P2500" t="s">
        <v>2111</v>
      </c>
      <c r="Q2500" t="s">
        <v>23</v>
      </c>
    </row>
    <row r="2501" spans="1:17" x14ac:dyDescent="0.3">
      <c r="A2501" t="s">
        <v>1378</v>
      </c>
      <c r="B2501" t="s">
        <v>1377</v>
      </c>
      <c r="C2501" s="1">
        <v>46134</v>
      </c>
      <c r="D2501" t="s">
        <v>34</v>
      </c>
      <c r="E2501" t="s">
        <v>42</v>
      </c>
      <c r="F2501" t="s">
        <v>60</v>
      </c>
      <c r="G2501" t="s">
        <v>18</v>
      </c>
      <c r="H2501" t="s">
        <v>19</v>
      </c>
      <c r="I2501" t="s">
        <v>20</v>
      </c>
      <c r="J2501">
        <v>2799</v>
      </c>
      <c r="K2501">
        <v>1</v>
      </c>
      <c r="L2501">
        <v>2975.34</v>
      </c>
      <c r="M2501">
        <v>446.3</v>
      </c>
      <c r="N2501">
        <v>2975.34</v>
      </c>
      <c r="O2501">
        <v>2529.04</v>
      </c>
      <c r="P2501" t="s">
        <v>2111</v>
      </c>
      <c r="Q2501" t="s">
        <v>1170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DB07-3564-4559-802D-D83E412E5332}">
  <dimension ref="A2:D13"/>
  <sheetViews>
    <sheetView workbookViewId="0">
      <selection activeCell="D1" sqref="D1"/>
    </sheetView>
  </sheetViews>
  <sheetFormatPr defaultRowHeight="14.4" x14ac:dyDescent="0.3"/>
  <cols>
    <col min="1" max="1" width="5" customWidth="1"/>
    <col min="2" max="2" width="31" customWidth="1"/>
    <col min="3" max="3" width="9.6640625" bestFit="1" customWidth="1"/>
    <col min="4" max="4" width="164" bestFit="1" customWidth="1"/>
  </cols>
  <sheetData>
    <row r="2" spans="1:4" ht="18" x14ac:dyDescent="0.35">
      <c r="B2" s="2" t="s">
        <v>2974</v>
      </c>
      <c r="C2" s="7" t="s">
        <v>2980</v>
      </c>
      <c r="D2" s="7" t="s">
        <v>2981</v>
      </c>
    </row>
    <row r="3" spans="1:4" x14ac:dyDescent="0.3">
      <c r="A3">
        <v>1</v>
      </c>
      <c r="B3" t="s">
        <v>2975</v>
      </c>
      <c r="C3">
        <f>ROWS(_xlfn.UNIQUE(Raw_Events[session_id]))</f>
        <v>720</v>
      </c>
      <c r="D3" t="str">
        <f ca="1">_xlfn.FORMULATEXT(C3)</f>
        <v>=ROWS(UNIQUE(Raw_Events[session_id]))</v>
      </c>
    </row>
    <row r="4" spans="1:4" x14ac:dyDescent="0.3">
      <c r="A4">
        <v>2</v>
      </c>
      <c r="B4" t="s">
        <v>2965</v>
      </c>
      <c r="C4">
        <f>COUNTIF(Raw_Events[event_type],"view")</f>
        <v>9</v>
      </c>
      <c r="D4" t="str">
        <f t="shared" ref="D4:D13" ca="1" si="0">_xlfn.FORMULATEXT(C4)</f>
        <v>=COUNTIF(Raw_Events[event_type],"view")</v>
      </c>
    </row>
    <row r="5" spans="1:4" x14ac:dyDescent="0.3">
      <c r="A5">
        <v>3</v>
      </c>
      <c r="B5" t="s">
        <v>2966</v>
      </c>
      <c r="C5" s="5">
        <f>COUNTIF(Raw_Events[event_type],"add_to_cart")/COUNTIF(Raw_Events[event_type],"view")</f>
        <v>1.5555555555555556</v>
      </c>
      <c r="D5" t="str">
        <f t="shared" ca="1" si="0"/>
        <v>=COUNTIF(Raw_Events[event_type],"add_to_cart")/COUNTIF(Raw_Events[event_type],"view")</v>
      </c>
    </row>
    <row r="6" spans="1:4" x14ac:dyDescent="0.3">
      <c r="A6">
        <v>4</v>
      </c>
      <c r="B6" t="s">
        <v>2967</v>
      </c>
      <c r="C6" s="5">
        <f>IFERROR(COUNTIF(Raw_Events[event_type],"checkout")/COUNTIF(Raw_Events[event_type],"add_to_cart"),0)</f>
        <v>1.3571428571428572</v>
      </c>
      <c r="D6" t="str">
        <f t="shared" ca="1" si="0"/>
        <v>=IFERROR(COUNTIF(Raw_Events[event_type],"checkout")/COUNTIF(Raw_Events[event_type],"add_to_cart"),0)</v>
      </c>
    </row>
    <row r="7" spans="1:4" x14ac:dyDescent="0.3">
      <c r="A7">
        <v>5</v>
      </c>
      <c r="B7" t="s">
        <v>2968</v>
      </c>
      <c r="C7" s="5" cm="1">
        <f t="array" ref="C7">IFERROR(ROWS(_xlfn.UNIQUE(_xlfn._xlws.FILTER(Raw_Events[session_id],Raw_Events[event_type]="purchase")))/ROWS(_xlfn.UNIQUE(Raw_Events[session_id])),0)</f>
        <v>0.94166666666666665</v>
      </c>
      <c r="D7" t="str">
        <f t="shared" ca="1" si="0"/>
        <v>=IFERROR(ROWS(UNIQUE(FILTER(Raw_Events[session_id],Raw_Events[event_type]="purchase")))/ROWS(UNIQUE(Raw_Events[session_id])),0)</v>
      </c>
    </row>
    <row r="8" spans="1:4" x14ac:dyDescent="0.3">
      <c r="A8">
        <v>6</v>
      </c>
      <c r="B8" t="s">
        <v>2976</v>
      </c>
      <c r="C8" s="5" cm="1">
        <f t="array" ref="C8">IFERROR(1-(ROWS(_xlfn.UNIQUE(_xlfn._xlws.FILTER(Raw_Events[session_id],Raw_Events[event_type]="purchase")))/ROWS(_xlfn.UNIQUE(_xlfn._xlws.FILTER(Raw_Events[session_id],Raw_Events[event_type]="add_to_cart")))),0)</f>
        <v>-47.428571428571431</v>
      </c>
      <c r="D8" t="str">
        <f t="shared" ca="1" si="0"/>
        <v>=IFERROR(1-(ROWS(UNIQUE(FILTER(Raw_Events[session_id],Raw_Events[event_type]="purchase")))/ROWS(UNIQUE(FILTER(Raw_Events[session_id],Raw_Events[event_type]="add_to_cart")))),0)</v>
      </c>
    </row>
    <row r="9" spans="1:4" x14ac:dyDescent="0.3">
      <c r="A9">
        <v>7</v>
      </c>
      <c r="B9" t="s">
        <v>2977</v>
      </c>
      <c r="C9">
        <f>ROWS(_xlfn.UNIQUE(Raw_Orders[order_id]))</f>
        <v>1128</v>
      </c>
      <c r="D9" t="str">
        <f t="shared" ca="1" si="0"/>
        <v>=ROWS(UNIQUE(Raw_Orders[order_id]))</v>
      </c>
    </row>
    <row r="10" spans="1:4" x14ac:dyDescent="0.3">
      <c r="A10">
        <v>8</v>
      </c>
      <c r="B10" t="s">
        <v>2978</v>
      </c>
      <c r="C10">
        <f>SUM(Raw_Orders[net_revenue])</f>
        <v>8707901.8100000024</v>
      </c>
      <c r="D10" t="str">
        <f t="shared" ca="1" si="0"/>
        <v>=SUM(Raw_Orders[net_revenue])</v>
      </c>
    </row>
    <row r="11" spans="1:4" x14ac:dyDescent="0.3">
      <c r="A11">
        <v>9</v>
      </c>
      <c r="B11" t="s">
        <v>2979</v>
      </c>
      <c r="C11" s="6">
        <f>IFERROR(SUM(Raw_Orders[net_revenue])/ROWS(_xlfn.UNIQUE(Raw_Orders[order_id])),0)</f>
        <v>7719.7711081560301</v>
      </c>
      <c r="D11" t="str">
        <f t="shared" ca="1" si="0"/>
        <v>=IFERROR(SUM(Raw_Orders[net_revenue])/ROWS(UNIQUE(Raw_Orders[order_id])),0)</v>
      </c>
    </row>
    <row r="12" spans="1:4" x14ac:dyDescent="0.3">
      <c r="A12">
        <v>10</v>
      </c>
      <c r="B12" t="s">
        <v>2969</v>
      </c>
      <c r="C12" s="5">
        <f>COUNTA(_xlfn.UNIQUE(_xlfn._xlws.FILTER(Raw_Orders[order_id],Raw_Orders[customer_id],"")))</f>
        <v>1</v>
      </c>
      <c r="D12" t="str">
        <f t="shared" ca="1" si="0"/>
        <v>=COUNTA(UNIQUE(FILTER(Raw_Orders[order_id],Raw_Orders[customer_id],"")))</v>
      </c>
    </row>
    <row r="13" spans="1:4" x14ac:dyDescent="0.3">
      <c r="A13">
        <v>11</v>
      </c>
      <c r="B13" t="s">
        <v>2970</v>
      </c>
      <c r="C13" s="5">
        <f>IFERROR(COUNTIF(Raw_Orders[return_flag],"Yes")/COUNTA(Raw_Orders[return_flag]),0)</f>
        <v>8.7599999999999997E-2</v>
      </c>
      <c r="D13" t="str">
        <f t="shared" ca="1" si="0"/>
        <v>=IFERROR(COUNTIF(Raw_Orders[return_flag],"Yes")/COUNTA(Raw_Orders[return_flag]),0)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Orders</vt:lpstr>
      <vt:lpstr>KPI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vedanti kingri</cp:lastModifiedBy>
  <dcterms:created xsi:type="dcterms:W3CDTF">2026-08-27T13:30:26Z</dcterms:created>
  <dcterms:modified xsi:type="dcterms:W3CDTF">2026-09-07T19:34:19Z</dcterms:modified>
</cp:coreProperties>
</file>